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xl/persons/person.xml" ContentType="application/vnd.ms-excel.perso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threadedComments/threadedComment3.xml" ContentType="application/vnd.ms-excel.threadedcomment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5.xml" ContentType="application/vnd.ms-excel.threadedcomment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threadedComments/threadedComment4.xml" ContentType="application/vnd.ms-excel.threadedcomments+xml"/>
  <Override PartName="/xl/charts/chart3.xml" ContentType="application/vnd.openxmlformats-officedocument.drawingml.chart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Товары_очищенные" sheetId="1" state="visible" r:id="rId2"/>
    <sheet name="Поставщики_очищенные" sheetId="2" state="visible" r:id="rId3"/>
    <sheet name="Продажи_очищенные" sheetId="3" state="visible" r:id="rId4"/>
    <sheet name="Клиенты_очищенные" sheetId="4" state="visible" r:id="rId5"/>
    <sheet name="Справочники" sheetId="5" state="visible" r:id="rId6"/>
    <sheet name="Итоговый_отчет" sheetId="6" state="visible" r:id="rId7"/>
    <sheet name="Инструкция" sheetId="7" state="visible" r:id="rId8"/>
  </sheets>
  <definedNames>
    <definedName name="_xlnm._FilterDatabase" localSheetId="0" hidden="1">Товары_очищенные!$A$1:$P$502</definedName>
    <definedName name="_xlnm._FilterDatabase" localSheetId="1" hidden="1">Поставщики_очищенные!$A$1:$N$51</definedName>
    <definedName name="_xlnm._FilterDatabase" localSheetId="2" hidden="1">Продажи_очищенные!$A$1:$P$1001</definedName>
    <definedName name="_xlnm._FilterDatabase" localSheetId="3" hidden="1">Клиенты_очищенные!$A$1:$P$1001</definedName>
    <definedName name="_xlnm._FilterDatabase" localSheetId="0" hidden="1">Товары_очищенные!$A$1:$P$502</definedName>
    <definedName name="_xlnm._FilterDatabase" localSheetId="1" hidden="1">Поставщики_очищенные!$A$1:$N$51</definedName>
    <definedName name="_xlnm._FilterDatabase" localSheetId="2" hidden="1">Продажи_очищенные!$A$1:$P$1001</definedName>
    <definedName name="_xlnm._FilterDatabase" localSheetId="3" hidden="1">Клиенты_очищенные!$A$1:$P$1001</definedName>
  </definedNames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tc={0002004C-00CC-40FA-B357-00A300F20038}</author>
    <author>tc={00B100A0-000F-450A-9068-00DF00620018}</author>
    <author>tc={00A500B7-00D1-4BBC-BB91-009200D000BB}</author>
    <author>tc={009400D0-00CB-418F-A511-0017007000CE}</author>
    <author>tc={0031009F-0078-4195-AECA-0049001E00B3}</author>
  </authors>
  <commentList>
    <comment ref="L1" authorId="0" xr:uid="{0002004C-00CC-40FA-B357-00A300F20038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Удаляются пробелы, руб. и ₽, затем запятая/точка. Если разделитель был - число делится на 100 (копейки)
</t>
        </r>
      </text>
    </comment>
    <comment ref="M1" authorId="1" xr:uid="{00B100A0-000F-450A-9068-00DF00620018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Аналогично цене закупки
</t>
        </r>
      </text>
    </comment>
    <comment ref="H1" authorId="2" xr:uid="{00A500B7-00D1-4BBC-BB91-009200D000BB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Удаляются №, АРТ-, АРТ_, берутся первые 3 цифры, номер собирается в формат АРТ-XXX. ТЕКСТ(...;"000") добавляет нули слева
</t>
        </r>
      </text>
    </comment>
    <comment ref="I1" authorId="3" xr:uid="{009400D0-00CB-418F-A511-0017007000CE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Текст в скобках отрезается, лишние пробелы удаляются, каждое слово с заглавной буквы
</t>
        </r>
      </text>
    </comment>
    <comment ref="J1" authorId="4" xr:uid="{0031009F-0078-4195-AECA-0049001E00B3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ВПР по справочнику категорий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tc={00D900CF-0093-4B3F-A93E-00700093009E}</author>
    <author>tc={009B00DD-0002-4DDA-9F0F-0090004C008C}</author>
    <author>tc={008F00F2-00AF-4661-B4AF-00D3009900CF}</author>
    <author>tc={001B0080-005B-4780-A381-00E600D40033}</author>
  </authors>
  <commentList>
    <comment ref="L1" authorId="0" xr:uid="{00D900CF-0093-4B3F-A93E-00700093009E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Должна быть @ и после неё точка (домен)
</t>
        </r>
      </text>
    </comment>
    <comment ref="N1" authorId="1" xr:uid="{009B00DD-0002-4DDA-9F0F-0090004C008C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Индекс отрезается, через ПОДСТАВИТЬ расставляются пробелы и запятые: г. Город, ул. Улица, д. XX
</t>
        </r>
      </text>
    </comment>
    <comment ref="I1" authorId="2" xr:uid="{008F00F2-00AF-4661-B4AF-00D3009900CF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Только цифры, длина 10 или 12
</t>
        </r>
      </text>
    </comment>
    <comment ref="J1" authorId="3" xr:uid="{001B0080-005B-4780-A381-00E600D40033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Удаляются +, -, пробелы и скобки, берутся последние 10 цифр, номер собирается в формат +7 (XXX) XXX-XX-XX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tc={004B0019-003C-4934-8117-005800660088}</author>
    <author>tc={004900B5-0088-4828-87A1-006E004200BE}</author>
    <author>tc={00580056-0030-4CB7-A33B-00BD000A007F}</author>
    <author>tc={003400F6-004C-4914-9F4F-004400BC0078}</author>
    <author>tc={001F002D-0068-46FC-99D3-00610037006A}</author>
    <author>tc={00F800C9-0046-4327-81E2-0019006000F0}</author>
    <author>tc={00CD003F-0022-4493-B3F6-00E5005500C3}</author>
    <author>tc={00CB00BC-0010-41E5-A6F7-0084004E00DA}</author>
  </authors>
  <commentList>
    <comment ref="K1" authorId="0" xr:uid="{004B0019-003C-4934-8117-005800660088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Число умножается на курс из справочника. Без $ и € - рубли
</t>
        </r>
      </text>
    </comment>
    <comment ref="L1" authorId="1" xr:uid="{004900B5-0088-4828-87A1-006E004200BE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ВПР по справочнику статусов
</t>
        </r>
      </text>
    </comment>
    <comment ref="M1" authorId="2" xr:uid="{00580056-0030-4CB7-A33B-00BD000A007F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Если Дата+Артикул+Клиент уже встречались выше - дубликат
</t>
        </r>
      </text>
    </comment>
    <comment ref="N1" authorId="3" xr:uid="{003400F6-004C-4914-9F4F-004400BC0078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ВПР из очищенного каталога
</t>
        </r>
      </text>
    </comment>
    <comment ref="P1" authorId="4" xr:uid="{001F002D-0068-46FC-99D3-00610037006A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Отличие от розничной цены больше 20% - пометка
</t>
        </r>
      </text>
    </comment>
    <comment ref="H1" authorId="5" xr:uid="{00F800C9-0046-4327-81E2-0019006000F0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Исходный формат MM/DD/YYYY, дата собирается через ДАТА(год;месяц;день)
</t>
        </r>
      </text>
    </comment>
    <comment ref="I1" authorId="6" xr:uid="{00CD003F-0022-4493-B3F6-00E5005500C3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Как в каталоге товаров
</t>
        </r>
      </text>
    </comment>
    <comment ref="J1" authorId="7" xr:uid="{00CB00BC-0010-41E5-A6F7-0084004E00DA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Отрицательные значения сохранены (возвраты)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tc={009E0007-004C-4C0E-8577-001B00970096}</author>
    <author>tc={007D001D-0098-4162-9490-0048008B004E}</author>
    <author>tc={00C20075-005E-4137-91B4-0065005800E4}</author>
    <author>tc={00AB0069-008D-493A-AAE0-008600820015}</author>
    <author>tc={00320000-00C1-4915-AE92-0064006300E1}</author>
  </authors>
  <commentList>
    <comment ref="K1" authorId="0" xr:uid="{009E0007-004C-4C0E-8577-001B00970096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Возраст от 18 до 120
</t>
        </r>
      </text>
    </comment>
    <comment ref="L1" authorId="1" xr:uid="{007D001D-0098-4162-9490-0048008B004E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Аналогично дате рождения
</t>
        </r>
      </text>
    </comment>
    <comment ref="M1" authorId="2" xr:uid="{00C20075-005E-4137-91B4-0065005800E4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Аналогично поставщикам
</t>
        </r>
      </text>
    </comment>
    <comment ref="P1" authorId="3" xr:uid="{00AB0069-008D-493A-AAE0-008600820015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Удаляется г., город ищется в справочнике городов (МСК - Москва)
</t>
        </r>
      </text>
    </comment>
    <comment ref="I1" authorId="4" xr:uid="{00320000-00C1-4915-AE92-0064006300E1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Распознаются форматы 15.05.1990, 1990-05-15 и 15 мая 1990 (месяц - по справочнику месяцев)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tc={006000CF-00C7-4C9B-9182-007A0089002C}</author>
    <author>tc={00B700FC-00EA-41B5-A08D-00E5000E0040}</author>
  </authors>
  <commentList>
    <comment ref="C5" authorId="0" xr:uid="{006000CF-00C7-4C9B-9182-007A0089002C}">
      <text>
        <r>
          <rPr>
            <b/>
            <sz val="9"/>
            <rFont val="Tahoma"/>
          </rPr>
          <t>tc={00B000A1-00A4-4895-B6A8-001F009F00CD}:</t>
        </r>
        <r>
          <rPr>
            <sz val="9"/>
            <rFont val="Tahoma"/>
          </rPr>
          <t xml:space="preserve">
admin:
У товаров дубликатом считаю повтор артикула
</t>
        </r>
      </text>
    </comment>
    <comment ref="C7" authorId="1" xr:uid="{00B700FC-00EA-41B5-A08D-00E5000E0040}">
      <text>
        <r>
          <rPr>
            <b/>
            <sz val="9"/>
            <rFont val="Tahoma"/>
          </rPr>
          <t>tc={0073004C-009E-4D7F-98DD-006500F900D1}:</t>
        </r>
        <r>
          <rPr>
            <sz val="9"/>
            <rFont val="Tahoma"/>
          </rPr>
          <t xml:space="preserve">
admin:
Дубликаты продаж ищу по Дата + Артикул + ID_клиента
</t>
        </r>
      </text>
    </comment>
  </commentList>
</comments>
</file>

<file path=xl/sharedStrings.xml><?xml version="1.0" encoding="utf-8"?>
<sst xmlns="http://schemas.openxmlformats.org/spreadsheetml/2006/main" count="8076" uniqueCount="8076">
  <si>
    <t xml:space="preserve">Артикул (исх.)</t>
  </si>
  <si>
    <t xml:space="preserve">Наименование (исх.)</t>
  </si>
  <si>
    <t xml:space="preserve">Категория (исх.)</t>
  </si>
  <si>
    <t xml:space="preserve">Производитель (исх.)</t>
  </si>
  <si>
    <t xml:space="preserve">Цена_закупки (исх.)</t>
  </si>
  <si>
    <t xml:space="preserve">Цена_розница (исх.)</t>
  </si>
  <si>
    <t xml:space="preserve">Единица_измерения (исх.)</t>
  </si>
  <si>
    <t>Артикул</t>
  </si>
  <si>
    <t>Наименование</t>
  </si>
  <si>
    <t>Категория</t>
  </si>
  <si>
    <t>Производитель</t>
  </si>
  <si>
    <t xml:space="preserve">Цена закупки</t>
  </si>
  <si>
    <t xml:space="preserve">Цена розница</t>
  </si>
  <si>
    <t xml:space="preserve">Ед. изм.</t>
  </si>
  <si>
    <t xml:space="preserve">Проверка цены</t>
  </si>
  <si>
    <t xml:space="preserve">Проверка артикула</t>
  </si>
  <si>
    <t>№АРТ-001/24</t>
  </si>
  <si>
    <t xml:space="preserve">Смартфон Apple iPhone 15</t>
  </si>
  <si>
    <t>Смартфоны</t>
  </si>
  <si>
    <t>Apple</t>
  </si>
  <si>
    <t xml:space="preserve">45 000,50</t>
  </si>
  <si>
    <t xml:space="preserve">79 990,00</t>
  </si>
  <si>
    <t>шт</t>
  </si>
  <si>
    <t>АРТ_002</t>
  </si>
  <si>
    <t xml:space="preserve">смартфон APPLE IPHONE 15</t>
  </si>
  <si>
    <t>Телефоны</t>
  </si>
  <si>
    <t xml:space="preserve">44 500,00</t>
  </si>
  <si>
    <t xml:space="preserve">78 500,00</t>
  </si>
  <si>
    <t>штука</t>
  </si>
  <si>
    <t>003/24</t>
  </si>
  <si>
    <t xml:space="preserve">Смартфон Apple iPhone 15 (Черный)</t>
  </si>
  <si>
    <t xml:space="preserve">Мобильные телефоны</t>
  </si>
  <si>
    <t>APPLE</t>
  </si>
  <si>
    <t xml:space="preserve">43 800,00</t>
  </si>
  <si>
    <t xml:space="preserve">77 700</t>
  </si>
  <si>
    <t>штуки</t>
  </si>
  <si>
    <t>№АРТ-004</t>
  </si>
  <si>
    <t xml:space="preserve">Ноутбук ASUS ROG Zephyrus</t>
  </si>
  <si>
    <t>Ноутбуки</t>
  </si>
  <si>
    <t>ASUS</t>
  </si>
  <si>
    <t xml:space="preserve">85 000</t>
  </si>
  <si>
    <t xml:space="preserve">129 999.99</t>
  </si>
  <si>
    <t>шт.</t>
  </si>
  <si>
    <t>АРТ_005</t>
  </si>
  <si>
    <t xml:space="preserve">ноутбук ASUS ROG Zephyrus</t>
  </si>
  <si>
    <t>Лэптопы</t>
  </si>
  <si>
    <t>asus</t>
  </si>
  <si>
    <t xml:space="preserve">84 500,50</t>
  </si>
  <si>
    <t xml:space="preserve">128 500,00</t>
  </si>
  <si>
    <t>006-24</t>
  </si>
  <si>
    <t xml:space="preserve">Ноутбук ASUS ROG Zephyrus (G14)</t>
  </si>
  <si>
    <t xml:space="preserve">86 000</t>
  </si>
  <si>
    <t xml:space="preserve">131 000</t>
  </si>
  <si>
    <t>№АРТ-007</t>
  </si>
  <si>
    <t xml:space="preserve">Смартфон Samsung Galaxy S24</t>
  </si>
  <si>
    <t>Samsung</t>
  </si>
  <si>
    <t xml:space="preserve">39 999,99</t>
  </si>
  <si>
    <t xml:space="preserve">69 999,00</t>
  </si>
  <si>
    <t>АРТ_008</t>
  </si>
  <si>
    <t xml:space="preserve">смартфон SAMSUNG GALAXY S24</t>
  </si>
  <si>
    <t>SAMSUNG</t>
  </si>
  <si>
    <t xml:space="preserve">39 500</t>
  </si>
  <si>
    <t xml:space="preserve">68 900</t>
  </si>
  <si>
    <t>009/24</t>
  </si>
  <si>
    <t xml:space="preserve">Смартфон Samsung Galaxy S24 (Синий)</t>
  </si>
  <si>
    <t xml:space="preserve">40 200</t>
  </si>
  <si>
    <t xml:space="preserve">70 500</t>
  </si>
  <si>
    <t>№АРТ-010</t>
  </si>
  <si>
    <t xml:space="preserve">Планшет iPad Pro 12.9</t>
  </si>
  <si>
    <t>Планшеты</t>
  </si>
  <si>
    <t xml:space="preserve">55 000</t>
  </si>
  <si>
    <t xml:space="preserve">89 900</t>
  </si>
  <si>
    <t>АРТ_011</t>
  </si>
  <si>
    <t xml:space="preserve">планшет APPLE IPAD PRO 12.9</t>
  </si>
  <si>
    <t>apple</t>
  </si>
  <si>
    <t xml:space="preserve">54 500</t>
  </si>
  <si>
    <t xml:space="preserve">88 500</t>
  </si>
  <si>
    <t>012-24</t>
  </si>
  <si>
    <t xml:space="preserve">Планшет Apple iPad Pro 12.9 (Wi-Fi)</t>
  </si>
  <si>
    <t xml:space="preserve">56 000</t>
  </si>
  <si>
    <t xml:space="preserve">91 000</t>
  </si>
  <si>
    <t>№АРТ-013</t>
  </si>
  <si>
    <t xml:space="preserve">Телевизор LG OLED65C3</t>
  </si>
  <si>
    <t>Телевизоры</t>
  </si>
  <si>
    <t>LG</t>
  </si>
  <si>
    <t xml:space="preserve">95 000</t>
  </si>
  <si>
    <t xml:space="preserve">149 999</t>
  </si>
  <si>
    <t>АРТ_014</t>
  </si>
  <si>
    <t xml:space="preserve">телевизор LG OLED65C3</t>
  </si>
  <si>
    <t>lg</t>
  </si>
  <si>
    <t xml:space="preserve">93 500</t>
  </si>
  <si>
    <t xml:space="preserve">147 500</t>
  </si>
  <si>
    <t>015/24</t>
  </si>
  <si>
    <t xml:space="preserve">Телевизор LG OLED65C3 (4K)</t>
  </si>
  <si>
    <t xml:space="preserve">96 500</t>
  </si>
  <si>
    <t xml:space="preserve">151 000</t>
  </si>
  <si>
    <t>№АРТ-016</t>
  </si>
  <si>
    <t xml:space="preserve">Наушники Sony WH-1000XM5</t>
  </si>
  <si>
    <t>Наушники</t>
  </si>
  <si>
    <t>SONY</t>
  </si>
  <si>
    <t xml:space="preserve">18 000</t>
  </si>
  <si>
    <t xml:space="preserve">29 990,00</t>
  </si>
  <si>
    <t>АРТ_017</t>
  </si>
  <si>
    <t xml:space="preserve">наушники SONY WH-1000XM5</t>
  </si>
  <si>
    <t>sony</t>
  </si>
  <si>
    <t xml:space="preserve">17 500</t>
  </si>
  <si>
    <t xml:space="preserve">28 900</t>
  </si>
  <si>
    <t>018-24</t>
  </si>
  <si>
    <t xml:space="preserve">Наушники Sony WH-1000XM5 (Беспроводные)</t>
  </si>
  <si>
    <t xml:space="preserve">18 500</t>
  </si>
  <si>
    <t xml:space="preserve">30 500</t>
  </si>
  <si>
    <t>№АРТ-019</t>
  </si>
  <si>
    <t xml:space="preserve">Ноутбук Lenovo ThinkPad X1</t>
  </si>
  <si>
    <t>Lenovo</t>
  </si>
  <si>
    <t xml:space="preserve">90 000</t>
  </si>
  <si>
    <t xml:space="preserve">135 000</t>
  </si>
  <si>
    <t>АРТ_020</t>
  </si>
  <si>
    <t xml:space="preserve">ноутбук LENOVO THINKPAD X1</t>
  </si>
  <si>
    <t>lenovo</t>
  </si>
  <si>
    <t xml:space="preserve">89 000</t>
  </si>
  <si>
    <t xml:space="preserve">133 500</t>
  </si>
  <si>
    <t>021/24</t>
  </si>
  <si>
    <t xml:space="preserve">Ноутбук Lenovo ThinkPad X1 (Carbon)</t>
  </si>
  <si>
    <t>LENOVO</t>
  </si>
  <si>
    <t xml:space="preserve">91 500</t>
  </si>
  <si>
    <t xml:space="preserve">137 000</t>
  </si>
  <si>
    <t>№АРТ-022</t>
  </si>
  <si>
    <t xml:space="preserve">Смартфон Xiaomi 14 Pro</t>
  </si>
  <si>
    <t>Xiaomi</t>
  </si>
  <si>
    <t xml:space="preserve">35 000</t>
  </si>
  <si>
    <t xml:space="preserve">59 999,00</t>
  </si>
  <si>
    <t>АРТ_023</t>
  </si>
  <si>
    <t xml:space="preserve">смартфон XIAOMI 14 PRO</t>
  </si>
  <si>
    <t>xiaomi</t>
  </si>
  <si>
    <t xml:space="preserve">34 500</t>
  </si>
  <si>
    <t xml:space="preserve">58 500</t>
  </si>
  <si>
    <t>024-24</t>
  </si>
  <si>
    <t xml:space="preserve">Смартфон Xiaomi 14 Pro (Черный)</t>
  </si>
  <si>
    <t>XIAOMI</t>
  </si>
  <si>
    <t xml:space="preserve">35 800</t>
  </si>
  <si>
    <t xml:space="preserve">60 800</t>
  </si>
  <si>
    <t>№АРТ-025</t>
  </si>
  <si>
    <t xml:space="preserve">Монитор Samsung Odyssey G9</t>
  </si>
  <si>
    <t>Мониторы</t>
  </si>
  <si>
    <t xml:space="preserve">65 000</t>
  </si>
  <si>
    <t xml:space="preserve">99 900</t>
  </si>
  <si>
    <t>АРТ_026</t>
  </si>
  <si>
    <t xml:space="preserve">монитор SAMSUNG ODYSSEY G9</t>
  </si>
  <si>
    <t>samsung</t>
  </si>
  <si>
    <t xml:space="preserve">64 000</t>
  </si>
  <si>
    <t xml:space="preserve">98 000</t>
  </si>
  <si>
    <t>027/24</t>
  </si>
  <si>
    <t xml:space="preserve">Монитор Samsung Odyssey G9 (Curved)</t>
  </si>
  <si>
    <t xml:space="preserve">66 500</t>
  </si>
  <si>
    <t xml:space="preserve">101 500</t>
  </si>
  <si>
    <t>№АРТ-028</t>
  </si>
  <si>
    <t xml:space="preserve">Клавиатура Logitech MX Keys</t>
  </si>
  <si>
    <t>Аксессуары</t>
  </si>
  <si>
    <t>Logitech</t>
  </si>
  <si>
    <t xml:space="preserve">5 500</t>
  </si>
  <si>
    <t xml:space="preserve">9 990</t>
  </si>
  <si>
    <t>АРТ_029</t>
  </si>
  <si>
    <t xml:space="preserve">клавиатура LOGITECH MX KEYS</t>
  </si>
  <si>
    <t>logitech</t>
  </si>
  <si>
    <t xml:space="preserve">5 200</t>
  </si>
  <si>
    <t xml:space="preserve">9 500</t>
  </si>
  <si>
    <t>030-24</t>
  </si>
  <si>
    <t xml:space="preserve">Клавиатура Logitech MX Keys (Беспроводная)</t>
  </si>
  <si>
    <t>LOGITECH</t>
  </si>
  <si>
    <t xml:space="preserve">5 800</t>
  </si>
  <si>
    <t xml:space="preserve">10 500</t>
  </si>
  <si>
    <t>№АРТ-031</t>
  </si>
  <si>
    <t xml:space="preserve">Мышь Logitech MX Master 3S</t>
  </si>
  <si>
    <t xml:space="preserve">4 500</t>
  </si>
  <si>
    <t xml:space="preserve">8 990</t>
  </si>
  <si>
    <t>АРТ_032</t>
  </si>
  <si>
    <t xml:space="preserve">мышь LOGITECH MX MASTER 3S</t>
  </si>
  <si>
    <t xml:space="preserve">4 200</t>
  </si>
  <si>
    <t xml:space="preserve">8 500</t>
  </si>
  <si>
    <t>033/24</t>
  </si>
  <si>
    <t xml:space="preserve">Мышь Logitech MX Master 3S (Графит)</t>
  </si>
  <si>
    <t xml:space="preserve">4 800</t>
  </si>
  <si>
    <t xml:space="preserve">9 200</t>
  </si>
  <si>
    <t>№АРТ-034</t>
  </si>
  <si>
    <t xml:space="preserve">Планшет Huawei MatePad Pro</t>
  </si>
  <si>
    <t>Huawei</t>
  </si>
  <si>
    <t xml:space="preserve">40 000</t>
  </si>
  <si>
    <t xml:space="preserve">64 999</t>
  </si>
  <si>
    <t>АРТ_035</t>
  </si>
  <si>
    <t xml:space="preserve">планшет HUAWEI MATEPAD PRO</t>
  </si>
  <si>
    <t>huawei</t>
  </si>
  <si>
    <t xml:space="preserve">39 000</t>
  </si>
  <si>
    <t xml:space="preserve">63 500</t>
  </si>
  <si>
    <t>036-24</t>
  </si>
  <si>
    <t xml:space="preserve">Планшет Huawei MatePad Pro (12.6")</t>
  </si>
  <si>
    <t>HUAWEI</t>
  </si>
  <si>
    <t xml:space="preserve">41 000</t>
  </si>
  <si>
    <t>№АРТ-037</t>
  </si>
  <si>
    <t xml:space="preserve">Смарт-часы Apple Watch Ultra</t>
  </si>
  <si>
    <t>Часы</t>
  </si>
  <si>
    <t xml:space="preserve">45 000</t>
  </si>
  <si>
    <t xml:space="preserve">69 990</t>
  </si>
  <si>
    <t>АРТ_038</t>
  </si>
  <si>
    <t xml:space="preserve">смарт-часы APPLE WATCH ULTRA</t>
  </si>
  <si>
    <t xml:space="preserve">44 000</t>
  </si>
  <si>
    <t xml:space="preserve">68 500</t>
  </si>
  <si>
    <t>039/24</t>
  </si>
  <si>
    <t xml:space="preserve">Смарт-часы Apple Watch Ultra (Титан)</t>
  </si>
  <si>
    <t xml:space="preserve">46 000</t>
  </si>
  <si>
    <t xml:space="preserve">71 000</t>
  </si>
  <si>
    <t>№АРТ-040</t>
  </si>
  <si>
    <t xml:space="preserve">Ноутбук Dell XPS 15</t>
  </si>
  <si>
    <t>Dell</t>
  </si>
  <si>
    <t xml:space="preserve">142 000</t>
  </si>
  <si>
    <t>АРТ_041</t>
  </si>
  <si>
    <t xml:space="preserve">ноутбук DELL XPS 15</t>
  </si>
  <si>
    <t>dell</t>
  </si>
  <si>
    <t xml:space="preserve">140 500</t>
  </si>
  <si>
    <t>042-24</t>
  </si>
  <si>
    <t xml:space="preserve">Ноутбук Dell XPS 15 (9530)</t>
  </si>
  <si>
    <t>DELL</t>
  </si>
  <si>
    <t xml:space="preserve">144 000</t>
  </si>
  <si>
    <t>№АРТ-043</t>
  </si>
  <si>
    <t xml:space="preserve">Телевизор Sony Bravia XR</t>
  </si>
  <si>
    <t>Sony</t>
  </si>
  <si>
    <t xml:space="preserve">88 000</t>
  </si>
  <si>
    <t xml:space="preserve">134 990</t>
  </si>
  <si>
    <t>АРТ_044</t>
  </si>
  <si>
    <t xml:space="preserve">телевизор SONY BRAVIA XR</t>
  </si>
  <si>
    <t xml:space="preserve">86 500</t>
  </si>
  <si>
    <t xml:space="preserve">132 000</t>
  </si>
  <si>
    <t>045/24</t>
  </si>
  <si>
    <t xml:space="preserve">Телевизор Sony Bravia XR (55")</t>
  </si>
  <si>
    <t xml:space="preserve">89 500</t>
  </si>
  <si>
    <t>№АРТ-046</t>
  </si>
  <si>
    <t xml:space="preserve">Наушники Apple AirPods Pro</t>
  </si>
  <si>
    <t xml:space="preserve">15 000</t>
  </si>
  <si>
    <t xml:space="preserve">24 990</t>
  </si>
  <si>
    <t>АРТ_047</t>
  </si>
  <si>
    <t xml:space="preserve">наушники APPLE AIRPODS PRO</t>
  </si>
  <si>
    <t xml:space="preserve">14 500</t>
  </si>
  <si>
    <t xml:space="preserve">23 900</t>
  </si>
  <si>
    <t>048-24</t>
  </si>
  <si>
    <t xml:space="preserve">Наушники Apple AirPods Pro (2-е поколение)</t>
  </si>
  <si>
    <t xml:space="preserve">15 800</t>
  </si>
  <si>
    <t xml:space="preserve">25 800</t>
  </si>
  <si>
    <t>№АРТ-049</t>
  </si>
  <si>
    <t xml:space="preserve">Смартфон Google Pixel 8</t>
  </si>
  <si>
    <t>Google</t>
  </si>
  <si>
    <t xml:space="preserve">32 000</t>
  </si>
  <si>
    <t xml:space="preserve">54 999</t>
  </si>
  <si>
    <t>АРТ_050</t>
  </si>
  <si>
    <t xml:space="preserve">смартфон GOOGLE PIXEL 8</t>
  </si>
  <si>
    <t>google</t>
  </si>
  <si>
    <t xml:space="preserve">31 500</t>
  </si>
  <si>
    <t xml:space="preserve">53 500</t>
  </si>
  <si>
    <t>051/24</t>
  </si>
  <si>
    <t xml:space="preserve">Смартфон Google Pixel 8 (Обсидиан)</t>
  </si>
  <si>
    <t>GOOGLE</t>
  </si>
  <si>
    <t xml:space="preserve">32 800</t>
  </si>
  <si>
    <t>№АРТ-052</t>
  </si>
  <si>
    <t xml:space="preserve">Монитор LG UltraGear 27GP950</t>
  </si>
  <si>
    <t xml:space="preserve">69 900</t>
  </si>
  <si>
    <t>АРТ_053</t>
  </si>
  <si>
    <t xml:space="preserve">монитор LG ULTRA GEAR 27GP950</t>
  </si>
  <si>
    <t xml:space="preserve">68 000</t>
  </si>
  <si>
    <t>054-24</t>
  </si>
  <si>
    <t xml:space="preserve">Монитор LG UltraGear 27GP950 (4K)</t>
  </si>
  <si>
    <t xml:space="preserve">46 500</t>
  </si>
  <si>
    <t xml:space="preserve">71 500</t>
  </si>
  <si>
    <t>№АРТ-055</t>
  </si>
  <si>
    <t xml:space="preserve">Колонка JBL Charge 5</t>
  </si>
  <si>
    <t>JBL</t>
  </si>
  <si>
    <t xml:space="preserve">6 500</t>
  </si>
  <si>
    <t xml:space="preserve">10 990</t>
  </si>
  <si>
    <t>АРТ_056</t>
  </si>
  <si>
    <t xml:space="preserve">колонка JBL CHARGE 5</t>
  </si>
  <si>
    <t>jbl</t>
  </si>
  <si>
    <t xml:space="preserve">6 200</t>
  </si>
  <si>
    <t>057/24</t>
  </si>
  <si>
    <t xml:space="preserve">Колонка JBL Charge 5 (Синяя)</t>
  </si>
  <si>
    <t xml:space="preserve">6 800</t>
  </si>
  <si>
    <t xml:space="preserve">11 200</t>
  </si>
  <si>
    <t>№АРТ-058</t>
  </si>
  <si>
    <t xml:space="preserve">Планшет Samsung Galaxy Tab S9</t>
  </si>
  <si>
    <t xml:space="preserve">42 000</t>
  </si>
  <si>
    <t xml:space="preserve">67 900</t>
  </si>
  <si>
    <t>АРТ_059</t>
  </si>
  <si>
    <t xml:space="preserve">планшет SAMSUNG GALAXY TAB S9</t>
  </si>
  <si>
    <t xml:space="preserve">66 000</t>
  </si>
  <si>
    <t>060-24</t>
  </si>
  <si>
    <t xml:space="preserve">Планшет Samsung Galaxy Tab S9 (Ultra)</t>
  </si>
  <si>
    <t xml:space="preserve">43 500</t>
  </si>
  <si>
    <t xml:space="preserve">69 500</t>
  </si>
  <si>
    <t>№АРТ-061</t>
  </si>
  <si>
    <t xml:space="preserve">Ноутбук HP Spectre x360</t>
  </si>
  <si>
    <t>HP</t>
  </si>
  <si>
    <t xml:space="preserve">82 000</t>
  </si>
  <si>
    <t xml:space="preserve">124 999</t>
  </si>
  <si>
    <t>АРТ_062</t>
  </si>
  <si>
    <t xml:space="preserve">ноутбук HP SPECTRE X360</t>
  </si>
  <si>
    <t>hp</t>
  </si>
  <si>
    <t xml:space="preserve">80 500</t>
  </si>
  <si>
    <t xml:space="preserve">122 500</t>
  </si>
  <si>
    <t>063/24</t>
  </si>
  <si>
    <t xml:space="preserve">Ноутбук HP Spectre x360 (14")</t>
  </si>
  <si>
    <t xml:space="preserve">83 500</t>
  </si>
  <si>
    <t xml:space="preserve">127 000</t>
  </si>
  <si>
    <t>№АРТ-064</t>
  </si>
  <si>
    <t xml:space="preserve">Смартфон OnePlus 12</t>
  </si>
  <si>
    <t>OnePlus</t>
  </si>
  <si>
    <t xml:space="preserve">33 000</t>
  </si>
  <si>
    <t xml:space="preserve">56 990</t>
  </si>
  <si>
    <t>АРТ_065</t>
  </si>
  <si>
    <t xml:space="preserve">смартфон ONEPLUS 12</t>
  </si>
  <si>
    <t>oneplus</t>
  </si>
  <si>
    <t xml:space="preserve">32 500</t>
  </si>
  <si>
    <t xml:space="preserve">55 500</t>
  </si>
  <si>
    <t>066-24</t>
  </si>
  <si>
    <t xml:space="preserve">Смартфон OnePlus 12 (Зеленый)</t>
  </si>
  <si>
    <t>ONEPLUS</t>
  </si>
  <si>
    <t xml:space="preserve">33 800</t>
  </si>
  <si>
    <t xml:space="preserve">57 800</t>
  </si>
  <si>
    <t>№АРТ-067</t>
  </si>
  <si>
    <t xml:space="preserve">Телевизор TCL 65C745</t>
  </si>
  <si>
    <t>TCL</t>
  </si>
  <si>
    <t xml:space="preserve">70 000</t>
  </si>
  <si>
    <t xml:space="preserve">109 999</t>
  </si>
  <si>
    <t>АРТ_068</t>
  </si>
  <si>
    <t xml:space="preserve">телевизор TCL 65C745</t>
  </si>
  <si>
    <t>tcl</t>
  </si>
  <si>
    <t xml:space="preserve">107 000</t>
  </si>
  <si>
    <t>069/24</t>
  </si>
  <si>
    <t xml:space="preserve">Телевизор TCL 65C745 (QLED)</t>
  </si>
  <si>
    <t xml:space="preserve">112 000</t>
  </si>
  <si>
    <t>№АРТ-070</t>
  </si>
  <si>
    <t xml:space="preserve">Наушники Marshall Major IV</t>
  </si>
  <si>
    <t>Marshall</t>
  </si>
  <si>
    <t xml:space="preserve">12 000</t>
  </si>
  <si>
    <t xml:space="preserve">19 990</t>
  </si>
  <si>
    <t>АРТ_071</t>
  </si>
  <si>
    <t xml:space="preserve">наушники MARSHALL MAJOR IV</t>
  </si>
  <si>
    <t>marshall</t>
  </si>
  <si>
    <t xml:space="preserve">11 500</t>
  </si>
  <si>
    <t xml:space="preserve">19 000</t>
  </si>
  <si>
    <t>072-24</t>
  </si>
  <si>
    <t xml:space="preserve">Наушники Marshall Major IV (Бежевые)</t>
  </si>
  <si>
    <t>MARSHALL</t>
  </si>
  <si>
    <t xml:space="preserve">12 500</t>
  </si>
  <si>
    <t xml:space="preserve">20 800</t>
  </si>
  <si>
    <t>№АРТ-073</t>
  </si>
  <si>
    <t xml:space="preserve">Монитор Acer Predator X27</t>
  </si>
  <si>
    <t>Acer</t>
  </si>
  <si>
    <t xml:space="preserve">52 000</t>
  </si>
  <si>
    <t xml:space="preserve">79 900</t>
  </si>
  <si>
    <t>АРТ_074</t>
  </si>
  <si>
    <t xml:space="preserve">монитор ACER PREDATOR X27</t>
  </si>
  <si>
    <t>acer</t>
  </si>
  <si>
    <t xml:space="preserve">50 500</t>
  </si>
  <si>
    <t xml:space="preserve">77 500</t>
  </si>
  <si>
    <t>075/24</t>
  </si>
  <si>
    <t xml:space="preserve">Монитор Acer Predator X27 (4K)</t>
  </si>
  <si>
    <t>ACER</t>
  </si>
  <si>
    <t>№АРТ-076</t>
  </si>
  <si>
    <t xml:space="preserve">Клавиатура Razer BlackWidow V4</t>
  </si>
  <si>
    <t>Razer</t>
  </si>
  <si>
    <t xml:space="preserve">7 500</t>
  </si>
  <si>
    <t xml:space="preserve">12 990</t>
  </si>
  <si>
    <t>АРТ_077</t>
  </si>
  <si>
    <t xml:space="preserve">клавиатура RAZER BLACKWIDOW V4</t>
  </si>
  <si>
    <t>razer</t>
  </si>
  <si>
    <t xml:space="preserve">7 200</t>
  </si>
  <si>
    <t>078-24</t>
  </si>
  <si>
    <t xml:space="preserve">Клавиатура Razer BlackWidow V4 (Зеленая)</t>
  </si>
  <si>
    <t>RAZER</t>
  </si>
  <si>
    <t xml:space="preserve">7 800</t>
  </si>
  <si>
    <t xml:space="preserve">13 500</t>
  </si>
  <si>
    <t>№АРТ-079</t>
  </si>
  <si>
    <t xml:space="preserve">Планшет Lenovo Tab P12</t>
  </si>
  <si>
    <t xml:space="preserve">28 000</t>
  </si>
  <si>
    <t xml:space="preserve">45 999</t>
  </si>
  <si>
    <t>АРТ_080</t>
  </si>
  <si>
    <t xml:space="preserve">планшет LENOVO TAB P12</t>
  </si>
  <si>
    <t xml:space="preserve">27 000</t>
  </si>
  <si>
    <t xml:space="preserve">44 500</t>
  </si>
  <si>
    <t>081/24</t>
  </si>
  <si>
    <t xml:space="preserve">Планшет Lenovo Tab P12 (Pro)</t>
  </si>
  <si>
    <t xml:space="preserve">29 000</t>
  </si>
  <si>
    <t xml:space="preserve">47 500</t>
  </si>
  <si>
    <t>№АРТ-082</t>
  </si>
  <si>
    <t xml:space="preserve">Смарт-часы Samsung Galaxy Watch6</t>
  </si>
  <si>
    <t xml:space="preserve">25 000</t>
  </si>
  <si>
    <t xml:space="preserve">39 990</t>
  </si>
  <si>
    <t>АРТ_083</t>
  </si>
  <si>
    <t xml:space="preserve">смарт-часы SAMSUNG GALAXY WATCH6</t>
  </si>
  <si>
    <t xml:space="preserve">24 000</t>
  </si>
  <si>
    <t xml:space="preserve">38 500</t>
  </si>
  <si>
    <t>084-24</t>
  </si>
  <si>
    <t xml:space="preserve">Смарт-часы Samsung Galaxy Watch6 (Classic)</t>
  </si>
  <si>
    <t xml:space="preserve">26 000</t>
  </si>
  <si>
    <t>№АРТ-085</t>
  </si>
  <si>
    <t xml:space="preserve">Ноутбук Asus Zenbook 14</t>
  </si>
  <si>
    <t>Asus</t>
  </si>
  <si>
    <t xml:space="preserve">72 000</t>
  </si>
  <si>
    <t xml:space="preserve">109 990</t>
  </si>
  <si>
    <t>АРТ_086</t>
  </si>
  <si>
    <t xml:space="preserve">ноутбук ASUS ZENBOOK 14</t>
  </si>
  <si>
    <t xml:space="preserve">107 500</t>
  </si>
  <si>
    <t>087/24</t>
  </si>
  <si>
    <t xml:space="preserve">Ноутбук Asus Zenbook 14 (OLED)</t>
  </si>
  <si>
    <t xml:space="preserve">73 500</t>
  </si>
  <si>
    <t>№АРТ-088</t>
  </si>
  <si>
    <t xml:space="preserve">Телевизор Xiaomi TV A2</t>
  </si>
  <si>
    <t>АРТ_089</t>
  </si>
  <si>
    <t xml:space="preserve">телевизор XIAOMI TV A2</t>
  </si>
  <si>
    <t xml:space="preserve">34 000</t>
  </si>
  <si>
    <t>090-24</t>
  </si>
  <si>
    <t xml:space="preserve">Телевизор Xiaomi TV A2 (43")</t>
  </si>
  <si>
    <t xml:space="preserve">36 000</t>
  </si>
  <si>
    <t xml:space="preserve">56 500</t>
  </si>
  <si>
    <t>№АРТ-091</t>
  </si>
  <si>
    <t xml:space="preserve">Наушники Anker Soundcore Q45</t>
  </si>
  <si>
    <t>Anker</t>
  </si>
  <si>
    <t xml:space="preserve">6 000</t>
  </si>
  <si>
    <t>АРТ_092</t>
  </si>
  <si>
    <t xml:space="preserve">наушники ANKER SOUNDCORE Q45</t>
  </si>
  <si>
    <t>anker</t>
  </si>
  <si>
    <t>093/24</t>
  </si>
  <si>
    <t xml:space="preserve">Наушники Anker Soundcore Q45 (Черные)</t>
  </si>
  <si>
    <t>ANKER</t>
  </si>
  <si>
    <t>№АРТ-094</t>
  </si>
  <si>
    <t xml:space="preserve">Монитор Dell UltraSharp U3223QE</t>
  </si>
  <si>
    <t xml:space="preserve">62 000</t>
  </si>
  <si>
    <t xml:space="preserve">94 900</t>
  </si>
  <si>
    <t>АРТ_095</t>
  </si>
  <si>
    <t xml:space="preserve">монитор DELL ULTRASHARP U3223QE</t>
  </si>
  <si>
    <t xml:space="preserve">60 500</t>
  </si>
  <si>
    <t xml:space="preserve">92 000</t>
  </si>
  <si>
    <t>096-24</t>
  </si>
  <si>
    <t xml:space="preserve">Монитор Dell UltraSharp U3223QE (4K)</t>
  </si>
  <si>
    <t xml:space="preserve">97 000</t>
  </si>
  <si>
    <t>№АРТ-097</t>
  </si>
  <si>
    <t xml:space="preserve">Мышь Razer DeathAdder V3</t>
  </si>
  <si>
    <t xml:space="preserve">3 500</t>
  </si>
  <si>
    <t xml:space="preserve">6 990</t>
  </si>
  <si>
    <t>АРТ_098</t>
  </si>
  <si>
    <t xml:space="preserve">мышь RAZER DEATHADDER V3</t>
  </si>
  <si>
    <t xml:space="preserve">3 200</t>
  </si>
  <si>
    <t>099/24</t>
  </si>
  <si>
    <t xml:space="preserve">Мышь Razer DeathAdder V3 (Pro)</t>
  </si>
  <si>
    <t xml:space="preserve">3 800</t>
  </si>
  <si>
    <t>№АРТ-100</t>
  </si>
  <si>
    <t xml:space="preserve">Планшет Apple iPad Mini</t>
  </si>
  <si>
    <t>АРТ_101</t>
  </si>
  <si>
    <t xml:space="preserve">планшет APPLE IPAD MINI</t>
  </si>
  <si>
    <t>102-24</t>
  </si>
  <si>
    <t xml:space="preserve">Планшет Apple iPad Mini (Wi-Fi)</t>
  </si>
  <si>
    <t>№АРТ-103</t>
  </si>
  <si>
    <t xml:space="preserve">Ноутбук MSI Stealth 16</t>
  </si>
  <si>
    <t>MSI</t>
  </si>
  <si>
    <t xml:space="preserve">149 990</t>
  </si>
  <si>
    <t>АРТ_104</t>
  </si>
  <si>
    <t xml:space="preserve">ноутбук MSI STEALTH 16</t>
  </si>
  <si>
    <t>msi</t>
  </si>
  <si>
    <t xml:space="preserve">96 000</t>
  </si>
  <si>
    <t xml:space="preserve">147 000</t>
  </si>
  <si>
    <t>105/24</t>
  </si>
  <si>
    <t xml:space="preserve">Ноутбук MSI Stealth 16 (Gaming)</t>
  </si>
  <si>
    <t xml:space="preserve">99 500</t>
  </si>
  <si>
    <t xml:space="preserve">152 000</t>
  </si>
  <si>
    <t>№АРТ-106</t>
  </si>
  <si>
    <t xml:space="preserve">Смартфон Realme GT 3</t>
  </si>
  <si>
    <t>Realme</t>
  </si>
  <si>
    <t xml:space="preserve">47 990</t>
  </si>
  <si>
    <t>АРТ_107</t>
  </si>
  <si>
    <t xml:space="preserve">смартфон REALME GT 3</t>
  </si>
  <si>
    <t>realme</t>
  </si>
  <si>
    <t>108-24</t>
  </si>
  <si>
    <t xml:space="preserve">Смартфон Realme GT 3 (White)</t>
  </si>
  <si>
    <t>REALME</t>
  </si>
  <si>
    <t xml:space="preserve">49 500</t>
  </si>
  <si>
    <t>№АРТ-109</t>
  </si>
  <si>
    <t xml:space="preserve">Телевизор Hisense U8K</t>
  </si>
  <si>
    <t>Hisense</t>
  </si>
  <si>
    <t xml:space="preserve">78 000</t>
  </si>
  <si>
    <t xml:space="preserve">119 999</t>
  </si>
  <si>
    <t>АРТ_110</t>
  </si>
  <si>
    <t xml:space="preserve">телевизор HISENSE U8K</t>
  </si>
  <si>
    <t>hisense</t>
  </si>
  <si>
    <t xml:space="preserve">76 000</t>
  </si>
  <si>
    <t xml:space="preserve">117 000</t>
  </si>
  <si>
    <t>111/24</t>
  </si>
  <si>
    <t xml:space="preserve">Телевизор Hisense U8K (65")</t>
  </si>
  <si>
    <t>HISENSE</t>
  </si>
  <si>
    <t xml:space="preserve">79 500</t>
  </si>
  <si>
    <t>№АРТ-112</t>
  </si>
  <si>
    <t xml:space="preserve">Наушники Sennheiser HD 660S</t>
  </si>
  <si>
    <t>Sennheiser</t>
  </si>
  <si>
    <t xml:space="preserve">22 000</t>
  </si>
  <si>
    <t xml:space="preserve">34 990</t>
  </si>
  <si>
    <t>АРТ_113</t>
  </si>
  <si>
    <t xml:space="preserve">наушники SENNHEISER HD 660S</t>
  </si>
  <si>
    <t>sennheiser</t>
  </si>
  <si>
    <t xml:space="preserve">21 000</t>
  </si>
  <si>
    <t xml:space="preserve">33 500</t>
  </si>
  <si>
    <t>114-24</t>
  </si>
  <si>
    <t xml:space="preserve">Наушники Sennheiser HD 660S (Открытые)</t>
  </si>
  <si>
    <t>SENNHEISER</t>
  </si>
  <si>
    <t xml:space="preserve">23 000</t>
  </si>
  <si>
    <t>№АРТ-115</t>
  </si>
  <si>
    <t xml:space="preserve">Монитор ViewSonic VP2780</t>
  </si>
  <si>
    <t>ViewSonic</t>
  </si>
  <si>
    <t xml:space="preserve">48 000</t>
  </si>
  <si>
    <t xml:space="preserve">74 900</t>
  </si>
  <si>
    <t>АРТ_116</t>
  </si>
  <si>
    <t xml:space="preserve">монитор VIEWSONIC VP2780</t>
  </si>
  <si>
    <t>viewsonic</t>
  </si>
  <si>
    <t xml:space="preserve">72 500</t>
  </si>
  <si>
    <t>117/24</t>
  </si>
  <si>
    <t xml:space="preserve">Монитор ViewSonic VP2780 (Pro)</t>
  </si>
  <si>
    <t>VIEWSONIC</t>
  </si>
  <si>
    <t xml:space="preserve">77 000</t>
  </si>
  <si>
    <t>№АРТ-118</t>
  </si>
  <si>
    <t xml:space="preserve">Клавиатура Keychron K8 Pro</t>
  </si>
  <si>
    <t>Keychron</t>
  </si>
  <si>
    <t xml:space="preserve">7 990</t>
  </si>
  <si>
    <t>АРТ_119</t>
  </si>
  <si>
    <t xml:space="preserve">клавиатура KEYCHRON K8 PRO</t>
  </si>
  <si>
    <t>keychron</t>
  </si>
  <si>
    <t>120-24</t>
  </si>
  <si>
    <t xml:space="preserve">Клавиатура Keychron K8 Pro (Беспроводная)</t>
  </si>
  <si>
    <t>KEYCHRON</t>
  </si>
  <si>
    <t>№АРТ-121</t>
  </si>
  <si>
    <t xml:space="preserve">Смарт-часы Garmin Fenix 7</t>
  </si>
  <si>
    <t>Garmin</t>
  </si>
  <si>
    <t xml:space="preserve">84 990</t>
  </si>
  <si>
    <t>АРТ_122</t>
  </si>
  <si>
    <t xml:space="preserve">смарт-часы GARMIN FENIX 7</t>
  </si>
  <si>
    <t>garmin</t>
  </si>
  <si>
    <t xml:space="preserve">82 500</t>
  </si>
  <si>
    <t>123/24</t>
  </si>
  <si>
    <t xml:space="preserve">Смарт-часы Garmin Fenix 7 (Sapphire)</t>
  </si>
  <si>
    <t>GARMIN</t>
  </si>
  <si>
    <t xml:space="preserve">87 000</t>
  </si>
  <si>
    <t>№АРТ-124</t>
  </si>
  <si>
    <t xml:space="preserve">Ноутбук Razer Blade 18</t>
  </si>
  <si>
    <t xml:space="preserve">110 000</t>
  </si>
  <si>
    <t xml:space="preserve">169 990</t>
  </si>
  <si>
    <t>АРТ_125</t>
  </si>
  <si>
    <t xml:space="preserve">ноутбук RAZER BLADE 18</t>
  </si>
  <si>
    <t xml:space="preserve">108 000</t>
  </si>
  <si>
    <t xml:space="preserve">166 500</t>
  </si>
  <si>
    <t>126-24</t>
  </si>
  <si>
    <t xml:space="preserve">Ноутбук Razer Blade 18 (Gaming)</t>
  </si>
  <si>
    <t xml:space="preserve">173 000</t>
  </si>
  <si>
    <t>№АРТ-127</t>
  </si>
  <si>
    <t xml:space="preserve">Смартфон Nothing Phone 2</t>
  </si>
  <si>
    <t>Nothing</t>
  </si>
  <si>
    <t xml:space="preserve">30 000</t>
  </si>
  <si>
    <t xml:space="preserve">51 990</t>
  </si>
  <si>
    <t>АРТ_128</t>
  </si>
  <si>
    <t xml:space="preserve">смартфон NOTHING PHONE 2</t>
  </si>
  <si>
    <t>nothing</t>
  </si>
  <si>
    <t>129/24</t>
  </si>
  <si>
    <t xml:space="preserve">Смартфон Nothing Phone 2 (Dark)</t>
  </si>
  <si>
    <t>NOTHING</t>
  </si>
  <si>
    <t xml:space="preserve">31 000</t>
  </si>
  <si>
    <t>№АРТ-130</t>
  </si>
  <si>
    <t xml:space="preserve">Планшет Xiaomi Pad 6</t>
  </si>
  <si>
    <t xml:space="preserve">42 990</t>
  </si>
  <si>
    <t>АРТ_131</t>
  </si>
  <si>
    <t xml:space="preserve">планшет XIAOMI PAD 6</t>
  </si>
  <si>
    <t xml:space="preserve">41 500</t>
  </si>
  <si>
    <t>132-24</t>
  </si>
  <si>
    <t xml:space="preserve">Планшет Xiaomi Pad 6 (Pro)</t>
  </si>
  <si>
    <t>№АРТ-133</t>
  </si>
  <si>
    <t xml:space="preserve">Телевизор Philips Ambilight 65</t>
  </si>
  <si>
    <t>Philips</t>
  </si>
  <si>
    <t xml:space="preserve">126 990</t>
  </si>
  <si>
    <t>АРТ_134</t>
  </si>
  <si>
    <t xml:space="preserve">телевизор PHILIPS AMBILIGHT 65</t>
  </si>
  <si>
    <t>philips</t>
  </si>
  <si>
    <t xml:space="preserve">80 000</t>
  </si>
  <si>
    <t xml:space="preserve">124 000</t>
  </si>
  <si>
    <t>135/24</t>
  </si>
  <si>
    <t xml:space="preserve">Телевизор Philips Ambilight 65 (4K)</t>
  </si>
  <si>
    <t>PHILIPS</t>
  </si>
  <si>
    <t xml:space="preserve">129 500</t>
  </si>
  <si>
    <t>№АРТ-136</t>
  </si>
  <si>
    <t xml:space="preserve">Наушники Bose QC45</t>
  </si>
  <si>
    <t>Bose</t>
  </si>
  <si>
    <t xml:space="preserve">14 000</t>
  </si>
  <si>
    <t xml:space="preserve">22 990</t>
  </si>
  <si>
    <t>АРТ_137</t>
  </si>
  <si>
    <t xml:space="preserve">наушники BOSE QC45</t>
  </si>
  <si>
    <t>bose</t>
  </si>
  <si>
    <t>138-24</t>
  </si>
  <si>
    <t xml:space="preserve">Наушники Bose QC45 (Silver)</t>
  </si>
  <si>
    <t>BOSE</t>
  </si>
  <si>
    <t>№АРТ-139</t>
  </si>
  <si>
    <t xml:space="preserve">Монитор BenQ PD3220U</t>
  </si>
  <si>
    <t>BenQ</t>
  </si>
  <si>
    <t xml:space="preserve">58 000</t>
  </si>
  <si>
    <t>АРТ_140</t>
  </si>
  <si>
    <t xml:space="preserve">монитор BENQ PD3220U</t>
  </si>
  <si>
    <t>benq</t>
  </si>
  <si>
    <t>141/24</t>
  </si>
  <si>
    <t xml:space="preserve">Монитор BenQ PD3220U (4K)</t>
  </si>
  <si>
    <t>BENQ</t>
  </si>
  <si>
    <t xml:space="preserve">59 500</t>
  </si>
  <si>
    <t xml:space="preserve">92 500</t>
  </si>
  <si>
    <t>№АРТ-142</t>
  </si>
  <si>
    <t xml:space="preserve">Мышь Apple Magic Mouse</t>
  </si>
  <si>
    <t>АРТ_143</t>
  </si>
  <si>
    <t xml:space="preserve">мышь APPLE MAGIC MOUSE</t>
  </si>
  <si>
    <t>144-24</t>
  </si>
  <si>
    <t xml:space="preserve">Мышь Apple Magic Mouse (Black)</t>
  </si>
  <si>
    <t>№АРТ-145</t>
  </si>
  <si>
    <t xml:space="preserve">Смартфон Motorola Edge 40</t>
  </si>
  <si>
    <t>Motorola</t>
  </si>
  <si>
    <t xml:space="preserve">45 990</t>
  </si>
  <si>
    <t>АРТ_146</t>
  </si>
  <si>
    <t xml:space="preserve">смартфон MOTOROLA EDGE 40</t>
  </si>
  <si>
    <t>motorola</t>
  </si>
  <si>
    <t>147/24</t>
  </si>
  <si>
    <t xml:space="preserve">Смартфон Motorola Edge 40 (Pro)</t>
  </si>
  <si>
    <t>MOTOROLA</t>
  </si>
  <si>
    <t>№АРТ-148</t>
  </si>
  <si>
    <t xml:space="preserve">Ноутбук Gigabyte Aorus 17</t>
  </si>
  <si>
    <t>Gigabyte</t>
  </si>
  <si>
    <t xml:space="preserve">139 990</t>
  </si>
  <si>
    <t>АРТ_149</t>
  </si>
  <si>
    <t xml:space="preserve">ноутбук GIGABYTE AORUS 17</t>
  </si>
  <si>
    <t>gigabyte</t>
  </si>
  <si>
    <t>150-24</t>
  </si>
  <si>
    <t xml:space="preserve">Ноутбук Gigabyte Aorus 17 (Gaming)</t>
  </si>
  <si>
    <t>GIGABYTE</t>
  </si>
  <si>
    <t xml:space="preserve">142 500</t>
  </si>
  <si>
    <t>№АРТ-151</t>
  </si>
  <si>
    <t xml:space="preserve">Телевизор Panasonic HZ2000</t>
  </si>
  <si>
    <t>Panasonic</t>
  </si>
  <si>
    <t xml:space="preserve">100 000</t>
  </si>
  <si>
    <t xml:space="preserve">154 990</t>
  </si>
  <si>
    <t>АРТ_152</t>
  </si>
  <si>
    <t xml:space="preserve">телевизор PANASONIC HZ2000</t>
  </si>
  <si>
    <t>panasonic</t>
  </si>
  <si>
    <t xml:space="preserve">151 500</t>
  </si>
  <si>
    <t>153/24</t>
  </si>
  <si>
    <t xml:space="preserve">Телевизор Panasonic HZ2000 (OLED)</t>
  </si>
  <si>
    <t>PANASONIC</t>
  </si>
  <si>
    <t xml:space="preserve">102 000</t>
  </si>
  <si>
    <t xml:space="preserve">158 000</t>
  </si>
  <si>
    <t>№АРТ-154</t>
  </si>
  <si>
    <t xml:space="preserve">Наушники Audio-Technica ATH-M50x</t>
  </si>
  <si>
    <t>Audio-Technica</t>
  </si>
  <si>
    <t xml:space="preserve">10 000</t>
  </si>
  <si>
    <t xml:space="preserve">16 990</t>
  </si>
  <si>
    <t>АРТ_155</t>
  </si>
  <si>
    <t xml:space="preserve">наушники AUDIO-TECHNICA ATH-M50X</t>
  </si>
  <si>
    <t>audio-technica</t>
  </si>
  <si>
    <t xml:space="preserve">16 000</t>
  </si>
  <si>
    <t>156-24</t>
  </si>
  <si>
    <t xml:space="preserve">Наушники Audio-Technica ATH-M50x (BT)</t>
  </si>
  <si>
    <t>AUDIO-TECHNICA</t>
  </si>
  <si>
    <t xml:space="preserve">17 800</t>
  </si>
  <si>
    <t>№АРТ-157</t>
  </si>
  <si>
    <t xml:space="preserve">Монитор ASUS ProArt PA329CV</t>
  </si>
  <si>
    <t xml:space="preserve">60 000</t>
  </si>
  <si>
    <t xml:space="preserve">92 900</t>
  </si>
  <si>
    <t>АРТ_158</t>
  </si>
  <si>
    <t xml:space="preserve">монитор ASUS PROART PA329CV</t>
  </si>
  <si>
    <t>159/24</t>
  </si>
  <si>
    <t xml:space="preserve">Монитор ASUS ProArt PA329CV (4K)</t>
  </si>
  <si>
    <t xml:space="preserve">61 500</t>
  </si>
  <si>
    <t xml:space="preserve">95 500</t>
  </si>
  <si>
    <t>№АРТ-160</t>
  </si>
  <si>
    <t xml:space="preserve">Клавиатура Ducky One 3 Mini</t>
  </si>
  <si>
    <t>Ducky</t>
  </si>
  <si>
    <t xml:space="preserve">5 000</t>
  </si>
  <si>
    <t>АРТ_161</t>
  </si>
  <si>
    <t xml:space="preserve">клавиатура DUCKY ONE 3 MINI</t>
  </si>
  <si>
    <t>ducky</t>
  </si>
  <si>
    <t xml:space="preserve">4 700</t>
  </si>
  <si>
    <t>162-24</t>
  </si>
  <si>
    <t xml:space="preserve">Клавиатура Ducky One 3 Mini (RGB)</t>
  </si>
  <si>
    <t>DUCKY</t>
  </si>
  <si>
    <t>№АРТ-163</t>
  </si>
  <si>
    <t xml:space="preserve">Смарт-часы Huawei Watch GT4</t>
  </si>
  <si>
    <t xml:space="preserve">29 990</t>
  </si>
  <si>
    <t>АРТ_164</t>
  </si>
  <si>
    <t xml:space="preserve">смарт-часы HUAWEI WATCH GT4</t>
  </si>
  <si>
    <t xml:space="preserve">17 000</t>
  </si>
  <si>
    <t xml:space="preserve">28 500</t>
  </si>
  <si>
    <t>165/24</t>
  </si>
  <si>
    <t xml:space="preserve">Смарт-часы Huawei Watch GT4 (41mm)</t>
  </si>
  <si>
    <t>№АРТ-166</t>
  </si>
  <si>
    <t xml:space="preserve">Планшет Microsoft Surface Pro 9</t>
  </si>
  <si>
    <t>Microsoft</t>
  </si>
  <si>
    <t xml:space="preserve">82 990</t>
  </si>
  <si>
    <t>АРТ_167</t>
  </si>
  <si>
    <t xml:space="preserve">планшет MICROSOFT SURFACE PRO 9</t>
  </si>
  <si>
    <t>microsoft</t>
  </si>
  <si>
    <t xml:space="preserve">50 000</t>
  </si>
  <si>
    <t>168-24</t>
  </si>
  <si>
    <t xml:space="preserve">Планшет Microsoft Surface Pro 9 (i5)</t>
  </si>
  <si>
    <t>MICROSOFT</t>
  </si>
  <si>
    <t>№АРТ-169</t>
  </si>
  <si>
    <t xml:space="preserve">Смартфон Oppo Find X6</t>
  </si>
  <si>
    <t>Oppo</t>
  </si>
  <si>
    <t xml:space="preserve">57 990</t>
  </si>
  <si>
    <t>АРТ_170</t>
  </si>
  <si>
    <t xml:space="preserve">смартфон OPPO FIND X6</t>
  </si>
  <si>
    <t>oppo</t>
  </si>
  <si>
    <t>171/24</t>
  </si>
  <si>
    <t xml:space="preserve">Смартфон Oppo Find X6 (Pro)</t>
  </si>
  <si>
    <t>OPPO</t>
  </si>
  <si>
    <t>№АРТ-172</t>
  </si>
  <si>
    <t xml:space="preserve">Ноутбук Acer Swift 5</t>
  </si>
  <si>
    <t xml:space="preserve">104 990</t>
  </si>
  <si>
    <t>АРТ_173</t>
  </si>
  <si>
    <t xml:space="preserve">ноутбук ACER SWIFT 5</t>
  </si>
  <si>
    <t>174-24</t>
  </si>
  <si>
    <t xml:space="preserve">Ноутбук Acer Swift 5 (OLED)</t>
  </si>
  <si>
    <t>№АРТ-175</t>
  </si>
  <si>
    <t xml:space="preserve">Телевизор Vizio M-Series 65</t>
  </si>
  <si>
    <t>Vizio</t>
  </si>
  <si>
    <t xml:space="preserve">99 990</t>
  </si>
  <si>
    <t>АРТ_176</t>
  </si>
  <si>
    <t xml:space="preserve">телевизор VIZIO M-SERIES 65</t>
  </si>
  <si>
    <t>vizio</t>
  </si>
  <si>
    <t xml:space="preserve">63 000</t>
  </si>
  <si>
    <t>177/24</t>
  </si>
  <si>
    <t xml:space="preserve">Телевизор Vizio M-Series 65 (Quantum)</t>
  </si>
  <si>
    <t>VIZIO</t>
  </si>
  <si>
    <t xml:space="preserve">102 500</t>
  </si>
  <si>
    <t>№АРТ-178</t>
  </si>
  <si>
    <t xml:space="preserve">Наушники Jabra Elite 85h</t>
  </si>
  <si>
    <t>Jabra</t>
  </si>
  <si>
    <t xml:space="preserve">8 000</t>
  </si>
  <si>
    <t xml:space="preserve">13 990</t>
  </si>
  <si>
    <t>АРТ_179</t>
  </si>
  <si>
    <t xml:space="preserve">наушники JABRA ELITE 85H</t>
  </si>
  <si>
    <t>jabra</t>
  </si>
  <si>
    <t xml:space="preserve">13 000</t>
  </si>
  <si>
    <t>180-24</t>
  </si>
  <si>
    <t xml:space="preserve">Наушники Jabra Elite 85h (Navy)</t>
  </si>
  <si>
    <t>JABRA</t>
  </si>
  <si>
    <t xml:space="preserve">14 800</t>
  </si>
  <si>
    <t>№АРТ-181</t>
  </si>
  <si>
    <t xml:space="preserve">Монитор Eizo ColorEdge CS2740</t>
  </si>
  <si>
    <t>Eizo</t>
  </si>
  <si>
    <t>АРТ_182</t>
  </si>
  <si>
    <t xml:space="preserve">монитор EIZO COLOREDGE CS2740</t>
  </si>
  <si>
    <t>eizo</t>
  </si>
  <si>
    <t>183/24</t>
  </si>
  <si>
    <t xml:space="preserve">Монитор Eizo ColorEdge CS2740 (Pro)</t>
  </si>
  <si>
    <t>EIZO</t>
  </si>
  <si>
    <t>№АРТ-184</t>
  </si>
  <si>
    <t xml:space="preserve">Колонка Sony SRS-XG300</t>
  </si>
  <si>
    <t>АРТ_185</t>
  </si>
  <si>
    <t xml:space="preserve">колонка SONY SRS-XG300</t>
  </si>
  <si>
    <t>186-24</t>
  </si>
  <si>
    <t xml:space="preserve">Колонка Sony SRS-XG300 (Black)</t>
  </si>
  <si>
    <t>№АРТ-187</t>
  </si>
  <si>
    <t xml:space="preserve">Смарт-часы Apple Watch Series 9</t>
  </si>
  <si>
    <t xml:space="preserve">49 990</t>
  </si>
  <si>
    <t>АРТ_188</t>
  </si>
  <si>
    <t xml:space="preserve">смарт-часы APPLE WATCH SERIES 9</t>
  </si>
  <si>
    <t xml:space="preserve">48 500</t>
  </si>
  <si>
    <t>189/24</t>
  </si>
  <si>
    <t xml:space="preserve">Смарт-часы Apple Watch Series 9 (GPS)</t>
  </si>
  <si>
    <t xml:space="preserve">51 500</t>
  </si>
  <si>
    <t>№АРТ-190</t>
  </si>
  <si>
    <t xml:space="preserve">Планшет Amazon Fire HD 10</t>
  </si>
  <si>
    <t>Amazon</t>
  </si>
  <si>
    <t>АРТ_191</t>
  </si>
  <si>
    <t xml:space="preserve">планшет AMAZON FIRE HD 10</t>
  </si>
  <si>
    <t>amazon</t>
  </si>
  <si>
    <t xml:space="preserve">23 500</t>
  </si>
  <si>
    <t>192-24</t>
  </si>
  <si>
    <t xml:space="preserve">Планшет Amazon Fire HD 10 (Plus)</t>
  </si>
  <si>
    <t>AMAZON</t>
  </si>
  <si>
    <t xml:space="preserve">26 500</t>
  </si>
  <si>
    <t>№АРТ-193</t>
  </si>
  <si>
    <t xml:space="preserve">Ноутбук Framework Laptop 13</t>
  </si>
  <si>
    <t>Framework</t>
  </si>
  <si>
    <t xml:space="preserve">129 990</t>
  </si>
  <si>
    <t>АРТ_194</t>
  </si>
  <si>
    <t xml:space="preserve">ноутбук FRAMEWORK LAPTOP 13</t>
  </si>
  <si>
    <t>framework</t>
  </si>
  <si>
    <t xml:space="preserve">83 000</t>
  </si>
  <si>
    <t>195/24</t>
  </si>
  <si>
    <t xml:space="preserve">Ноутбук Framework Laptop 13 (DIY)</t>
  </si>
  <si>
    <t>FRAMEWORK</t>
  </si>
  <si>
    <t xml:space="preserve">132 500</t>
  </si>
  <si>
    <t>№АРТ-196</t>
  </si>
  <si>
    <t xml:space="preserve">Смартфон Vivo X90</t>
  </si>
  <si>
    <t>Vivo</t>
  </si>
  <si>
    <t xml:space="preserve">53 990</t>
  </si>
  <si>
    <t>АРТ_197</t>
  </si>
  <si>
    <t xml:space="preserve">смартфон VIVO X90</t>
  </si>
  <si>
    <t>vivo</t>
  </si>
  <si>
    <t xml:space="preserve">52 500</t>
  </si>
  <si>
    <t>198-24</t>
  </si>
  <si>
    <t xml:space="preserve">Смартфон Vivo X90 (Pro)</t>
  </si>
  <si>
    <t>VIVO</t>
  </si>
  <si>
    <t>№АРТ-199</t>
  </si>
  <si>
    <t xml:space="preserve">Телевизор TCL 55C835</t>
  </si>
  <si>
    <t xml:space="preserve">95 990</t>
  </si>
  <si>
    <t>АРТ_200</t>
  </si>
  <si>
    <t xml:space="preserve">телевизор TCL 55C835</t>
  </si>
  <si>
    <t xml:space="preserve">93 000</t>
  </si>
  <si>
    <t>201/24</t>
  </si>
  <si>
    <t xml:space="preserve">Телевизор TCL 55C835 (Mini LED)</t>
  </si>
  <si>
    <t xml:space="preserve">98 500</t>
  </si>
  <si>
    <t>№АРТ-202</t>
  </si>
  <si>
    <t xml:space="preserve">Наушники Logitech G435</t>
  </si>
  <si>
    <t>АРТ_203</t>
  </si>
  <si>
    <t xml:space="preserve">наушники LOGITECH G435</t>
  </si>
  <si>
    <t>204-24</t>
  </si>
  <si>
    <t xml:space="preserve">Наушники Logitech G435 (Беспроводные)</t>
  </si>
  <si>
    <t xml:space="preserve">10 800</t>
  </si>
  <si>
    <t>№АРТ-205</t>
  </si>
  <si>
    <t xml:space="preserve">Монитор MSI Optix MAG274QRF</t>
  </si>
  <si>
    <t xml:space="preserve">64 990</t>
  </si>
  <si>
    <t>АРТ_206</t>
  </si>
  <si>
    <t xml:space="preserve">монитор MSI OPTIX MAG274QRF</t>
  </si>
  <si>
    <t xml:space="preserve">62 500</t>
  </si>
  <si>
    <t>207/24</t>
  </si>
  <si>
    <t xml:space="preserve">Монитор MSI Optix MAG274QRF (QD)</t>
  </si>
  <si>
    <t xml:space="preserve">42 500</t>
  </si>
  <si>
    <t xml:space="preserve">67 000</t>
  </si>
  <si>
    <t>№АРТ-208</t>
  </si>
  <si>
    <t xml:space="preserve">Клавиатура Corsair K70 RGB</t>
  </si>
  <si>
    <t>Corsair</t>
  </si>
  <si>
    <t>АРТ_209</t>
  </si>
  <si>
    <t xml:space="preserve">клавиатура CORSAIR K70 RGB</t>
  </si>
  <si>
    <t>corsair</t>
  </si>
  <si>
    <t>210-24</t>
  </si>
  <si>
    <t xml:space="preserve">Клавиатура Corsair K70 RGB (Pro)</t>
  </si>
  <si>
    <t>CORSAIR</t>
  </si>
  <si>
    <t xml:space="preserve">7 000</t>
  </si>
  <si>
    <t>№АРТ-211</t>
  </si>
  <si>
    <t xml:space="preserve">Смартфон Honor Magic 5</t>
  </si>
  <si>
    <t>Honor</t>
  </si>
  <si>
    <t xml:space="preserve">59 990</t>
  </si>
  <si>
    <t>АРТ_212</t>
  </si>
  <si>
    <t xml:space="preserve">смартфон HONOR MAGIC 5</t>
  </si>
  <si>
    <t>honor</t>
  </si>
  <si>
    <t>213/24</t>
  </si>
  <si>
    <t xml:space="preserve">Смартфон Honor Magic 5 (Pro)</t>
  </si>
  <si>
    <t>HONOR</t>
  </si>
  <si>
    <t xml:space="preserve">37 000</t>
  </si>
  <si>
    <t>№АРТ-214</t>
  </si>
  <si>
    <t xml:space="preserve">Планшет Samsung Galaxy A8</t>
  </si>
  <si>
    <t xml:space="preserve">26 990</t>
  </si>
  <si>
    <t>АРТ_215</t>
  </si>
  <si>
    <t xml:space="preserve">планшет SAMSUNG GALAXY A8</t>
  </si>
  <si>
    <t xml:space="preserve">25 500</t>
  </si>
  <si>
    <t>216-24</t>
  </si>
  <si>
    <t xml:space="preserve">Планшет Samsung Galaxy A8 (Wi-Fi)</t>
  </si>
  <si>
    <t>№АРТ-217</t>
  </si>
  <si>
    <t xml:space="preserve">Телевизор LG UQ8000</t>
  </si>
  <si>
    <t>АРТ_218</t>
  </si>
  <si>
    <t xml:space="preserve">телевизор LG UQ8000</t>
  </si>
  <si>
    <t xml:space="preserve">67 500</t>
  </si>
  <si>
    <t>219/24</t>
  </si>
  <si>
    <t xml:space="preserve">Телевизор LG UQ8000 (65")</t>
  </si>
  <si>
    <t>№АРТ-220</t>
  </si>
  <si>
    <t xml:space="preserve">Наушники Beats Studio Pro</t>
  </si>
  <si>
    <t>Beats</t>
  </si>
  <si>
    <t>АРТ_221</t>
  </si>
  <si>
    <t xml:space="preserve">наушники BEATS STUDIO PRO</t>
  </si>
  <si>
    <t>beats</t>
  </si>
  <si>
    <t>222-24</t>
  </si>
  <si>
    <t xml:space="preserve">Наушники Beats Studio Pro (Black)</t>
  </si>
  <si>
    <t>BEATS</t>
  </si>
  <si>
    <t>№АРТ-223</t>
  </si>
  <si>
    <t xml:space="preserve">Монитор HP E27m G4</t>
  </si>
  <si>
    <t xml:space="preserve">54 990</t>
  </si>
  <si>
    <t>АРТ_224</t>
  </si>
  <si>
    <t xml:space="preserve">монитор HP E27M G4</t>
  </si>
  <si>
    <t>225/24</t>
  </si>
  <si>
    <t xml:space="preserve">Монитор HP E27m G4 (4K)</t>
  </si>
  <si>
    <t xml:space="preserve">36 500</t>
  </si>
  <si>
    <t xml:space="preserve">57 000</t>
  </si>
  <si>
    <t>№АРТ-226</t>
  </si>
  <si>
    <t xml:space="preserve">Мышь SteelSeries Aerox 3</t>
  </si>
  <si>
    <t>SteelSeries</t>
  </si>
  <si>
    <t xml:space="preserve">3 000</t>
  </si>
  <si>
    <t xml:space="preserve">5 990</t>
  </si>
  <si>
    <t>АРТ_227</t>
  </si>
  <si>
    <t xml:space="preserve">мышь STEELSERIES AEROX 3</t>
  </si>
  <si>
    <t>steelseries</t>
  </si>
  <si>
    <t xml:space="preserve">2 800</t>
  </si>
  <si>
    <t>228-24</t>
  </si>
  <si>
    <t xml:space="preserve">Мышь SteelSeries Aerox 3 (White)</t>
  </si>
  <si>
    <t>STEELSERIES</t>
  </si>
  <si>
    <t>№АРТ-229</t>
  </si>
  <si>
    <t xml:space="preserve">Ноутбук Lenovo Yoga 9i</t>
  </si>
  <si>
    <t xml:space="preserve">119 990</t>
  </si>
  <si>
    <t>АРТ_230</t>
  </si>
  <si>
    <t xml:space="preserve">ноутбук LENOVO YOGA 9I</t>
  </si>
  <si>
    <t>231/24</t>
  </si>
  <si>
    <t xml:space="preserve">Ноутбук Lenovo Yoga 9i (OLED)</t>
  </si>
  <si>
    <t>№АРТ-232</t>
  </si>
  <si>
    <t xml:space="preserve">Смартфон Google Pixel 7a</t>
  </si>
  <si>
    <t>АРТ_233</t>
  </si>
  <si>
    <t xml:space="preserve">смартфон GOOGLE PIXEL 7A</t>
  </si>
  <si>
    <t>234-24</t>
  </si>
  <si>
    <t xml:space="preserve">Смартфон Google Pixel 7a (Charcoal)</t>
  </si>
  <si>
    <t>№АРТ-235</t>
  </si>
  <si>
    <t xml:space="preserve">Планшет Huawei MateBook E</t>
  </si>
  <si>
    <t xml:space="preserve">38 000</t>
  </si>
  <si>
    <t>АРТ_236</t>
  </si>
  <si>
    <t xml:space="preserve">планшет HUAWEI MATEBOOK E</t>
  </si>
  <si>
    <t>237/24</t>
  </si>
  <si>
    <t xml:space="preserve">Планшет Huawei MateBook E (i5)</t>
  </si>
  <si>
    <t>№АРТ-238</t>
  </si>
  <si>
    <t xml:space="preserve">Телевизор Sony X90L</t>
  </si>
  <si>
    <t xml:space="preserve">110 990</t>
  </si>
  <si>
    <t>АРТ_239</t>
  </si>
  <si>
    <t xml:space="preserve">телевизор SONY X90L</t>
  </si>
  <si>
    <t>240-24</t>
  </si>
  <si>
    <t xml:space="preserve">Телевизор Sony X90L (55")</t>
  </si>
  <si>
    <t xml:space="preserve">113 500</t>
  </si>
  <si>
    <t>№АРТ-241</t>
  </si>
  <si>
    <t xml:space="preserve">Наушники Focal Bathys</t>
  </si>
  <si>
    <t>Focal</t>
  </si>
  <si>
    <t>АРТ_242</t>
  </si>
  <si>
    <t xml:space="preserve">наушники FOCAL BATHYS</t>
  </si>
  <si>
    <t>focal</t>
  </si>
  <si>
    <t>243/24</t>
  </si>
  <si>
    <t xml:space="preserve">Наушники Focal Bathys (Беспроводные)</t>
  </si>
  <si>
    <t>FOCAL</t>
  </si>
  <si>
    <t>№АРТ-244</t>
  </si>
  <si>
    <t xml:space="preserve">Монитор Samsung Smart Monitor M8</t>
  </si>
  <si>
    <t xml:space="preserve">77 990</t>
  </si>
  <si>
    <t>АРТ_245</t>
  </si>
  <si>
    <t xml:space="preserve">монитор SAMSUNG SMART MONITOR M8</t>
  </si>
  <si>
    <t xml:space="preserve">75 000</t>
  </si>
  <si>
    <t>246-24</t>
  </si>
  <si>
    <t xml:space="preserve">Монитор Samsung Smart Monitor M8 (32")</t>
  </si>
  <si>
    <t>№АРТ-247</t>
  </si>
  <si>
    <t xml:space="preserve">Клавиатура Logitech G Pro X</t>
  </si>
  <si>
    <t>АРТ_248</t>
  </si>
  <si>
    <t xml:space="preserve">клавиатура LOGITECH G PRO X</t>
  </si>
  <si>
    <t>249/24</t>
  </si>
  <si>
    <t xml:space="preserve">Клавиатура Logitech G Pro X (Rapid)</t>
  </si>
  <si>
    <t>№АРТ-250</t>
  </si>
  <si>
    <t xml:space="preserve">Смарт-часы Garmin Venu 3</t>
  </si>
  <si>
    <t>АРТ_251</t>
  </si>
  <si>
    <t xml:space="preserve">смарт-часы GARMIN VENU 3</t>
  </si>
  <si>
    <t>252-24</t>
  </si>
  <si>
    <t xml:space="preserve">Смарт-часы Garmin Venu 3 (Sapphire)</t>
  </si>
  <si>
    <t>№АРТ-253</t>
  </si>
  <si>
    <t xml:space="preserve">Ноутбук Dell Alienware m18</t>
  </si>
  <si>
    <t xml:space="preserve">105 000</t>
  </si>
  <si>
    <t xml:space="preserve">159 990</t>
  </si>
  <si>
    <t>АРТ_254</t>
  </si>
  <si>
    <t xml:space="preserve">ноутбук DELL ALIENWARE M18</t>
  </si>
  <si>
    <t xml:space="preserve">103 000</t>
  </si>
  <si>
    <t xml:space="preserve">157 000</t>
  </si>
  <si>
    <t>255/24</t>
  </si>
  <si>
    <t xml:space="preserve">Ноутбук Dell Alienware m18 (Gaming)</t>
  </si>
  <si>
    <t xml:space="preserve">163 000</t>
  </si>
  <si>
    <t>№АРТ-256</t>
  </si>
  <si>
    <t xml:space="preserve">Смартфон Nokia XR21</t>
  </si>
  <si>
    <t>Nokia</t>
  </si>
  <si>
    <t xml:space="preserve">37 990</t>
  </si>
  <si>
    <t>АРТ_257</t>
  </si>
  <si>
    <t xml:space="preserve">смартфон NOKIA XR21</t>
  </si>
  <si>
    <t>nokia</t>
  </si>
  <si>
    <t>258-24</t>
  </si>
  <si>
    <t xml:space="preserve">Смартфон Nokia XR21 (Black)</t>
  </si>
  <si>
    <t>NOKIA</t>
  </si>
  <si>
    <t>№АРТ-259</t>
  </si>
  <si>
    <t xml:space="preserve">Телевизор Philips 55PUS8888</t>
  </si>
  <si>
    <t xml:space="preserve">92 990</t>
  </si>
  <si>
    <t>АРТ_260</t>
  </si>
  <si>
    <t xml:space="preserve">телевизор PHILIPS 55PUS8888</t>
  </si>
  <si>
    <t>261/24</t>
  </si>
  <si>
    <t xml:space="preserve">Телевизор Philips 55PUS8888 (The One)</t>
  </si>
  <si>
    <t>№АРТ-262</t>
  </si>
  <si>
    <t xml:space="preserve">Наушники AKG K371</t>
  </si>
  <si>
    <t>AKG</t>
  </si>
  <si>
    <t xml:space="preserve">11 990</t>
  </si>
  <si>
    <t>АРТ_263</t>
  </si>
  <si>
    <t xml:space="preserve">наушники AKG K371</t>
  </si>
  <si>
    <t>akg</t>
  </si>
  <si>
    <t xml:space="preserve">11 000</t>
  </si>
  <si>
    <t>264-24</t>
  </si>
  <si>
    <t xml:space="preserve">Наушники AKG K371 (BT)</t>
  </si>
  <si>
    <t xml:space="preserve">12 800</t>
  </si>
  <si>
    <t>№АРТ-265</t>
  </si>
  <si>
    <t xml:space="preserve">Монитор AOC U32U1</t>
  </si>
  <si>
    <t>AOC</t>
  </si>
  <si>
    <t xml:space="preserve">67 990</t>
  </si>
  <si>
    <t>АРТ_266</t>
  </si>
  <si>
    <t xml:space="preserve">монитор AOC U32U1</t>
  </si>
  <si>
    <t>aoc</t>
  </si>
  <si>
    <t xml:space="preserve">65 500</t>
  </si>
  <si>
    <t>267/24</t>
  </si>
  <si>
    <t xml:space="preserve">Монитор AOC U32U1 (4K)</t>
  </si>
  <si>
    <t xml:space="preserve">45 500</t>
  </si>
  <si>
    <t>№АРТ-268</t>
  </si>
  <si>
    <t xml:space="preserve">Колонка Marshall Stanmore II</t>
  </si>
  <si>
    <t>АРТ_269</t>
  </si>
  <si>
    <t xml:space="preserve">колонка MARSHALL STANMORE II</t>
  </si>
  <si>
    <t xml:space="preserve">21 500</t>
  </si>
  <si>
    <t>270-24</t>
  </si>
  <si>
    <t xml:space="preserve">Колонка Marshall Stanmore II (Black)</t>
  </si>
  <si>
    <t xml:space="preserve">24 500</t>
  </si>
  <si>
    <t>№АРТ-271</t>
  </si>
  <si>
    <t xml:space="preserve">Смартфон ZTE Axon 40</t>
  </si>
  <si>
    <t>ZTE</t>
  </si>
  <si>
    <t xml:space="preserve">44 990</t>
  </si>
  <si>
    <t>АРТ_272</t>
  </si>
  <si>
    <t xml:space="preserve">смартфон ZTE AXON 40</t>
  </si>
  <si>
    <t>zte</t>
  </si>
  <si>
    <t>273/24</t>
  </si>
  <si>
    <t xml:space="preserve">Смартфон ZTE Axon 40 (Ultra)</t>
  </si>
  <si>
    <t>№АРТ-274</t>
  </si>
  <si>
    <t xml:space="preserve">Планшет Lenovo Yoga Tab 13</t>
  </si>
  <si>
    <t xml:space="preserve">48 990</t>
  </si>
  <si>
    <t>АРТ_275</t>
  </si>
  <si>
    <t xml:space="preserve">планшет LENOVO YOGA TAB 13</t>
  </si>
  <si>
    <t xml:space="preserve">47 000</t>
  </si>
  <si>
    <t>276-24</t>
  </si>
  <si>
    <t xml:space="preserve">Планшет Lenovo Yoga Tab 13 (Pro)</t>
  </si>
  <si>
    <t>№АРТ-277</t>
  </si>
  <si>
    <t xml:space="preserve">Телевизор Samsung QLED Q80B</t>
  </si>
  <si>
    <t xml:space="preserve">114 990</t>
  </si>
  <si>
    <t>АРТ_278</t>
  </si>
  <si>
    <t xml:space="preserve">телевизор SAMSUNG QLED Q80B</t>
  </si>
  <si>
    <t xml:space="preserve">73 000</t>
  </si>
  <si>
    <t>279/24</t>
  </si>
  <si>
    <t xml:space="preserve">Телевизор Samsung QLED Q80B (65")</t>
  </si>
  <si>
    <t xml:space="preserve">76 500</t>
  </si>
  <si>
    <t xml:space="preserve">117 500</t>
  </si>
  <si>
    <t>№АРТ-280</t>
  </si>
  <si>
    <t xml:space="preserve">Наушники Sony WF-1000XM5</t>
  </si>
  <si>
    <t xml:space="preserve">20 000</t>
  </si>
  <si>
    <t xml:space="preserve">32 990</t>
  </si>
  <si>
    <t>АРТ_281</t>
  </si>
  <si>
    <t xml:space="preserve">наушники SONY WF-1000XM5</t>
  </si>
  <si>
    <t>282-24</t>
  </si>
  <si>
    <t xml:space="preserve">Наушники Sony WF-1000XM5 (Black)</t>
  </si>
  <si>
    <t>№АРТ-283</t>
  </si>
  <si>
    <t xml:space="preserve">Монитор LG 34WP88C</t>
  </si>
  <si>
    <t>АРТ_284</t>
  </si>
  <si>
    <t xml:space="preserve">монитор LG 34WP88C</t>
  </si>
  <si>
    <t xml:space="preserve">53 000</t>
  </si>
  <si>
    <t>285/24</t>
  </si>
  <si>
    <t xml:space="preserve">Монитор LG 34WP88C (UltraWide)</t>
  </si>
  <si>
    <t xml:space="preserve">87 500</t>
  </si>
  <si>
    <t>№АРТ-286</t>
  </si>
  <si>
    <t xml:space="preserve">Клавиатура NuPhy Air75</t>
  </si>
  <si>
    <t>NuPhy</t>
  </si>
  <si>
    <t xml:space="preserve">7 490</t>
  </si>
  <si>
    <t>АРТ_287</t>
  </si>
  <si>
    <t xml:space="preserve">клавиатура NUPHY AIR75</t>
  </si>
  <si>
    <t>nuphy</t>
  </si>
  <si>
    <t>288-24</t>
  </si>
  <si>
    <t xml:space="preserve">Клавиатура NuPhy Air75 (RGB)</t>
  </si>
  <si>
    <t>NUPHY</t>
  </si>
  <si>
    <t>№АРТ-289</t>
  </si>
  <si>
    <t xml:space="preserve">Смарт-часы Polar Vantage V3</t>
  </si>
  <si>
    <t>Polar</t>
  </si>
  <si>
    <t xml:space="preserve">62 990</t>
  </si>
  <si>
    <t>АРТ_290</t>
  </si>
  <si>
    <t xml:space="preserve">смарт-часы POLAR VANTAGE V3</t>
  </si>
  <si>
    <t>polar</t>
  </si>
  <si>
    <t>291/24</t>
  </si>
  <si>
    <t xml:space="preserve">Смарт-часы Polar Vantage V3 (Titanium)</t>
  </si>
  <si>
    <t>POLAR</t>
  </si>
  <si>
    <t>№АРТ-292</t>
  </si>
  <si>
    <t xml:space="preserve">Ноутбук Microsoft Surface Laptop 5</t>
  </si>
  <si>
    <t>АРТ_293</t>
  </si>
  <si>
    <t xml:space="preserve">ноутбук MICROSOFT SURFACE LAPTOP 5</t>
  </si>
  <si>
    <t>294-24</t>
  </si>
  <si>
    <t xml:space="preserve">Ноутбук Microsoft Surface Laptop 5 (15")</t>
  </si>
  <si>
    <t xml:space="preserve">137 500</t>
  </si>
  <si>
    <t>№АРТ-295</t>
  </si>
  <si>
    <t xml:space="preserve">Смартфон Infinix Zero 30</t>
  </si>
  <si>
    <t>Infinix</t>
  </si>
  <si>
    <t>АРТ_296</t>
  </si>
  <si>
    <t xml:space="preserve">смартфон INFINIX ZERO 30</t>
  </si>
  <si>
    <t>infinix</t>
  </si>
  <si>
    <t>297/24</t>
  </si>
  <si>
    <t xml:space="preserve">Смартфон Infinix Zero 30 (5G)</t>
  </si>
  <si>
    <t>INFINIX</t>
  </si>
  <si>
    <t>№АРТ-298</t>
  </si>
  <si>
    <t xml:space="preserve">Телевизор Hisense A6K</t>
  </si>
  <si>
    <t xml:space="preserve">65 990</t>
  </si>
  <si>
    <t>АРТ_299</t>
  </si>
  <si>
    <t xml:space="preserve">телевизор HISENSE A6K</t>
  </si>
  <si>
    <t xml:space="preserve">40 500</t>
  </si>
  <si>
    <t>300-24</t>
  </si>
  <si>
    <t xml:space="preserve">Телевизор Hisense A6K (50")</t>
  </si>
  <si>
    <t>№АРТ-301</t>
  </si>
  <si>
    <t xml:space="preserve">Наушники Edifier W820NB</t>
  </si>
  <si>
    <t>Edifier</t>
  </si>
  <si>
    <t>АРТ_302</t>
  </si>
  <si>
    <t xml:space="preserve">наушники EDIFIER W820NB</t>
  </si>
  <si>
    <t>edifier</t>
  </si>
  <si>
    <t xml:space="preserve">4 000</t>
  </si>
  <si>
    <t>303/24</t>
  </si>
  <si>
    <t xml:space="preserve">Наушники Edifier W820NB (Pro)</t>
  </si>
  <si>
    <t>EDIFIER</t>
  </si>
  <si>
    <t xml:space="preserve">8 800</t>
  </si>
  <si>
    <t>№АРТ-304</t>
  </si>
  <si>
    <t xml:space="preserve">Монитор Acer Nitro XV282K</t>
  </si>
  <si>
    <t>АРТ_305</t>
  </si>
  <si>
    <t xml:space="preserve">монитор ACER NITRO XV282K</t>
  </si>
  <si>
    <t xml:space="preserve">57 500</t>
  </si>
  <si>
    <t>306-24</t>
  </si>
  <si>
    <t xml:space="preserve">Монитор Acer Nitro XV282K (4K)</t>
  </si>
  <si>
    <t>№АРТ-307</t>
  </si>
  <si>
    <t xml:space="preserve">Мышь Razer Viper V2 Pro</t>
  </si>
  <si>
    <t>АРТ_308</t>
  </si>
  <si>
    <t xml:space="preserve">мышь RAZER VIPER V2 PRO</t>
  </si>
  <si>
    <t>309/24</t>
  </si>
  <si>
    <t xml:space="preserve">Мышь Razer Viper V2 Pro (White)</t>
  </si>
  <si>
    <t xml:space="preserve">9 800</t>
  </si>
  <si>
    <t>№АРТ-310</t>
  </si>
  <si>
    <t xml:space="preserve">Планшет Samsung Galaxy Tab S8</t>
  </si>
  <si>
    <t>АРТ_311</t>
  </si>
  <si>
    <t xml:space="preserve">планшет SAMSUNG GALAXY TAB S8</t>
  </si>
  <si>
    <t>312-24</t>
  </si>
  <si>
    <t xml:space="preserve">Планшет Samsung Galaxy Tab S8 (Ultra)</t>
  </si>
  <si>
    <t>№АРТ-313</t>
  </si>
  <si>
    <t xml:space="preserve">Смартфон Apple iPhone 14</t>
  </si>
  <si>
    <t>АРТ_314</t>
  </si>
  <si>
    <t xml:space="preserve">смартфон APPLE IPHONE 14</t>
  </si>
  <si>
    <t>315/24</t>
  </si>
  <si>
    <t xml:space="preserve">Смартфон Apple iPhone 14 (Blue)</t>
  </si>
  <si>
    <t>№АРТ-316</t>
  </si>
  <si>
    <t xml:space="preserve">Ноутбук ASUS TUF Gaming F15</t>
  </si>
  <si>
    <t>АРТ_317</t>
  </si>
  <si>
    <t xml:space="preserve">ноутбук ASUS TUF GAMING F15</t>
  </si>
  <si>
    <t>318-24</t>
  </si>
  <si>
    <t xml:space="preserve">Ноутбук ASUS TUF Gaming F15 (Gaming)</t>
  </si>
  <si>
    <t xml:space="preserve">112 500</t>
  </si>
  <si>
    <t>№АРТ-319</t>
  </si>
  <si>
    <t xml:space="preserve">Телевизор TCL 98C735</t>
  </si>
  <si>
    <t xml:space="preserve">120 000</t>
  </si>
  <si>
    <t xml:space="preserve">184 990</t>
  </si>
  <si>
    <t>АРТ_320</t>
  </si>
  <si>
    <t xml:space="preserve">телевизор TCL 98C735</t>
  </si>
  <si>
    <t xml:space="preserve">118 000</t>
  </si>
  <si>
    <t xml:space="preserve">181 500</t>
  </si>
  <si>
    <t>321/24</t>
  </si>
  <si>
    <t xml:space="preserve">Телевизор TCL 98C735 (QLED)</t>
  </si>
  <si>
    <t xml:space="preserve">122 000</t>
  </si>
  <si>
    <t xml:space="preserve">188 000</t>
  </si>
  <si>
    <t>№АРТ-322</t>
  </si>
  <si>
    <t xml:space="preserve">Наушники Sony WH-CH720N</t>
  </si>
  <si>
    <t>АРТ_323</t>
  </si>
  <si>
    <t xml:space="preserve">наушники SONY WH-CH720N</t>
  </si>
  <si>
    <t>324-24</t>
  </si>
  <si>
    <t xml:space="preserve">Наушники Sony WH-CH720N (Black)</t>
  </si>
  <si>
    <t xml:space="preserve">13 800</t>
  </si>
  <si>
    <t>№АРТ-325</t>
  </si>
  <si>
    <t xml:space="preserve">Монитор LG 27UP850N</t>
  </si>
  <si>
    <t xml:space="preserve">43 000</t>
  </si>
  <si>
    <t xml:space="preserve">66 990</t>
  </si>
  <si>
    <t>АРТ_326</t>
  </si>
  <si>
    <t xml:space="preserve">монитор LG 27UP850N</t>
  </si>
  <si>
    <t xml:space="preserve">64 500</t>
  </si>
  <si>
    <t>327/24</t>
  </si>
  <si>
    <t xml:space="preserve">Монитор LG 27UP850N (4K)</t>
  </si>
  <si>
    <t xml:space="preserve">69 000</t>
  </si>
  <si>
    <t>№АРТ-328</t>
  </si>
  <si>
    <t xml:space="preserve">Клавиатура Keychron Q1 Pro</t>
  </si>
  <si>
    <t>АРТ_329</t>
  </si>
  <si>
    <t xml:space="preserve">клавиатура KEYCHRON Q1 PRO</t>
  </si>
  <si>
    <t>330-24</t>
  </si>
  <si>
    <t xml:space="preserve">Клавиатура Keychron Q1 Pro (Knob)</t>
  </si>
  <si>
    <t>№АРТ-331</t>
  </si>
  <si>
    <t xml:space="preserve">Смарт-часы Suunto 9 Peak</t>
  </si>
  <si>
    <t>Suunto</t>
  </si>
  <si>
    <t>АРТ_332</t>
  </si>
  <si>
    <t xml:space="preserve">смарт-часы SUUNTO 9 PEAK</t>
  </si>
  <si>
    <t>suunto</t>
  </si>
  <si>
    <t>333/24</t>
  </si>
  <si>
    <t xml:space="preserve">Смарт-часы Suunto 9 Peak (Titanium)</t>
  </si>
  <si>
    <t>SUUNTO</t>
  </si>
  <si>
    <t>№АРТ-334</t>
  </si>
  <si>
    <t xml:space="preserve">Планшет OnePlus Pad</t>
  </si>
  <si>
    <t>АРТ_335</t>
  </si>
  <si>
    <t xml:space="preserve">планшет ONEPLUS PAD</t>
  </si>
  <si>
    <t>336-24</t>
  </si>
  <si>
    <t xml:space="preserve">Планшет OnePlus Pad (Green)</t>
  </si>
  <si>
    <t>№АРТ-337</t>
  </si>
  <si>
    <t xml:space="preserve">Смартфон Motorola Razr 40</t>
  </si>
  <si>
    <t>АРТ_338</t>
  </si>
  <si>
    <t xml:space="preserve">смартфон MOTOROLA RAZR 40</t>
  </si>
  <si>
    <t>339/24</t>
  </si>
  <si>
    <t xml:space="preserve">Смартфон Motorola Razr 40 (Ultra)</t>
  </si>
  <si>
    <t>№АРТ-340</t>
  </si>
  <si>
    <t xml:space="preserve">Ноутбук Gigabyte Aero 16</t>
  </si>
  <si>
    <t>АРТ_341</t>
  </si>
  <si>
    <t xml:space="preserve">ноутбук GIGABYTE AERO 16</t>
  </si>
  <si>
    <t>342-24</t>
  </si>
  <si>
    <t xml:space="preserve">Ноутбук Gigabyte Aero 16 (OLED)</t>
  </si>
  <si>
    <t>№АРТ-343</t>
  </si>
  <si>
    <t xml:space="preserve">Телевизор Samsung Crystal UHD</t>
  </si>
  <si>
    <t>АРТ_344</t>
  </si>
  <si>
    <t xml:space="preserve">телевизор SAMSUNG CRYSTAL UHD</t>
  </si>
  <si>
    <t>345/24</t>
  </si>
  <si>
    <t xml:space="preserve">Телевизор Samsung Crystal UHD (55")</t>
  </si>
  <si>
    <t>№АРТ-346</t>
  </si>
  <si>
    <t xml:space="preserve">Наушники Audio-Technica ATH-TWX9</t>
  </si>
  <si>
    <t>АРТ_347</t>
  </si>
  <si>
    <t xml:space="preserve">наушники AUDIO-TECHNICA ATH-TWX9</t>
  </si>
  <si>
    <t>348-24</t>
  </si>
  <si>
    <t xml:space="preserve">Наушники Audio-Technica ATH-TWX9 (Black)</t>
  </si>
  <si>
    <t>№АРТ-349</t>
  </si>
  <si>
    <t xml:space="preserve">Монитор Dell S2721QS</t>
  </si>
  <si>
    <t>АРТ_350</t>
  </si>
  <si>
    <t xml:space="preserve">монитор DELL S2721QS</t>
  </si>
  <si>
    <t>351/24</t>
  </si>
  <si>
    <t xml:space="preserve">Монитор Dell S2721QS (4K)</t>
  </si>
  <si>
    <t>№АРТ-352</t>
  </si>
  <si>
    <t xml:space="preserve">Колонка JBL Flip 6</t>
  </si>
  <si>
    <t>АРТ_353</t>
  </si>
  <si>
    <t xml:space="preserve">колонка JBL FLIP 6</t>
  </si>
  <si>
    <t>354-24</t>
  </si>
  <si>
    <t xml:space="preserve">Колонка JBL Flip 6 (Red)</t>
  </si>
  <si>
    <t>№АРТ-355</t>
  </si>
  <si>
    <t xml:space="preserve">Смартфон Huawei P60 Pro</t>
  </si>
  <si>
    <t xml:space="preserve">85 990</t>
  </si>
  <si>
    <t>АРТ_356</t>
  </si>
  <si>
    <t xml:space="preserve">смартфон HUAWEI P60 PRO</t>
  </si>
  <si>
    <t>357/24</t>
  </si>
  <si>
    <t xml:space="preserve">Смартфон Huawei P60 Pro (Art)</t>
  </si>
  <si>
    <t>№АРТ-358</t>
  </si>
  <si>
    <t xml:space="preserve">Планшет Apple iPad Air</t>
  </si>
  <si>
    <t>АРТ_359</t>
  </si>
  <si>
    <t xml:space="preserve">планшет APPLE IPAD AIR</t>
  </si>
  <si>
    <t>360-24</t>
  </si>
  <si>
    <t xml:space="preserve">Планшет Apple iPad Air (M1)</t>
  </si>
  <si>
    <t>№АРТ-361</t>
  </si>
  <si>
    <t xml:space="preserve">Ноутбук MSI Creator Z17</t>
  </si>
  <si>
    <t xml:space="preserve">145 990</t>
  </si>
  <si>
    <t>АРТ_362</t>
  </si>
  <si>
    <t xml:space="preserve">ноутбук MSI CREATOR Z17</t>
  </si>
  <si>
    <t>363/24</t>
  </si>
  <si>
    <t xml:space="preserve">Ноутбук MSI Creator Z17 (Pro)</t>
  </si>
  <si>
    <t xml:space="preserve">149 000</t>
  </si>
  <si>
    <t>№АРТ-364</t>
  </si>
  <si>
    <t xml:space="preserve">Телевизор Sony A80L</t>
  </si>
  <si>
    <t>АРТ_365</t>
  </si>
  <si>
    <t xml:space="preserve">телевизор SONY A80L</t>
  </si>
  <si>
    <t>366-24</t>
  </si>
  <si>
    <t xml:space="preserve">Телевизор Sony A80L (OLED)</t>
  </si>
  <si>
    <t>№АРТ-367</t>
  </si>
  <si>
    <t xml:space="preserve">Наушники Beats Fit Pro</t>
  </si>
  <si>
    <t>АРТ_368</t>
  </si>
  <si>
    <t xml:space="preserve">наушники BEATS FIT PRO</t>
  </si>
  <si>
    <t>369/24</t>
  </si>
  <si>
    <t xml:space="preserve">Наушники Beats Fit Pro (Black)</t>
  </si>
  <si>
    <t>№АРТ-370</t>
  </si>
  <si>
    <t xml:space="preserve">Монитор ASUS VG27AQ</t>
  </si>
  <si>
    <t>АРТ_371</t>
  </si>
  <si>
    <t xml:space="preserve">монитор ASUS VG27AQ</t>
  </si>
  <si>
    <t>372-24</t>
  </si>
  <si>
    <t xml:space="preserve">Монитор ASUS VG27AQ (Gaming)</t>
  </si>
  <si>
    <t>№АРТ-373</t>
  </si>
  <si>
    <t xml:space="preserve">Клавиатура Razer Huntsman V2</t>
  </si>
  <si>
    <t>АРТ_374</t>
  </si>
  <si>
    <t xml:space="preserve">клавиатура RAZER HUNTSMAN V2</t>
  </si>
  <si>
    <t>375/24</t>
  </si>
  <si>
    <t xml:space="preserve">Клавиатура Razer Huntsman V2 (RGB)</t>
  </si>
  <si>
    <t xml:space="preserve">9 000</t>
  </si>
  <si>
    <t>№АРТ-376</t>
  </si>
  <si>
    <t xml:space="preserve">Смарт-часы Xiaomi Watch S1</t>
  </si>
  <si>
    <t>АРТ_377</t>
  </si>
  <si>
    <t xml:space="preserve">смарт-часы XIAOMI WATCH S1</t>
  </si>
  <si>
    <t>378-24</t>
  </si>
  <si>
    <t xml:space="preserve">Смарт-часы Xiaomi Watch S1 (Active)</t>
  </si>
  <si>
    <t>№АРТ-379</t>
  </si>
  <si>
    <t xml:space="preserve">Планшет Samsung Galaxy Tab S6</t>
  </si>
  <si>
    <t xml:space="preserve">36 990</t>
  </si>
  <si>
    <t>АРТ_380</t>
  </si>
  <si>
    <t xml:space="preserve">планшет SAMSUNG GALAXY TAB S6</t>
  </si>
  <si>
    <t xml:space="preserve">35 500</t>
  </si>
  <si>
    <t>381/24</t>
  </si>
  <si>
    <t xml:space="preserve">Планшет Samsung Galaxy Tab S6 (Lite)</t>
  </si>
  <si>
    <t>№АРТ-382</t>
  </si>
  <si>
    <t xml:space="preserve">Смартфон OnePlus Nord 3</t>
  </si>
  <si>
    <t>АРТ_383</t>
  </si>
  <si>
    <t xml:space="preserve">смартфон ONEPLUS NORD 3</t>
  </si>
  <si>
    <t>384-24</t>
  </si>
  <si>
    <t xml:space="preserve">Смартфон OnePlus Nord 3 (Green)</t>
  </si>
  <si>
    <t>№АРТ-385</t>
  </si>
  <si>
    <t xml:space="preserve">Ноутбук HP Omen 16</t>
  </si>
  <si>
    <t xml:space="preserve">116 990</t>
  </si>
  <si>
    <t>АРТ_386</t>
  </si>
  <si>
    <t xml:space="preserve">ноутбук HP OMEN 16</t>
  </si>
  <si>
    <t xml:space="preserve">74 000</t>
  </si>
  <si>
    <t xml:space="preserve">114 000</t>
  </si>
  <si>
    <t>387/24</t>
  </si>
  <si>
    <t xml:space="preserve">Ноутбук HP Omen 16 (Gaming)</t>
  </si>
  <si>
    <t xml:space="preserve">119 500</t>
  </si>
  <si>
    <t>№АРТ-388</t>
  </si>
  <si>
    <t xml:space="preserve">Телевизор Panasonic LX800</t>
  </si>
  <si>
    <t>АРТ_389</t>
  </si>
  <si>
    <t xml:space="preserve">телевизор PANASONIC LX800</t>
  </si>
  <si>
    <t>390-24</t>
  </si>
  <si>
    <t xml:space="preserve">Телевизор Panasonic LX800 (55")</t>
  </si>
  <si>
    <t>№АРТ-391</t>
  </si>
  <si>
    <t xml:space="preserve">Наушники Sony LinkBuds S</t>
  </si>
  <si>
    <t xml:space="preserve">18 990</t>
  </si>
  <si>
    <t>АРТ_392</t>
  </si>
  <si>
    <t xml:space="preserve">наушники SONY LINKBUDS S</t>
  </si>
  <si>
    <t>393/24</t>
  </si>
  <si>
    <t xml:space="preserve">Наушники Sony LinkBuds S (White)</t>
  </si>
  <si>
    <t xml:space="preserve">19 800</t>
  </si>
  <si>
    <t>№АРТ-394</t>
  </si>
  <si>
    <t xml:space="preserve">Монитор BenQ EW3270U</t>
  </si>
  <si>
    <t>АРТ_395</t>
  </si>
  <si>
    <t xml:space="preserve">монитор BENQ EW3270U</t>
  </si>
  <si>
    <t>396-24</t>
  </si>
  <si>
    <t xml:space="preserve">Монитор BenQ EW3270U (4K)</t>
  </si>
  <si>
    <t>№АРТ-397</t>
  </si>
  <si>
    <t xml:space="preserve">Мышь Logitech G502 X</t>
  </si>
  <si>
    <t>АРТ_398</t>
  </si>
  <si>
    <t xml:space="preserve">мышь LOGITECH G502 X</t>
  </si>
  <si>
    <t>399/24</t>
  </si>
  <si>
    <t xml:space="preserve">Мышь Logitech G502 X (Plus)</t>
  </si>
  <si>
    <t>№АРТ-400</t>
  </si>
  <si>
    <t xml:space="preserve">Смартфон Realme C55</t>
  </si>
  <si>
    <t>АРТ_401</t>
  </si>
  <si>
    <t xml:space="preserve">смартфон REALME C55</t>
  </si>
  <si>
    <t>402-24</t>
  </si>
  <si>
    <t xml:space="preserve">Смартфон Realme C55 (Black)</t>
  </si>
  <si>
    <t>№АРТ-403</t>
  </si>
  <si>
    <t xml:space="preserve">Планшет Lenovo Tab M10</t>
  </si>
  <si>
    <t>АРТ_404</t>
  </si>
  <si>
    <t xml:space="preserve">планшет LENOVO TAB M10</t>
  </si>
  <si>
    <t>405/24</t>
  </si>
  <si>
    <t xml:space="preserve">Планшет Lenovo Tab M10 (HD)</t>
  </si>
  <si>
    <t>№АРТ-406</t>
  </si>
  <si>
    <t xml:space="preserve">Телевизор LG NanoCell 75</t>
  </si>
  <si>
    <t>АРТ_407</t>
  </si>
  <si>
    <t xml:space="preserve">телевизор LG NANOCELL 75</t>
  </si>
  <si>
    <t>408-24</t>
  </si>
  <si>
    <t xml:space="preserve">Телевизор LG NanoCell 75 (65")</t>
  </si>
  <si>
    <t>№АРТ-409</t>
  </si>
  <si>
    <t xml:space="preserve">Наушники Sennheiser MOMENTUM 4</t>
  </si>
  <si>
    <t>АРТ_410</t>
  </si>
  <si>
    <t xml:space="preserve">наушники SENNHEISER MOMENTUM 4</t>
  </si>
  <si>
    <t>411/24</t>
  </si>
  <si>
    <t xml:space="preserve">Наушники Sennheiser MOMENTUM 4 (Black)</t>
  </si>
  <si>
    <t>№АРТ-412</t>
  </si>
  <si>
    <t xml:space="preserve">Монитор ViewSonic VP2458</t>
  </si>
  <si>
    <t>АРТ_413</t>
  </si>
  <si>
    <t xml:space="preserve">монитор VIEWSONIC VP2458</t>
  </si>
  <si>
    <t>414-24</t>
  </si>
  <si>
    <t xml:space="preserve">Монитор ViewSonic VP2458 (Pro)</t>
  </si>
  <si>
    <t>№АРТ-415</t>
  </si>
  <si>
    <t xml:space="preserve">Клавиатура Corsair K100 RGB</t>
  </si>
  <si>
    <t xml:space="preserve">14 990</t>
  </si>
  <si>
    <t>АРТ_416</t>
  </si>
  <si>
    <t xml:space="preserve">клавиатура CORSAIR K100 RGB</t>
  </si>
  <si>
    <t>417/24</t>
  </si>
  <si>
    <t xml:space="preserve">Клавиатура Corsair K100 RGB (OPX)</t>
  </si>
  <si>
    <t>№АРТ-418</t>
  </si>
  <si>
    <t xml:space="preserve">Смарт-часы Amazfit T-Rex 2</t>
  </si>
  <si>
    <t>Amazfit</t>
  </si>
  <si>
    <t>АРТ_419</t>
  </si>
  <si>
    <t xml:space="preserve">смарт-часы AMAZFIT T-REX 2</t>
  </si>
  <si>
    <t>amazfit</t>
  </si>
  <si>
    <t>420-24</t>
  </si>
  <si>
    <t xml:space="preserve">Смарт-часы Amazfit T-Rex 2 (Military)</t>
  </si>
  <si>
    <t>AMAZFIT</t>
  </si>
  <si>
    <t>№АРТ-421</t>
  </si>
  <si>
    <t xml:space="preserve">Ноутбук Acer Predator Helios 300</t>
  </si>
  <si>
    <t>АРТ_422</t>
  </si>
  <si>
    <t xml:space="preserve">ноутбук ACER PREDATOR HELIOS 300</t>
  </si>
  <si>
    <t>423/24</t>
  </si>
  <si>
    <t xml:space="preserve">Ноутбук Acer Predator Helios 300 (Gaming)</t>
  </si>
  <si>
    <t>№АРТ-424</t>
  </si>
  <si>
    <t xml:space="preserve">Смартфон Oppo Reno 10</t>
  </si>
  <si>
    <t>АРТ_425</t>
  </si>
  <si>
    <t xml:space="preserve">смартфон OPPO RENO 10</t>
  </si>
  <si>
    <t>426-24</t>
  </si>
  <si>
    <t xml:space="preserve">Смартфон Oppo Reno 10 (Pro)</t>
  </si>
  <si>
    <t>№АРТ-427</t>
  </si>
  <si>
    <t xml:space="preserve">Телевизор Xiaomi TV 5</t>
  </si>
  <si>
    <t>АРТ_428</t>
  </si>
  <si>
    <t xml:space="preserve">телевизор XIAOMI TV 5</t>
  </si>
  <si>
    <t>429/24</t>
  </si>
  <si>
    <t xml:space="preserve">Телевизор Xiaomi TV 5 (55")</t>
  </si>
  <si>
    <t>№АРТ-430</t>
  </si>
  <si>
    <t xml:space="preserve">Наушники Marshall Motif II</t>
  </si>
  <si>
    <t>АРТ_431</t>
  </si>
  <si>
    <t xml:space="preserve">наушники MARSHALL MOTIF II</t>
  </si>
  <si>
    <t>432-24</t>
  </si>
  <si>
    <t xml:space="preserve">Наушники Marshall Motif II (Black)</t>
  </si>
  <si>
    <t>№АРТ-433</t>
  </si>
  <si>
    <t xml:space="preserve">Монитор MSI PRO MP271</t>
  </si>
  <si>
    <t xml:space="preserve">43 990</t>
  </si>
  <si>
    <t>АРТ_434</t>
  </si>
  <si>
    <t xml:space="preserve">монитор MSI PRO MP271</t>
  </si>
  <si>
    <t>435/24</t>
  </si>
  <si>
    <t xml:space="preserve">Монитор MSI PRO MP271 (Business)</t>
  </si>
  <si>
    <t xml:space="preserve">29 500</t>
  </si>
  <si>
    <t>№АРТ-436</t>
  </si>
  <si>
    <t xml:space="preserve">Колонка Sony SRS-XB13</t>
  </si>
  <si>
    <t>АРТ_437</t>
  </si>
  <si>
    <t xml:space="preserve">колонка SONY SRS-XB13</t>
  </si>
  <si>
    <t>438-24</t>
  </si>
  <si>
    <t xml:space="preserve">Колонка Sony SRS-XB13 (Blue)</t>
  </si>
  <si>
    <t>№АРТ-439</t>
  </si>
  <si>
    <t xml:space="preserve">Планшет Honor Pad 8</t>
  </si>
  <si>
    <t>АРТ_440</t>
  </si>
  <si>
    <t xml:space="preserve">планшет HONOR PAD 8</t>
  </si>
  <si>
    <t>441/24</t>
  </si>
  <si>
    <t xml:space="preserve">Планшет Honor Pad 8 (Wi-Fi)</t>
  </si>
  <si>
    <t>№АРТ-442</t>
  </si>
  <si>
    <t xml:space="preserve">Смартфон Vivo Y100</t>
  </si>
  <si>
    <t>АРТ_443</t>
  </si>
  <si>
    <t xml:space="preserve">смартфон VIVO Y100</t>
  </si>
  <si>
    <t>444-24</t>
  </si>
  <si>
    <t xml:space="preserve">Смартфон Vivo Y100 (Black)</t>
  </si>
  <si>
    <t>№АРТ-445</t>
  </si>
  <si>
    <t xml:space="preserve">Ноутбук Framework Laptop 16</t>
  </si>
  <si>
    <t xml:space="preserve">141 990</t>
  </si>
  <si>
    <t>АРТ_446</t>
  </si>
  <si>
    <t xml:space="preserve">ноутбук FRAMEWORK LAPTOP 16</t>
  </si>
  <si>
    <t xml:space="preserve">139 000</t>
  </si>
  <si>
    <t>447/24</t>
  </si>
  <si>
    <t xml:space="preserve">Ноутбук Framework Laptop 16 (Gaming)</t>
  </si>
  <si>
    <t xml:space="preserve">144 500</t>
  </si>
  <si>
    <t>№АРТ-448</t>
  </si>
  <si>
    <t xml:space="preserve">Телевизор Philips 50PUS8507</t>
  </si>
  <si>
    <t xml:space="preserve">73 990</t>
  </si>
  <si>
    <t>АРТ_449</t>
  </si>
  <si>
    <t xml:space="preserve">телевизор PHILIPS 50PUS8507</t>
  </si>
  <si>
    <t>450-24</t>
  </si>
  <si>
    <t xml:space="preserve">Телевизор Philips 50PUS8507 (The One)</t>
  </si>
  <si>
    <t>№АРТ-451</t>
  </si>
  <si>
    <t xml:space="preserve">Наушники Apple AirPods Max</t>
  </si>
  <si>
    <t>АРТ_452</t>
  </si>
  <si>
    <t xml:space="preserve">наушники APPLE AIRPODS MAX</t>
  </si>
  <si>
    <t>453/24</t>
  </si>
  <si>
    <t xml:space="preserve">Наушники Apple AirPods Max (Silver)</t>
  </si>
  <si>
    <t>№АРТ-454</t>
  </si>
  <si>
    <t xml:space="preserve">Монитор Samsung Odyssey G7</t>
  </si>
  <si>
    <t xml:space="preserve">74 990</t>
  </si>
  <si>
    <t>АРТ_455</t>
  </si>
  <si>
    <t xml:space="preserve">монитор SAMSUNG ODYSSEY G7</t>
  </si>
  <si>
    <t>456-24</t>
  </si>
  <si>
    <t xml:space="preserve">Монитор Samsung Odyssey G7 (Curved)</t>
  </si>
  <si>
    <t>№АРТ-457</t>
  </si>
  <si>
    <t xml:space="preserve">Клавиатура Ducky One 2 Mini</t>
  </si>
  <si>
    <t>АРТ_458</t>
  </si>
  <si>
    <t xml:space="preserve">клавиатура DUCKY ONE 2 MINI</t>
  </si>
  <si>
    <t>459/24</t>
  </si>
  <si>
    <t xml:space="preserve">Клавиатура Ducky One 2 Mini (RGB)</t>
  </si>
  <si>
    <t>№АРТ-460</t>
  </si>
  <si>
    <t xml:space="preserve">Смарт-часы Garmin Instinct 2</t>
  </si>
  <si>
    <t>АРТ_461</t>
  </si>
  <si>
    <t xml:space="preserve">смарт-часы GARMIN INSTINCT 2</t>
  </si>
  <si>
    <t>462-24</t>
  </si>
  <si>
    <t xml:space="preserve">Смарт-часы Garmin Instinct 2 (Solar)</t>
  </si>
  <si>
    <t>№АРТ-463</t>
  </si>
  <si>
    <t xml:space="preserve">Планшет Amazon Fire Max 11</t>
  </si>
  <si>
    <t>АРТ_464</t>
  </si>
  <si>
    <t xml:space="preserve">планшет AMAZON FIRE MAX 11</t>
  </si>
  <si>
    <t>465/24</t>
  </si>
  <si>
    <t xml:space="preserve">Планшет Amazon Fire Max 11 (Pro)</t>
  </si>
  <si>
    <t>№АРТ-466</t>
  </si>
  <si>
    <t xml:space="preserve">Смартфон Nokia G60</t>
  </si>
  <si>
    <t>АРТ_467</t>
  </si>
  <si>
    <t xml:space="preserve">смартфон NOKIA G60</t>
  </si>
  <si>
    <t>468-24</t>
  </si>
  <si>
    <t xml:space="preserve">Смартфон Nokia G60 (Black)</t>
  </si>
  <si>
    <t>№АРТ-469</t>
  </si>
  <si>
    <t xml:space="preserve">Телевизор Hisense E7K</t>
  </si>
  <si>
    <t xml:space="preserve">58 990</t>
  </si>
  <si>
    <t>АРТ_470</t>
  </si>
  <si>
    <t xml:space="preserve">телевизор HISENSE E7K</t>
  </si>
  <si>
    <t>471/24</t>
  </si>
  <si>
    <t xml:space="preserve">Телевизор Hisense E7K (55")</t>
  </si>
  <si>
    <t xml:space="preserve">61 000</t>
  </si>
  <si>
    <t>№АРТ-472</t>
  </si>
  <si>
    <t xml:space="preserve">Наушники Sony WF-C500</t>
  </si>
  <si>
    <t>АРТ_473</t>
  </si>
  <si>
    <t xml:space="preserve">наушники SONY WF-C500</t>
  </si>
  <si>
    <t>474-24</t>
  </si>
  <si>
    <t xml:space="preserve">Наушники Sony WF-C500 (Black)</t>
  </si>
  <si>
    <t>№АРТ-475</t>
  </si>
  <si>
    <t xml:space="preserve">Монитор LG 27GN800</t>
  </si>
  <si>
    <t xml:space="preserve">52 990</t>
  </si>
  <si>
    <t>АРТ_476</t>
  </si>
  <si>
    <t xml:space="preserve">монитор LG 27GN800</t>
  </si>
  <si>
    <t>477/24</t>
  </si>
  <si>
    <t xml:space="preserve">Монитор LG 27GN800 (Gaming)</t>
  </si>
  <si>
    <t>№АРТ-478</t>
  </si>
  <si>
    <t xml:space="preserve">Колонка Marshall Emberton II</t>
  </si>
  <si>
    <t>АРТ_479</t>
  </si>
  <si>
    <t xml:space="preserve">колонка MARSHALL EMBERTON II</t>
  </si>
  <si>
    <t>480-24</t>
  </si>
  <si>
    <t xml:space="preserve">Колонка Marshall Emberton II (Black)</t>
  </si>
  <si>
    <t>№АРТ-481</t>
  </si>
  <si>
    <t xml:space="preserve">Планшет Huawei MatePad 11</t>
  </si>
  <si>
    <t>АРТ_482</t>
  </si>
  <si>
    <t xml:space="preserve">планшет HUAWEI MATEPAD 11</t>
  </si>
  <si>
    <t>483/24</t>
  </si>
  <si>
    <t xml:space="preserve">Планшет Huawei MatePad 11 (2023)</t>
  </si>
  <si>
    <t>№АРТ-484</t>
  </si>
  <si>
    <t xml:space="preserve">Смартфон Google Pixel 6a</t>
  </si>
  <si>
    <t xml:space="preserve">33 990</t>
  </si>
  <si>
    <t>АРТ_485</t>
  </si>
  <si>
    <t xml:space="preserve">смартфон GOOGLE PIXEL 6A</t>
  </si>
  <si>
    <t>486-24</t>
  </si>
  <si>
    <t xml:space="preserve">Смартфон Google Pixel 6a (Charcoal)</t>
  </si>
  <si>
    <t>№АРТ-487</t>
  </si>
  <si>
    <t xml:space="preserve">Ноутбук Dell XPS 13</t>
  </si>
  <si>
    <t>АРТ_488</t>
  </si>
  <si>
    <t xml:space="preserve">ноутбук DELL XPS 13</t>
  </si>
  <si>
    <t>489/24</t>
  </si>
  <si>
    <t xml:space="preserve">Ноутбук Dell XPS 13 (Plus)</t>
  </si>
  <si>
    <t>№АРТ-490</t>
  </si>
  <si>
    <t xml:space="preserve">Телевизор Sony X75L</t>
  </si>
  <si>
    <t xml:space="preserve">61 990</t>
  </si>
  <si>
    <t>АРТ_491</t>
  </si>
  <si>
    <t xml:space="preserve">телевизор SONY X75L</t>
  </si>
  <si>
    <t>492-24</t>
  </si>
  <si>
    <t xml:space="preserve">Телевизор Sony X75L (50")</t>
  </si>
  <si>
    <t>№АРТ-493</t>
  </si>
  <si>
    <t xml:space="preserve">Наушники Sennheiser HD 450BT</t>
  </si>
  <si>
    <t>АРТ_494</t>
  </si>
  <si>
    <t xml:space="preserve">наушники SENNHEISER HD 450BT</t>
  </si>
  <si>
    <t>495/24</t>
  </si>
  <si>
    <t xml:space="preserve">Наушники Sennheiser HD 450BT (Black)</t>
  </si>
  <si>
    <t>№АРТ-496</t>
  </si>
  <si>
    <t xml:space="preserve">Монитор ASUS TUF VG32VQ</t>
  </si>
  <si>
    <t>АРТ_497</t>
  </si>
  <si>
    <t xml:space="preserve">монитор ASUS TUF VG32VQ</t>
  </si>
  <si>
    <t>498-24</t>
  </si>
  <si>
    <t xml:space="preserve">Монитор ASUS TUF VG32VQ (Curved)</t>
  </si>
  <si>
    <t>№АРТ-499</t>
  </si>
  <si>
    <t xml:space="preserve">Клавиатура Logitech POP Keys</t>
  </si>
  <si>
    <t>АРТ_500</t>
  </si>
  <si>
    <t xml:space="preserve">клавиатура LOGITECH POP KEYS</t>
  </si>
  <si>
    <t>501/24</t>
  </si>
  <si>
    <t xml:space="preserve">Клавиатура Logitech POP Keys (Pink)</t>
  </si>
  <si>
    <t xml:space="preserve">ID_поставщика (исх.)</t>
  </si>
  <si>
    <t xml:space="preserve">Название (исх.)</t>
  </si>
  <si>
    <t xml:space="preserve">ИНН (исх.)</t>
  </si>
  <si>
    <t xml:space="preserve">КПП (исх.)</t>
  </si>
  <si>
    <t xml:space="preserve">Телефон (исх.)</t>
  </si>
  <si>
    <t xml:space="preserve">Email (исх.)</t>
  </si>
  <si>
    <t xml:space="preserve">Адрес (исх.)</t>
  </si>
  <si>
    <t>ИНН</t>
  </si>
  <si>
    <t xml:space="preserve">Проверка ИНН</t>
  </si>
  <si>
    <t>Телефон</t>
  </si>
  <si>
    <t>Email</t>
  </si>
  <si>
    <t xml:space="preserve">Проверка Email</t>
  </si>
  <si>
    <t>Индекс</t>
  </si>
  <si>
    <t>Адрес</t>
  </si>
  <si>
    <t>P001</t>
  </si>
  <si>
    <t xml:space="preserve">ООО ТехноСнаб</t>
  </si>
  <si>
    <t>7708123456</t>
  </si>
  <si>
    <t>770801001</t>
  </si>
  <si>
    <t>8-903-123-45-67</t>
  </si>
  <si>
    <t>info@tehnosnab.ru</t>
  </si>
  <si>
    <t xml:space="preserve">125009 г.Москва ул.Тверская д.15</t>
  </si>
  <si>
    <t>P002</t>
  </si>
  <si>
    <t xml:space="preserve">ЗАО ЭлектроПром</t>
  </si>
  <si>
    <t>7812345678123</t>
  </si>
  <si>
    <t>781201001</t>
  </si>
  <si>
    <t xml:space="preserve">+7 903 234-56-78</t>
  </si>
  <si>
    <t>zakaz@electroprom</t>
  </si>
  <si>
    <t xml:space="preserve">191186 г.Санкт-Петербург Невский пр.д.28</t>
  </si>
  <si>
    <t>P003</t>
  </si>
  <si>
    <t xml:space="preserve">ООО КомплектСервис</t>
  </si>
  <si>
    <t>77098765</t>
  </si>
  <si>
    <t>770901001</t>
  </si>
  <si>
    <t xml:space="preserve">8 903 345 67 89</t>
  </si>
  <si>
    <t>komplekt@mail.ru</t>
  </si>
  <si>
    <t xml:space="preserve">127006 г.Москва ул.Петровка д.20</t>
  </si>
  <si>
    <t>P004</t>
  </si>
  <si>
    <t xml:space="preserve">АО ТехноИмпорт</t>
  </si>
  <si>
    <t>7712345678</t>
  </si>
  <si>
    <t>771001001</t>
  </si>
  <si>
    <t>+79034567890</t>
  </si>
  <si>
    <t>import@techno</t>
  </si>
  <si>
    <t xml:space="preserve">119019 г.Москва ул.Арбат д.12</t>
  </si>
  <si>
    <t>P005</t>
  </si>
  <si>
    <t xml:space="preserve">ООО ТоргМастер</t>
  </si>
  <si>
    <t>7801234567890</t>
  </si>
  <si>
    <t>780101001</t>
  </si>
  <si>
    <t>8-903-567-89-01</t>
  </si>
  <si>
    <t>torg@master</t>
  </si>
  <si>
    <t xml:space="preserve">192007 г.Санкт-Петербург пр.Обуховской Обороны д.120</t>
  </si>
  <si>
    <t>P006</t>
  </si>
  <si>
    <t xml:space="preserve">ЗАО Техноресурс</t>
  </si>
  <si>
    <t>77134567</t>
  </si>
  <si>
    <t>771101001</t>
  </si>
  <si>
    <t>8-903-678-90-12</t>
  </si>
  <si>
    <t>resurs@techno.ru</t>
  </si>
  <si>
    <t xml:space="preserve">119121 г.Москва ул.Плющиха д.25</t>
  </si>
  <si>
    <t>P007</t>
  </si>
  <si>
    <t xml:space="preserve">ООО ПрогрессПлюс</t>
  </si>
  <si>
    <t>7802345678</t>
  </si>
  <si>
    <t>780201001</t>
  </si>
  <si>
    <t xml:space="preserve">+7 903 789-01-23</t>
  </si>
  <si>
    <t>progress@mail</t>
  </si>
  <si>
    <t xml:space="preserve">197022 г.Санкт-Петербург ул.Профессора Попова д.37</t>
  </si>
  <si>
    <t>P008</t>
  </si>
  <si>
    <t xml:space="preserve">АО ЭлектронСбыт</t>
  </si>
  <si>
    <t>771456789012</t>
  </si>
  <si>
    <t>771201001</t>
  </si>
  <si>
    <t>8-903-890-12-34</t>
  </si>
  <si>
    <t>electron@sbyt</t>
  </si>
  <si>
    <t xml:space="preserve">109316 г.Москва ул.Таганская д.54</t>
  </si>
  <si>
    <t>P009</t>
  </si>
  <si>
    <t xml:space="preserve">ООО СмартТех</t>
  </si>
  <si>
    <t>7803456789</t>
  </si>
  <si>
    <t>780301001</t>
  </si>
  <si>
    <t>+79039012345</t>
  </si>
  <si>
    <t>smart@tech</t>
  </si>
  <si>
    <t xml:space="preserve">196084 г.Санкт-Петербург ул.Заставская д.22</t>
  </si>
  <si>
    <t>P010</t>
  </si>
  <si>
    <t xml:space="preserve">ЗАО ТехноПром</t>
  </si>
  <si>
    <t>7715678901</t>
  </si>
  <si>
    <t>771301001</t>
  </si>
  <si>
    <t>8-903-012-34-56</t>
  </si>
  <si>
    <t>prom@tehno</t>
  </si>
  <si>
    <t xml:space="preserve">119334 г.Москва ул.Косыгина д.17</t>
  </si>
  <si>
    <t>P011</t>
  </si>
  <si>
    <t xml:space="preserve">ООО СервисПлюс</t>
  </si>
  <si>
    <t>78045678</t>
  </si>
  <si>
    <t>780401001</t>
  </si>
  <si>
    <t>service@plus.ru</t>
  </si>
  <si>
    <t xml:space="preserve">199178 г.Санкт-Петербург ул.Средний пр.В.О.д.78</t>
  </si>
  <si>
    <t>P012</t>
  </si>
  <si>
    <t xml:space="preserve">АО ТехноТрейд</t>
  </si>
  <si>
    <t>7716789012</t>
  </si>
  <si>
    <t>771401001</t>
  </si>
  <si>
    <t>89032345678</t>
  </si>
  <si>
    <t>trade@tehno</t>
  </si>
  <si>
    <t xml:space="preserve">107113 г.Москва ул.Сокольнический вал д.3</t>
  </si>
  <si>
    <t>P013</t>
  </si>
  <si>
    <t xml:space="preserve">ООО РесурсСнаб</t>
  </si>
  <si>
    <t>7805678901234</t>
  </si>
  <si>
    <t>780501001</t>
  </si>
  <si>
    <t>+7-903-345-67-89</t>
  </si>
  <si>
    <t>resurs_snab@mail</t>
  </si>
  <si>
    <t xml:space="preserve">196247 г.Санкт-Петербург ул.Ленина д.45</t>
  </si>
  <si>
    <t>P014</t>
  </si>
  <si>
    <t xml:space="preserve">ЗАО ТехноСервис</t>
  </si>
  <si>
    <t>7717890123</t>
  </si>
  <si>
    <t>771501001</t>
  </si>
  <si>
    <t>8-903-456-78-90</t>
  </si>
  <si>
    <t>service@tehno</t>
  </si>
  <si>
    <t xml:space="preserve">109147 г.Москва ул.Марксистская д.30</t>
  </si>
  <si>
    <t>P015</t>
  </si>
  <si>
    <t xml:space="preserve">ООО Электротехника</t>
  </si>
  <si>
    <t>7806789012</t>
  </si>
  <si>
    <t>780601001</t>
  </si>
  <si>
    <t>+7-903-567-89-01</t>
  </si>
  <si>
    <t>electro@tehnika</t>
  </si>
  <si>
    <t xml:space="preserve">192236 г.Санкт-Петербург ул.Софийская д.55</t>
  </si>
  <si>
    <t>P016</t>
  </si>
  <si>
    <t xml:space="preserve">АО ПрофТехно</t>
  </si>
  <si>
    <t>7718901234</t>
  </si>
  <si>
    <t>771601001</t>
  </si>
  <si>
    <t>prof@tehno</t>
  </si>
  <si>
    <t xml:space="preserve">109052 г.Москва ул.Смирновская д.8</t>
  </si>
  <si>
    <t>P017</t>
  </si>
  <si>
    <t xml:space="preserve">ООО ТехноКомплект</t>
  </si>
  <si>
    <t>7807890</t>
  </si>
  <si>
    <t>780701001</t>
  </si>
  <si>
    <t>komplekt@tehno</t>
  </si>
  <si>
    <t xml:space="preserve">193079 г.Санкт-Петербург ул.Новоселов д.12</t>
  </si>
  <si>
    <t>P018</t>
  </si>
  <si>
    <t xml:space="preserve">ЗАО Инновация</t>
  </si>
  <si>
    <t>7719012345</t>
  </si>
  <si>
    <t>771701001</t>
  </si>
  <si>
    <t>innov@mail</t>
  </si>
  <si>
    <t xml:space="preserve">109004 г.Москва ул.Земляной вал д.42</t>
  </si>
  <si>
    <t>P019</t>
  </si>
  <si>
    <t xml:space="preserve">ООО ЭлектроПром</t>
  </si>
  <si>
    <t>780890123456</t>
  </si>
  <si>
    <t>780801001</t>
  </si>
  <si>
    <t xml:space="preserve">+7 903 901-23-45</t>
  </si>
  <si>
    <t>electro_prom@mail</t>
  </si>
  <si>
    <t xml:space="preserve">194100 г.Санкт-Петербург ул.Кантемировская д.18</t>
  </si>
  <si>
    <t>P020</t>
  </si>
  <si>
    <t xml:space="preserve">АО ТехноИнвест</t>
  </si>
  <si>
    <t>7720123456</t>
  </si>
  <si>
    <t>771801001</t>
  </si>
  <si>
    <t>invest@tehno</t>
  </si>
  <si>
    <t xml:space="preserve">109380 г.Москва ул.Люблинская д.75</t>
  </si>
  <si>
    <t>P021</t>
  </si>
  <si>
    <t xml:space="preserve">ООО ТехноПарк</t>
  </si>
  <si>
    <t>7809012345</t>
  </si>
  <si>
    <t>780901001</t>
  </si>
  <si>
    <t>+7-903-123-45-67</t>
  </si>
  <si>
    <t>park@tehno</t>
  </si>
  <si>
    <t xml:space="preserve">191040 г.Санкт-Петербург ул.Коломенская д.29</t>
  </si>
  <si>
    <t>P022</t>
  </si>
  <si>
    <t xml:space="preserve">ЗАО ТехноЦентр</t>
  </si>
  <si>
    <t>7721234567</t>
  </si>
  <si>
    <t>771901001</t>
  </si>
  <si>
    <t>8-903-234-56-78</t>
  </si>
  <si>
    <t>center@tehno</t>
  </si>
  <si>
    <t xml:space="preserve">107031 г.Москва ул.Рождественка д.10</t>
  </si>
  <si>
    <t>P023</t>
  </si>
  <si>
    <t xml:space="preserve">ООО ТехноСбыт</t>
  </si>
  <si>
    <t>78101234</t>
  </si>
  <si>
    <t>781001001</t>
  </si>
  <si>
    <t>sbyt@tehno</t>
  </si>
  <si>
    <t xml:space="preserve">195009 г.Санкт-Петербург ул.Комсомола д.21</t>
  </si>
  <si>
    <t>P024</t>
  </si>
  <si>
    <t xml:space="preserve">АО ТехноГарант</t>
  </si>
  <si>
    <t>7722345678</t>
  </si>
  <si>
    <t>772001001</t>
  </si>
  <si>
    <t>garant@tehno</t>
  </si>
  <si>
    <t xml:space="preserve">119071 г.Москва ул.Ленинский пр.д.15</t>
  </si>
  <si>
    <t>P025</t>
  </si>
  <si>
    <t xml:space="preserve">ООО ТехноЭкспо</t>
  </si>
  <si>
    <t>7811234567890</t>
  </si>
  <si>
    <t>781101001</t>
  </si>
  <si>
    <t xml:space="preserve">+7 903 567-89-01</t>
  </si>
  <si>
    <t>expo@tehno</t>
  </si>
  <si>
    <t xml:space="preserve">198095 г.Санкт-Петербург ул.Балтийская д.43</t>
  </si>
  <si>
    <t>P026</t>
  </si>
  <si>
    <t xml:space="preserve">ЗАО ТехноМаркет</t>
  </si>
  <si>
    <t>77234567</t>
  </si>
  <si>
    <t>772101001</t>
  </si>
  <si>
    <t>market@tehno</t>
  </si>
  <si>
    <t xml:space="preserve">125040 г.Москва ул.Нижняя Масловка д.5</t>
  </si>
  <si>
    <t>P027</t>
  </si>
  <si>
    <t xml:space="preserve">ООО ТехноПромТех</t>
  </si>
  <si>
    <t>7812345678</t>
  </si>
  <si>
    <t>+7-903-789-01-23</t>
  </si>
  <si>
    <t>promteh@mail</t>
  </si>
  <si>
    <t xml:space="preserve">192012 г.Санкт-Петербург ул.Заневский пр.д.32</t>
  </si>
  <si>
    <t>P028</t>
  </si>
  <si>
    <t xml:space="preserve">АО ТехноЛогистик</t>
  </si>
  <si>
    <t>772456789012</t>
  </si>
  <si>
    <t>772201001</t>
  </si>
  <si>
    <t>logistik@tehno</t>
  </si>
  <si>
    <t xml:space="preserve">109544 г.Москва ул.Б.Семеновская д.38</t>
  </si>
  <si>
    <t>P029</t>
  </si>
  <si>
    <t xml:space="preserve">ООО ТехноСтандарт</t>
  </si>
  <si>
    <t>7813456789</t>
  </si>
  <si>
    <t>781301001</t>
  </si>
  <si>
    <t>+7-903-901-23-45</t>
  </si>
  <si>
    <t>standart@tehno</t>
  </si>
  <si>
    <t xml:space="preserve">197376 г.Санкт-Петербург ул.Пионерская д.9</t>
  </si>
  <si>
    <t>P030</t>
  </si>
  <si>
    <t xml:space="preserve">ЗАО ТехноСтиль</t>
  </si>
  <si>
    <t>7725678901</t>
  </si>
  <si>
    <t>772301001</t>
  </si>
  <si>
    <t>style@tehno</t>
  </si>
  <si>
    <t xml:space="preserve">119146 г.Москва ул.Фрунзенская д.50</t>
  </si>
  <si>
    <t>P031</t>
  </si>
  <si>
    <t xml:space="preserve">ООО ТехноПоставка</t>
  </si>
  <si>
    <t>78145678</t>
  </si>
  <si>
    <t>781401001</t>
  </si>
  <si>
    <t xml:space="preserve">+7 903 123-45-67</t>
  </si>
  <si>
    <t>postavka@tehno</t>
  </si>
  <si>
    <t xml:space="preserve">190121 г.Санкт-Петербург ул.Курляндская д.27</t>
  </si>
  <si>
    <t>P032</t>
  </si>
  <si>
    <t xml:space="preserve">АО ТехноСфера</t>
  </si>
  <si>
    <t>7726789012</t>
  </si>
  <si>
    <t>772401001</t>
  </si>
  <si>
    <t>sfera@tehno</t>
  </si>
  <si>
    <t xml:space="preserve">111123 г.Москва ул.Электродная д.11</t>
  </si>
  <si>
    <t>P033</t>
  </si>
  <si>
    <t xml:space="preserve">ООО ТехноСистема</t>
  </si>
  <si>
    <t>7815678901234</t>
  </si>
  <si>
    <t>781501001</t>
  </si>
  <si>
    <t>sistema@tehno</t>
  </si>
  <si>
    <t xml:space="preserve">198332 г.Санкт-Петербург ул.Краснопутиловская д.65</t>
  </si>
  <si>
    <t>P034</t>
  </si>
  <si>
    <t xml:space="preserve">ЗАО ТехноТранс</t>
  </si>
  <si>
    <t>7727890123</t>
  </si>
  <si>
    <t>772501001</t>
  </si>
  <si>
    <t>trans@tehno</t>
  </si>
  <si>
    <t xml:space="preserve">107014 г.Москва ул.Малая Почтовая д.2</t>
  </si>
  <si>
    <t>P035</t>
  </si>
  <si>
    <t xml:space="preserve">ООО ТехноЭнерго</t>
  </si>
  <si>
    <t>7816789012</t>
  </si>
  <si>
    <t>781601001</t>
  </si>
  <si>
    <t>energo@tehno</t>
  </si>
  <si>
    <t xml:space="preserve">191123 г.Санкт-Петербург ул.Шпалерная д.54</t>
  </si>
  <si>
    <t>P036</t>
  </si>
  <si>
    <t xml:space="preserve">АО ТехноИзмерение</t>
  </si>
  <si>
    <t>7728901234</t>
  </si>
  <si>
    <t>772601001</t>
  </si>
  <si>
    <t>izmerenie@tehno</t>
  </si>
  <si>
    <t xml:space="preserve">109028 г.Москва ул.Тургеневская д.17</t>
  </si>
  <si>
    <t>P037</t>
  </si>
  <si>
    <t xml:space="preserve">ООО ТехноИнжиниринг</t>
  </si>
  <si>
    <t>7817890</t>
  </si>
  <si>
    <t>781701001</t>
  </si>
  <si>
    <t>ingenering@tehno</t>
  </si>
  <si>
    <t xml:space="preserve">197198 г.Санкт-Петербург ул.Большая Зеленина д.42</t>
  </si>
  <si>
    <t>P038</t>
  </si>
  <si>
    <t xml:space="preserve">ЗАО ТехноЦифра</t>
  </si>
  <si>
    <t>7729012345</t>
  </si>
  <si>
    <t>772701001</t>
  </si>
  <si>
    <t>cifra@tehno</t>
  </si>
  <si>
    <t xml:space="preserve">119048 г.Москва ул.Усачева д.35</t>
  </si>
  <si>
    <t>P039</t>
  </si>
  <si>
    <t xml:space="preserve">ООО ТехноСпектр</t>
  </si>
  <si>
    <t>781890123456</t>
  </si>
  <si>
    <t>781801001</t>
  </si>
  <si>
    <t>spektr@tehno</t>
  </si>
  <si>
    <t xml:space="preserve">192102 г.Санкт-Петербург ул.Бухарестская д.22</t>
  </si>
  <si>
    <t>P040</t>
  </si>
  <si>
    <t xml:space="preserve">АО ТехноФорум</t>
  </si>
  <si>
    <t>7730123456</t>
  </si>
  <si>
    <t>772801001</t>
  </si>
  <si>
    <t>forum@tehno</t>
  </si>
  <si>
    <t xml:space="preserve">109240 г.Москва ул.Гончарная д.18</t>
  </si>
  <si>
    <t>P041</t>
  </si>
  <si>
    <t xml:space="preserve">ООО ТехноХолод</t>
  </si>
  <si>
    <t>7819012345</t>
  </si>
  <si>
    <t>781901001</t>
  </si>
  <si>
    <t>holod@tehno</t>
  </si>
  <si>
    <t xml:space="preserve">196191 г.Санкт-Петербург ул.Бассейная д.63</t>
  </si>
  <si>
    <t>P042</t>
  </si>
  <si>
    <t xml:space="preserve">ЗАО ТехноРесурс</t>
  </si>
  <si>
    <t>7731234567</t>
  </si>
  <si>
    <t>772901001</t>
  </si>
  <si>
    <t>resurs_tehno@mail</t>
  </si>
  <si>
    <t xml:space="preserve">115114 г.Москва ул.Дербеневская д.17</t>
  </si>
  <si>
    <t>P043</t>
  </si>
  <si>
    <t xml:space="preserve">ООО ТехноДизайн</t>
  </si>
  <si>
    <t>78201234</t>
  </si>
  <si>
    <t>782001001</t>
  </si>
  <si>
    <t>design@tehno</t>
  </si>
  <si>
    <t xml:space="preserve">194292 г.Санкт-Петербург ул.Светлановский пр.д.62</t>
  </si>
  <si>
    <t>P044</t>
  </si>
  <si>
    <t xml:space="preserve">АО ТехноАльянс</t>
  </si>
  <si>
    <t>7732345678</t>
  </si>
  <si>
    <t>773001001</t>
  </si>
  <si>
    <t>aljans@tehno</t>
  </si>
  <si>
    <t xml:space="preserve">127018 г.Москва ул.Полковая д.3</t>
  </si>
  <si>
    <t>P045</t>
  </si>
  <si>
    <t xml:space="preserve">ООО ТехноПартнер</t>
  </si>
  <si>
    <t>7821234567890</t>
  </si>
  <si>
    <t>782101001</t>
  </si>
  <si>
    <t>partner@tehno</t>
  </si>
  <si>
    <t xml:space="preserve">190000 г.Санкт-Петербург ул.Большая Морская д.18</t>
  </si>
  <si>
    <t>P046</t>
  </si>
  <si>
    <t xml:space="preserve">ЗАО ТехноКомфорт</t>
  </si>
  <si>
    <t>77334567</t>
  </si>
  <si>
    <t>773101001</t>
  </si>
  <si>
    <t>komfort@tehno</t>
  </si>
  <si>
    <t xml:space="preserve">117312 г.Москва ул.Вавилова д.65</t>
  </si>
  <si>
    <t>P047</t>
  </si>
  <si>
    <t xml:space="preserve">ООО ТехноСтрой</t>
  </si>
  <si>
    <t>7822345678</t>
  </si>
  <si>
    <t>782201001</t>
  </si>
  <si>
    <t>stroy@tehno</t>
  </si>
  <si>
    <t xml:space="preserve">193231 г.Санкт-Петербург ул.Дыбенко д.14</t>
  </si>
  <si>
    <t>P048</t>
  </si>
  <si>
    <t xml:space="preserve">АО ТехноАвтоматика</t>
  </si>
  <si>
    <t>773456789012</t>
  </si>
  <si>
    <t>773201001</t>
  </si>
  <si>
    <t>avtomatika@tehno</t>
  </si>
  <si>
    <t xml:space="preserve">109012 г.Москва ул.Никольская д.8</t>
  </si>
  <si>
    <t>P049</t>
  </si>
  <si>
    <t xml:space="preserve">ООО ТехноКонтроль</t>
  </si>
  <si>
    <t>7823456789</t>
  </si>
  <si>
    <t>782301001</t>
  </si>
  <si>
    <t>kontrol@tehno</t>
  </si>
  <si>
    <t xml:space="preserve">194044 г.Санкт-Петербург ул.Смолячкова д.7</t>
  </si>
  <si>
    <t>P050</t>
  </si>
  <si>
    <t xml:space="preserve">ЗАО ТехноПроект</t>
  </si>
  <si>
    <t>7735678901</t>
  </si>
  <si>
    <t>773301001</t>
  </si>
  <si>
    <t>proekt@tehno</t>
  </si>
  <si>
    <t xml:space="preserve">119435 г.Москва ул.Погодинская д.18</t>
  </si>
  <si>
    <t xml:space="preserve">Дата (исх.)</t>
  </si>
  <si>
    <t xml:space="preserve">Количество (исх.)</t>
  </si>
  <si>
    <t xml:space="preserve">Цена_продажи (исх.)</t>
  </si>
  <si>
    <t xml:space="preserve">ID_клиента (исх.)</t>
  </si>
  <si>
    <t xml:space="preserve">Статус (исх.)</t>
  </si>
  <si>
    <t>Дата</t>
  </si>
  <si>
    <t>Количество</t>
  </si>
  <si>
    <t>Цена_продажи_руб</t>
  </si>
  <si>
    <t>Статус</t>
  </si>
  <si>
    <t>Дубликат</t>
  </si>
  <si>
    <t xml:space="preserve">Категория (каталог)</t>
  </si>
  <si>
    <t xml:space="preserve">Цена розница (каталог)</t>
  </si>
  <si>
    <t>01/15/2025</t>
  </si>
  <si>
    <t>№АРТ-045</t>
  </si>
  <si>
    <t>2</t>
  </si>
  <si>
    <t>$100</t>
  </si>
  <si>
    <t>C0001</t>
  </si>
  <si>
    <t>Завершен</t>
  </si>
  <si>
    <t>АРТ_112</t>
  </si>
  <si>
    <t>1</t>
  </si>
  <si>
    <t>€85</t>
  </si>
  <si>
    <t>C0002</t>
  </si>
  <si>
    <t>завершен</t>
  </si>
  <si>
    <t>01/16/2025</t>
  </si>
  <si>
    <t xml:space="preserve">3 шт.</t>
  </si>
  <si>
    <t xml:space="preserve">7500 ₽</t>
  </si>
  <si>
    <t>C0003</t>
  </si>
  <si>
    <t>completed</t>
  </si>
  <si>
    <t>№АРТ-234</t>
  </si>
  <si>
    <t>-1</t>
  </si>
  <si>
    <t>$110</t>
  </si>
  <si>
    <t>C0004</t>
  </si>
  <si>
    <t>отменен</t>
  </si>
  <si>
    <t>01/17/2025</t>
  </si>
  <si>
    <t>АРТ_067</t>
  </si>
  <si>
    <t xml:space="preserve">2 шт</t>
  </si>
  <si>
    <t>€90</t>
  </si>
  <si>
    <t>C0005</t>
  </si>
  <si>
    <t>canceled</t>
  </si>
  <si>
    <t xml:space="preserve">8000 ₽</t>
  </si>
  <si>
    <t>C0006</t>
  </si>
  <si>
    <t>возврат</t>
  </si>
  <si>
    <t>01/18/2025</t>
  </si>
  <si>
    <t>№АРТ-389</t>
  </si>
  <si>
    <t>3</t>
  </si>
  <si>
    <t>$105</t>
  </si>
  <si>
    <t>C0007</t>
  </si>
  <si>
    <t>АРТ_156</t>
  </si>
  <si>
    <t>€95</t>
  </si>
  <si>
    <t>C0008</t>
  </si>
  <si>
    <t>01/19/2025</t>
  </si>
  <si>
    <t>251/24</t>
  </si>
  <si>
    <t xml:space="preserve">1 шт.</t>
  </si>
  <si>
    <t xml:space="preserve">6500 ₽</t>
  </si>
  <si>
    <t>C0009</t>
  </si>
  <si>
    <t>№АРТ-023</t>
  </si>
  <si>
    <t>-2</t>
  </si>
  <si>
    <t>$115</t>
  </si>
  <si>
    <t>C0010</t>
  </si>
  <si>
    <t>Отменен</t>
  </si>
  <si>
    <t>01/20/2025</t>
  </si>
  <si>
    <t>АРТ_478</t>
  </si>
  <si>
    <t>€80</t>
  </si>
  <si>
    <t>C0011</t>
  </si>
  <si>
    <t>045-24</t>
  </si>
  <si>
    <t xml:space="preserve">8500 ₽</t>
  </si>
  <si>
    <t>C0012</t>
  </si>
  <si>
    <t>01/21/2025</t>
  </si>
  <si>
    <t>№АРТ-189</t>
  </si>
  <si>
    <t>$130</t>
  </si>
  <si>
    <t>C0013</t>
  </si>
  <si>
    <t>АРТ_334</t>
  </si>
  <si>
    <t>€110</t>
  </si>
  <si>
    <t>C0014</t>
  </si>
  <si>
    <t>01/22/2025</t>
  </si>
  <si>
    <t>126/24</t>
  </si>
  <si>
    <t xml:space="preserve">9500 ₽</t>
  </si>
  <si>
    <t>C0015</t>
  </si>
  <si>
    <t>$95</t>
  </si>
  <si>
    <t>C0016</t>
  </si>
  <si>
    <t>01/23/2025</t>
  </si>
  <si>
    <t>АРТ_057</t>
  </si>
  <si>
    <t>€75</t>
  </si>
  <si>
    <t>C0017</t>
  </si>
  <si>
    <t>394-24</t>
  </si>
  <si>
    <t xml:space="preserve">7000 ₽</t>
  </si>
  <si>
    <t>C0018</t>
  </si>
  <si>
    <t>01/24/2025</t>
  </si>
  <si>
    <t>№АРТ-278</t>
  </si>
  <si>
    <t>$140</t>
  </si>
  <si>
    <t>C0019</t>
  </si>
  <si>
    <t>АРТ_193</t>
  </si>
  <si>
    <t>€120</t>
  </si>
  <si>
    <t>C0020</t>
  </si>
  <si>
    <t>01/25/2025</t>
  </si>
  <si>
    <t>149/24</t>
  </si>
  <si>
    <t xml:space="preserve">10000 ₽</t>
  </si>
  <si>
    <t>C0021</t>
  </si>
  <si>
    <t>№АРТ-345</t>
  </si>
  <si>
    <t>-3</t>
  </si>
  <si>
    <t>$90</t>
  </si>
  <si>
    <t>C0022</t>
  </si>
  <si>
    <t>01/26/2025</t>
  </si>
  <si>
    <t>€70</t>
  </si>
  <si>
    <t>C0023</t>
  </si>
  <si>
    <t>223-24</t>
  </si>
  <si>
    <t xml:space="preserve">5500 ₽</t>
  </si>
  <si>
    <t>C0024</t>
  </si>
  <si>
    <t>01/27/2025</t>
  </si>
  <si>
    <t>$125</t>
  </si>
  <si>
    <t>C0025</t>
  </si>
  <si>
    <t>АРТ_501</t>
  </si>
  <si>
    <t>€105</t>
  </si>
  <si>
    <t>C0026</t>
  </si>
  <si>
    <t>01/28/2025</t>
  </si>
  <si>
    <t>067/24</t>
  </si>
  <si>
    <t xml:space="preserve">9000 ₽</t>
  </si>
  <si>
    <t>C0027</t>
  </si>
  <si>
    <t>$85</t>
  </si>
  <si>
    <t>C0028</t>
  </si>
  <si>
    <t>01/29/2025</t>
  </si>
  <si>
    <t>АРТ_321</t>
  </si>
  <si>
    <t>€65</t>
  </si>
  <si>
    <t>C0029</t>
  </si>
  <si>
    <t>176-24</t>
  </si>
  <si>
    <t xml:space="preserve">6000 ₽</t>
  </si>
  <si>
    <t>C0030</t>
  </si>
  <si>
    <t>01/30/2025</t>
  </si>
  <si>
    <t>№АРТ-009</t>
  </si>
  <si>
    <t>C0031</t>
  </si>
  <si>
    <t>АРТ_444</t>
  </si>
  <si>
    <t>C0032</t>
  </si>
  <si>
    <t>01/31/2025</t>
  </si>
  <si>
    <t>352/24</t>
  </si>
  <si>
    <t xml:space="preserve">2 шт.</t>
  </si>
  <si>
    <t>C0033</t>
  </si>
  <si>
    <t>C0034</t>
  </si>
  <si>
    <t>02/01/2025</t>
  </si>
  <si>
    <t>АРТ_159</t>
  </si>
  <si>
    <t>C0035</t>
  </si>
  <si>
    <t>C0036</t>
  </si>
  <si>
    <t>02/02/2025</t>
  </si>
  <si>
    <t>№АРТ-401</t>
  </si>
  <si>
    <t>C0037</t>
  </si>
  <si>
    <t>АРТ_234</t>
  </si>
  <si>
    <t>4</t>
  </si>
  <si>
    <t>C0038</t>
  </si>
  <si>
    <t>02/03/2025</t>
  </si>
  <si>
    <t>C0039</t>
  </si>
  <si>
    <t>№АРТ-116</t>
  </si>
  <si>
    <t>C0040</t>
  </si>
  <si>
    <t>02/04/2025</t>
  </si>
  <si>
    <t>АРТ_087</t>
  </si>
  <si>
    <t>C0041</t>
  </si>
  <si>
    <t>322-24</t>
  </si>
  <si>
    <t>C0042</t>
  </si>
  <si>
    <t>02/05/2025</t>
  </si>
  <si>
    <t>№АРТ-257</t>
  </si>
  <si>
    <t>$120</t>
  </si>
  <si>
    <t>C0043</t>
  </si>
  <si>
    <t>€100</t>
  </si>
  <si>
    <t>C0044</t>
  </si>
  <si>
    <t>02/06/2025</t>
  </si>
  <si>
    <t>042/24</t>
  </si>
  <si>
    <t xml:space="preserve">8800 ₽</t>
  </si>
  <si>
    <t>C0045</t>
  </si>
  <si>
    <t>№АРТ-194</t>
  </si>
  <si>
    <t>C0046</t>
  </si>
  <si>
    <t>02/07/2025</t>
  </si>
  <si>
    <t>АРТ_075</t>
  </si>
  <si>
    <t>C0047</t>
  </si>
  <si>
    <t>461-24</t>
  </si>
  <si>
    <t>C0048</t>
  </si>
  <si>
    <t>02/08/2025</t>
  </si>
  <si>
    <t>№АРТ-312</t>
  </si>
  <si>
    <t>C0049</t>
  </si>
  <si>
    <t>АРТ_423</t>
  </si>
  <si>
    <t>C0050</t>
  </si>
  <si>
    <t>02/09/2025</t>
  </si>
  <si>
    <t>208/24</t>
  </si>
  <si>
    <t>C0051</t>
  </si>
  <si>
    <t>№АРТ-147</t>
  </si>
  <si>
    <t>C0052</t>
  </si>
  <si>
    <t>02/10/2025</t>
  </si>
  <si>
    <t>C0053</t>
  </si>
  <si>
    <t>065-24</t>
  </si>
  <si>
    <t>C0054</t>
  </si>
  <si>
    <t>02/11/2025</t>
  </si>
  <si>
    <t>C0055</t>
  </si>
  <si>
    <t>АРТ_492</t>
  </si>
  <si>
    <t>C0056</t>
  </si>
  <si>
    <t>02/12/2025</t>
  </si>
  <si>
    <t>134/24</t>
  </si>
  <si>
    <t xml:space="preserve">6800 ₽</t>
  </si>
  <si>
    <t>C0057</t>
  </si>
  <si>
    <t>№АРТ-368</t>
  </si>
  <si>
    <t>C0058</t>
  </si>
  <si>
    <t>02/13/2025</t>
  </si>
  <si>
    <t>АРТ_177</t>
  </si>
  <si>
    <t>C0059</t>
  </si>
  <si>
    <t>275-24</t>
  </si>
  <si>
    <t xml:space="preserve">9200 ₽</t>
  </si>
  <si>
    <t>C0060</t>
  </si>
  <si>
    <t>02/14/2025</t>
  </si>
  <si>
    <t>$135</t>
  </si>
  <si>
    <t>C0061</t>
  </si>
  <si>
    <t>АРТ_456</t>
  </si>
  <si>
    <t>€115</t>
  </si>
  <si>
    <t>C0062</t>
  </si>
  <si>
    <t>02/15/2025</t>
  </si>
  <si>
    <t>364/24</t>
  </si>
  <si>
    <t>C0063</t>
  </si>
  <si>
    <t>№АРТ-221</t>
  </si>
  <si>
    <t>C0064</t>
  </si>
  <si>
    <t>02/16/2025</t>
  </si>
  <si>
    <t>C0065</t>
  </si>
  <si>
    <t>327-24</t>
  </si>
  <si>
    <t>C0066</t>
  </si>
  <si>
    <t>02/17/2025</t>
  </si>
  <si>
    <t>№АРТ-485</t>
  </si>
  <si>
    <t>C0067</t>
  </si>
  <si>
    <t>C0068</t>
  </si>
  <si>
    <t>02/18/2025</t>
  </si>
  <si>
    <t>188/24</t>
  </si>
  <si>
    <t xml:space="preserve">10500 ₽</t>
  </si>
  <si>
    <t>C0069</t>
  </si>
  <si>
    <t>C0070</t>
  </si>
  <si>
    <t>02/19/2025</t>
  </si>
  <si>
    <t>АРТ_411</t>
  </si>
  <si>
    <t>C0071</t>
  </si>
  <si>
    <t>056-24</t>
  </si>
  <si>
    <t>C0072</t>
  </si>
  <si>
    <t>02/20/2025</t>
  </si>
  <si>
    <t>C0073</t>
  </si>
  <si>
    <t>АРТ_348</t>
  </si>
  <si>
    <t>C0074</t>
  </si>
  <si>
    <t>02/21/2025</t>
  </si>
  <si>
    <t>241/24</t>
  </si>
  <si>
    <t xml:space="preserve">9800 ₽</t>
  </si>
  <si>
    <t>C0075</t>
  </si>
  <si>
    <t>№АРТ-132</t>
  </si>
  <si>
    <t>C0076</t>
  </si>
  <si>
    <t>02/22/2025</t>
  </si>
  <si>
    <t>C0077</t>
  </si>
  <si>
    <t>032-24</t>
  </si>
  <si>
    <t>C0078</t>
  </si>
  <si>
    <t>02/23/2025</t>
  </si>
  <si>
    <t>№АРТ-266</t>
  </si>
  <si>
    <t>C0079</t>
  </si>
  <si>
    <t>C0080</t>
  </si>
  <si>
    <t>02/24/2025</t>
  </si>
  <si>
    <t>C0081</t>
  </si>
  <si>
    <t>№АРТ-059</t>
  </si>
  <si>
    <t>C0082</t>
  </si>
  <si>
    <t>02/25/2025</t>
  </si>
  <si>
    <t>АРТ_319</t>
  </si>
  <si>
    <t>C0083</t>
  </si>
  <si>
    <t>147-24</t>
  </si>
  <si>
    <t>C0084</t>
  </si>
  <si>
    <t>02/26/2025</t>
  </si>
  <si>
    <t>$145</t>
  </si>
  <si>
    <t>C0085</t>
  </si>
  <si>
    <t>€125</t>
  </si>
  <si>
    <t>C0086</t>
  </si>
  <si>
    <t>02/27/2025</t>
  </si>
  <si>
    <t>271/24</t>
  </si>
  <si>
    <t xml:space="preserve">11000 ₽</t>
  </si>
  <si>
    <t>C0087</t>
  </si>
  <si>
    <t>C0088</t>
  </si>
  <si>
    <t>02/28/2025</t>
  </si>
  <si>
    <t>АРТ_369</t>
  </si>
  <si>
    <t>C0089</t>
  </si>
  <si>
    <t>104-24</t>
  </si>
  <si>
    <t>C0090</t>
  </si>
  <si>
    <t>03/01/2025</t>
  </si>
  <si>
    <t>№АРТ-452</t>
  </si>
  <si>
    <t>C0091</t>
  </si>
  <si>
    <t>C0092</t>
  </si>
  <si>
    <t>03/02/2025</t>
  </si>
  <si>
    <t>336/24</t>
  </si>
  <si>
    <t xml:space="preserve">7800 ₽</t>
  </si>
  <si>
    <t>C0093</t>
  </si>
  <si>
    <t>C0094</t>
  </si>
  <si>
    <t>03/03/2025</t>
  </si>
  <si>
    <t>АРТ_490</t>
  </si>
  <si>
    <t>C0095</t>
  </si>
  <si>
    <t>087-24</t>
  </si>
  <si>
    <t>C0096</t>
  </si>
  <si>
    <t>03/04/2025</t>
  </si>
  <si>
    <t>C0097</t>
  </si>
  <si>
    <t>АРТ_141</t>
  </si>
  <si>
    <t>C0098</t>
  </si>
  <si>
    <t>03/05/2025</t>
  </si>
  <si>
    <t>226/24</t>
  </si>
  <si>
    <t>C0099</t>
  </si>
  <si>
    <t>C0100</t>
  </si>
  <si>
    <t>03/06/2025</t>
  </si>
  <si>
    <t>АРТ_273</t>
  </si>
  <si>
    <t>C0101</t>
  </si>
  <si>
    <t>184-24</t>
  </si>
  <si>
    <t>C0102</t>
  </si>
  <si>
    <t>03/07/2025</t>
  </si>
  <si>
    <t>№АРТ-065</t>
  </si>
  <si>
    <t>C0103</t>
  </si>
  <si>
    <t>АРТ_408</t>
  </si>
  <si>
    <t>C0104</t>
  </si>
  <si>
    <t>03/08/2025</t>
  </si>
  <si>
    <t>C0105</t>
  </si>
  <si>
    <t>№АРТ-159</t>
  </si>
  <si>
    <t>C0106</t>
  </si>
  <si>
    <t>03/09/2025</t>
  </si>
  <si>
    <t>АРТ_432</t>
  </si>
  <si>
    <t>C0107</t>
  </si>
  <si>
    <t>067-24</t>
  </si>
  <si>
    <t>C0108</t>
  </si>
  <si>
    <t>03/10/2025</t>
  </si>
  <si>
    <t>№АРТ-287</t>
  </si>
  <si>
    <t>C0109</t>
  </si>
  <si>
    <t>C0110</t>
  </si>
  <si>
    <t>03/11/2025</t>
  </si>
  <si>
    <t>382/24</t>
  </si>
  <si>
    <t>C0111</t>
  </si>
  <si>
    <t>№АРТ-077</t>
  </si>
  <si>
    <t>C0112</t>
  </si>
  <si>
    <t>03/12/2025</t>
  </si>
  <si>
    <t>C0113</t>
  </si>
  <si>
    <t>245-24</t>
  </si>
  <si>
    <t>C0114</t>
  </si>
  <si>
    <t>03/13/2025</t>
  </si>
  <si>
    <t>C0115</t>
  </si>
  <si>
    <t>АРТ_298</t>
  </si>
  <si>
    <t>C0116</t>
  </si>
  <si>
    <t>03/14/2025</t>
  </si>
  <si>
    <t>C0117</t>
  </si>
  <si>
    <t>№АРТ-329</t>
  </si>
  <si>
    <t>C0118</t>
  </si>
  <si>
    <t>03/15/2025</t>
  </si>
  <si>
    <t>АРТ_063</t>
  </si>
  <si>
    <t>C0119</t>
  </si>
  <si>
    <t>049-24</t>
  </si>
  <si>
    <t>C0120</t>
  </si>
  <si>
    <t>03/16/2025</t>
  </si>
  <si>
    <t>C0121</t>
  </si>
  <si>
    <t>C0122</t>
  </si>
  <si>
    <t>03/17/2025</t>
  </si>
  <si>
    <t>329/24</t>
  </si>
  <si>
    <t>C0123</t>
  </si>
  <si>
    <t>№АРТ-344</t>
  </si>
  <si>
    <t>C0124</t>
  </si>
  <si>
    <t>03/18/2025</t>
  </si>
  <si>
    <t>АРТ_291</t>
  </si>
  <si>
    <t>C0125</t>
  </si>
  <si>
    <t>133-24</t>
  </si>
  <si>
    <t>C0126</t>
  </si>
  <si>
    <t>03/19/2025</t>
  </si>
  <si>
    <t>№АРТ-251</t>
  </si>
  <si>
    <t>C0127</t>
  </si>
  <si>
    <t>C0128</t>
  </si>
  <si>
    <t>03/20/2025</t>
  </si>
  <si>
    <t>378/24</t>
  </si>
  <si>
    <t>C0129</t>
  </si>
  <si>
    <t>№АРТ-161</t>
  </si>
  <si>
    <t>C0130</t>
  </si>
  <si>
    <t>03/21/2025</t>
  </si>
  <si>
    <t>АРТ_480</t>
  </si>
  <si>
    <t>C0131</t>
  </si>
  <si>
    <t>059-24</t>
  </si>
  <si>
    <t>C0132</t>
  </si>
  <si>
    <t>03/22/2025</t>
  </si>
  <si>
    <t>№АРТ-222</t>
  </si>
  <si>
    <t>C0133</t>
  </si>
  <si>
    <t>C0134</t>
  </si>
  <si>
    <t>03/23/2025</t>
  </si>
  <si>
    <t>097/24</t>
  </si>
  <si>
    <t>C0135</t>
  </si>
  <si>
    <t>№АРТ-306</t>
  </si>
  <si>
    <t>C0136</t>
  </si>
  <si>
    <t>03/24/2025</t>
  </si>
  <si>
    <t>АРТ_184</t>
  </si>
  <si>
    <t>C0137</t>
  </si>
  <si>
    <t>256-24</t>
  </si>
  <si>
    <t>C0138</t>
  </si>
  <si>
    <t>03/25/2025</t>
  </si>
  <si>
    <t>№АРТ-138</t>
  </si>
  <si>
    <t>C0139</t>
  </si>
  <si>
    <t>АРТ_399</t>
  </si>
  <si>
    <t>C0140</t>
  </si>
  <si>
    <t>03/26/2025</t>
  </si>
  <si>
    <t>407/24</t>
  </si>
  <si>
    <t>C0141</t>
  </si>
  <si>
    <t>№АРТ-272</t>
  </si>
  <si>
    <t>C0142</t>
  </si>
  <si>
    <t>03/27/2025</t>
  </si>
  <si>
    <t>АРТ_144</t>
  </si>
  <si>
    <t>C0143</t>
  </si>
  <si>
    <t>112-24</t>
  </si>
  <si>
    <t>C0144</t>
  </si>
  <si>
    <t>03/28/2025</t>
  </si>
  <si>
    <t>№АРТ-099</t>
  </si>
  <si>
    <t>C0145</t>
  </si>
  <si>
    <t>АРТ_337</t>
  </si>
  <si>
    <t>C0146</t>
  </si>
  <si>
    <t>03/29/2025</t>
  </si>
  <si>
    <t>C0147</t>
  </si>
  <si>
    <t>№АРТ-165</t>
  </si>
  <si>
    <t>C0148</t>
  </si>
  <si>
    <t>03/30/2025</t>
  </si>
  <si>
    <t>C0149</t>
  </si>
  <si>
    <t>025-24</t>
  </si>
  <si>
    <t>C0150</t>
  </si>
  <si>
    <t>03/31/2025</t>
  </si>
  <si>
    <t>№АРТ-285</t>
  </si>
  <si>
    <t>C0151</t>
  </si>
  <si>
    <t>АРТ_472</t>
  </si>
  <si>
    <t>C0152</t>
  </si>
  <si>
    <t>04/01/2025</t>
  </si>
  <si>
    <t>157/24</t>
  </si>
  <si>
    <t>C0153</t>
  </si>
  <si>
    <t>№АРТ-042</t>
  </si>
  <si>
    <t>C0154</t>
  </si>
  <si>
    <t>04/02/2025</t>
  </si>
  <si>
    <t>АРТ_397</t>
  </si>
  <si>
    <t>C0155</t>
  </si>
  <si>
    <t>203-24</t>
  </si>
  <si>
    <t>C0156</t>
  </si>
  <si>
    <t>04/03/2025</t>
  </si>
  <si>
    <t>№АРТ-315</t>
  </si>
  <si>
    <t>C0157</t>
  </si>
  <si>
    <t>АРТ_109</t>
  </si>
  <si>
    <t>C0158</t>
  </si>
  <si>
    <t>04/04/2025</t>
  </si>
  <si>
    <t>278/24</t>
  </si>
  <si>
    <t>C0159</t>
  </si>
  <si>
    <t>№АРТ-129</t>
  </si>
  <si>
    <t>C0160</t>
  </si>
  <si>
    <t>04/05/2025</t>
  </si>
  <si>
    <t>АРТ_424</t>
  </si>
  <si>
    <t>C0161</t>
  </si>
  <si>
    <t>046-24</t>
  </si>
  <si>
    <t>C0162</t>
  </si>
  <si>
    <t>04/06/2025</t>
  </si>
  <si>
    <t>№АРТ-353</t>
  </si>
  <si>
    <t>C0163</t>
  </si>
  <si>
    <t>АРТ_244</t>
  </si>
  <si>
    <t>C0164</t>
  </si>
  <si>
    <t>04/07/2025</t>
  </si>
  <si>
    <t>193/24</t>
  </si>
  <si>
    <t>C0165</t>
  </si>
  <si>
    <t>C0166</t>
  </si>
  <si>
    <t>04/08/2025</t>
  </si>
  <si>
    <t>C0167</t>
  </si>
  <si>
    <t>321-24</t>
  </si>
  <si>
    <t>C0168</t>
  </si>
  <si>
    <t>04/09/2025</t>
  </si>
  <si>
    <t>№АРТ-263</t>
  </si>
  <si>
    <t>C0169</t>
  </si>
  <si>
    <t>C0170</t>
  </si>
  <si>
    <t>04/10/2025</t>
  </si>
  <si>
    <t>014/24</t>
  </si>
  <si>
    <t>C0171</t>
  </si>
  <si>
    <t>№АРТ-396</t>
  </si>
  <si>
    <t>C0172</t>
  </si>
  <si>
    <t>04/11/2025</t>
  </si>
  <si>
    <t>АРТ_078</t>
  </si>
  <si>
    <t>C0173</t>
  </si>
  <si>
    <t>C0174</t>
  </si>
  <si>
    <t>04/12/2025</t>
  </si>
  <si>
    <t>C0175</t>
  </si>
  <si>
    <t>C0176</t>
  </si>
  <si>
    <t>04/13/2025</t>
  </si>
  <si>
    <t>456/24</t>
  </si>
  <si>
    <t>C0177</t>
  </si>
  <si>
    <t>C0178</t>
  </si>
  <si>
    <t>04/14/2025</t>
  </si>
  <si>
    <t>C0179</t>
  </si>
  <si>
    <t>091-24</t>
  </si>
  <si>
    <t>C0180</t>
  </si>
  <si>
    <t>04/15/2025</t>
  </si>
  <si>
    <t>№АРТ-323</t>
  </si>
  <si>
    <t>C0181</t>
  </si>
  <si>
    <t>АРТ_468</t>
  </si>
  <si>
    <t>C0182</t>
  </si>
  <si>
    <t>04/16/2025</t>
  </si>
  <si>
    <t>358/24</t>
  </si>
  <si>
    <t>C0183</t>
  </si>
  <si>
    <t>C0184</t>
  </si>
  <si>
    <t>04/17/2025</t>
  </si>
  <si>
    <t>C0185</t>
  </si>
  <si>
    <t>110-24</t>
  </si>
  <si>
    <t>C0186</t>
  </si>
  <si>
    <t>04/18/2025</t>
  </si>
  <si>
    <t>№АРТ-029</t>
  </si>
  <si>
    <t>C0187</t>
  </si>
  <si>
    <t>АРТ_415</t>
  </si>
  <si>
    <t>C0188</t>
  </si>
  <si>
    <t>04/19/2025</t>
  </si>
  <si>
    <t>223/24</t>
  </si>
  <si>
    <t>C0189</t>
  </si>
  <si>
    <t>C0190</t>
  </si>
  <si>
    <t>04/20/2025</t>
  </si>
  <si>
    <t>АРТ_196</t>
  </si>
  <si>
    <t>C0191</t>
  </si>
  <si>
    <t>289-24</t>
  </si>
  <si>
    <t>C0192</t>
  </si>
  <si>
    <t>04/21/2025</t>
  </si>
  <si>
    <t>№АРТ-105</t>
  </si>
  <si>
    <t>C0193</t>
  </si>
  <si>
    <t>C0194</t>
  </si>
  <si>
    <t>04/22/2025</t>
  </si>
  <si>
    <t>371/24</t>
  </si>
  <si>
    <t>C0195</t>
  </si>
  <si>
    <t>C0196</t>
  </si>
  <si>
    <t>04/23/2025</t>
  </si>
  <si>
    <t>C0197</t>
  </si>
  <si>
    <t>062-24</t>
  </si>
  <si>
    <t>C0198</t>
  </si>
  <si>
    <t>04/24/2025</t>
  </si>
  <si>
    <t>№АРТ-134</t>
  </si>
  <si>
    <t>C0199</t>
  </si>
  <si>
    <t>C0200</t>
  </si>
  <si>
    <t>04/25/2025</t>
  </si>
  <si>
    <t>C0201</t>
  </si>
  <si>
    <t>№АРТ-291</t>
  </si>
  <si>
    <t>C0202</t>
  </si>
  <si>
    <t>04/26/2025</t>
  </si>
  <si>
    <t>АРТ_180</t>
  </si>
  <si>
    <t>C0203</t>
  </si>
  <si>
    <t>166-24</t>
  </si>
  <si>
    <t>C0204</t>
  </si>
  <si>
    <t>04/27/2025</t>
  </si>
  <si>
    <t>№АРТ-060</t>
  </si>
  <si>
    <t>C0205</t>
  </si>
  <si>
    <t>C0206</t>
  </si>
  <si>
    <t>04/28/2025</t>
  </si>
  <si>
    <t>248/24</t>
  </si>
  <si>
    <t>C0207</t>
  </si>
  <si>
    <t>№АРТ-383</t>
  </si>
  <si>
    <t>C0208</t>
  </si>
  <si>
    <t>04/29/2025</t>
  </si>
  <si>
    <t>АРТ_229</t>
  </si>
  <si>
    <t>C0209</t>
  </si>
  <si>
    <t>034-24</t>
  </si>
  <si>
    <t>C0210</t>
  </si>
  <si>
    <t>04/30/2025</t>
  </si>
  <si>
    <t>C0211</t>
  </si>
  <si>
    <t>АРТ_459</t>
  </si>
  <si>
    <t>C0212</t>
  </si>
  <si>
    <t>05/01/2025</t>
  </si>
  <si>
    <t>296/24</t>
  </si>
  <si>
    <t>C0213</t>
  </si>
  <si>
    <t>№АРТ-267</t>
  </si>
  <si>
    <t>C0214</t>
  </si>
  <si>
    <t>05/02/2025</t>
  </si>
  <si>
    <t>АРТ_340</t>
  </si>
  <si>
    <t>C0215</t>
  </si>
  <si>
    <t>C0216</t>
  </si>
  <si>
    <t>05/03/2025</t>
  </si>
  <si>
    <t>C0217</t>
  </si>
  <si>
    <t>АРТ_474</t>
  </si>
  <si>
    <t>C0218</t>
  </si>
  <si>
    <t>05/04/2025</t>
  </si>
  <si>
    <t>C0219</t>
  </si>
  <si>
    <t>C0220</t>
  </si>
  <si>
    <t>05/05/2025</t>
  </si>
  <si>
    <t>АРТ_202</t>
  </si>
  <si>
    <t>C0221</t>
  </si>
  <si>
    <t>C0222</t>
  </si>
  <si>
    <t>05/06/2025</t>
  </si>
  <si>
    <t>№АРТ-081</t>
  </si>
  <si>
    <t>C0223</t>
  </si>
  <si>
    <t>АРТ_418</t>
  </si>
  <si>
    <t>C0224</t>
  </si>
  <si>
    <t>05/07/2025</t>
  </si>
  <si>
    <t>272/24</t>
  </si>
  <si>
    <t>C0225</t>
  </si>
  <si>
    <t>№АРТ-407</t>
  </si>
  <si>
    <t>C0226</t>
  </si>
  <si>
    <t>05/08/2025</t>
  </si>
  <si>
    <t>C0227</t>
  </si>
  <si>
    <t>057-24</t>
  </si>
  <si>
    <t>C0228</t>
  </si>
  <si>
    <t>05/09/2025</t>
  </si>
  <si>
    <t>№АРТ-183</t>
  </si>
  <si>
    <t>C0229</t>
  </si>
  <si>
    <t>АРТ_481</t>
  </si>
  <si>
    <t>C0230</t>
  </si>
  <si>
    <t>05/10/2025</t>
  </si>
  <si>
    <t>335/24</t>
  </si>
  <si>
    <t>C0231</t>
  </si>
  <si>
    <t>№АРТ-021</t>
  </si>
  <si>
    <t>C0232</t>
  </si>
  <si>
    <t>05/11/2025</t>
  </si>
  <si>
    <t>АРТ_390</t>
  </si>
  <si>
    <t>C0233</t>
  </si>
  <si>
    <t>098-24</t>
  </si>
  <si>
    <t>C0234</t>
  </si>
  <si>
    <t>05/12/2025</t>
  </si>
  <si>
    <t>C0235</t>
  </si>
  <si>
    <t>C0236</t>
  </si>
  <si>
    <t>05/13/2025</t>
  </si>
  <si>
    <t>C0237</t>
  </si>
  <si>
    <t>№АРТ-338</t>
  </si>
  <si>
    <t>C0238</t>
  </si>
  <si>
    <t>05/14/2025</t>
  </si>
  <si>
    <t>АРТ_214</t>
  </si>
  <si>
    <t>C0239</t>
  </si>
  <si>
    <t>178-24</t>
  </si>
  <si>
    <t>C0240</t>
  </si>
  <si>
    <t>05/15/2025</t>
  </si>
  <si>
    <t>№АРТ-071</t>
  </si>
  <si>
    <t>C0241</t>
  </si>
  <si>
    <t>АРТ_439</t>
  </si>
  <si>
    <t>C0242</t>
  </si>
  <si>
    <t>05/16/2025</t>
  </si>
  <si>
    <t>C0243</t>
  </si>
  <si>
    <t>№АРТ-423</t>
  </si>
  <si>
    <t>C0244</t>
  </si>
  <si>
    <t>05/17/2025</t>
  </si>
  <si>
    <t>АРТ_276</t>
  </si>
  <si>
    <t>C0245</t>
  </si>
  <si>
    <t>113-24</t>
  </si>
  <si>
    <t>C0246</t>
  </si>
  <si>
    <t>05/18/2025</t>
  </si>
  <si>
    <t>№АРТ-162</t>
  </si>
  <si>
    <t>C0247</t>
  </si>
  <si>
    <t>АРТ_502</t>
  </si>
  <si>
    <t>C0248</t>
  </si>
  <si>
    <t>05/19/2025</t>
  </si>
  <si>
    <t>C0249</t>
  </si>
  <si>
    <t>C0250</t>
  </si>
  <si>
    <t>05/20/2025</t>
  </si>
  <si>
    <t>АРТ_361</t>
  </si>
  <si>
    <t>C0251</t>
  </si>
  <si>
    <t>075-24</t>
  </si>
  <si>
    <t>C0252</t>
  </si>
  <si>
    <t>05/21/2025</t>
  </si>
  <si>
    <t>C0253</t>
  </si>
  <si>
    <t>АРТ_483</t>
  </si>
  <si>
    <t>C0254</t>
  </si>
  <si>
    <t>05/22/2025</t>
  </si>
  <si>
    <t>346/24</t>
  </si>
  <si>
    <t>C0255</t>
  </si>
  <si>
    <t>№АРТ-374</t>
  </si>
  <si>
    <t>C0256</t>
  </si>
  <si>
    <t>05/23/2025</t>
  </si>
  <si>
    <t>C0257</t>
  </si>
  <si>
    <t>189-24</t>
  </si>
  <si>
    <t>C0258</t>
  </si>
  <si>
    <t>05/24/2025</t>
  </si>
  <si>
    <t>№АРТ-102</t>
  </si>
  <si>
    <t>C0259</t>
  </si>
  <si>
    <t>АРТ_451</t>
  </si>
  <si>
    <t>C0260</t>
  </si>
  <si>
    <t>05/25/2025</t>
  </si>
  <si>
    <t>312/24</t>
  </si>
  <si>
    <t>C0261</t>
  </si>
  <si>
    <t>C0262</t>
  </si>
  <si>
    <t>05/26/2025</t>
  </si>
  <si>
    <t>АРТ_283</t>
  </si>
  <si>
    <t>C0263</t>
  </si>
  <si>
    <t>C0264</t>
  </si>
  <si>
    <t>05/27/2025</t>
  </si>
  <si>
    <t>C0265</t>
  </si>
  <si>
    <t>C0266</t>
  </si>
  <si>
    <t>05/28/2025</t>
  </si>
  <si>
    <t>311/24</t>
  </si>
  <si>
    <t>C0267</t>
  </si>
  <si>
    <t>C0268</t>
  </si>
  <si>
    <t>05/29/2025</t>
  </si>
  <si>
    <t>АРТ_330</t>
  </si>
  <si>
    <t>C0269</t>
  </si>
  <si>
    <t>053-24</t>
  </si>
  <si>
    <t>C0270</t>
  </si>
  <si>
    <t>05/30/2025</t>
  </si>
  <si>
    <t>C0271</t>
  </si>
  <si>
    <t>АРТ_462</t>
  </si>
  <si>
    <t>C0272</t>
  </si>
  <si>
    <t>05/31/2025</t>
  </si>
  <si>
    <t>388/24</t>
  </si>
  <si>
    <t>C0273</t>
  </si>
  <si>
    <t>№АРТ-206</t>
  </si>
  <si>
    <t>C0274</t>
  </si>
  <si>
    <t>06/01/2025</t>
  </si>
  <si>
    <t>АРТ_274</t>
  </si>
  <si>
    <t>C0275</t>
  </si>
  <si>
    <t>C0276</t>
  </si>
  <si>
    <t>06/02/2025</t>
  </si>
  <si>
    <t>№АРТ-062</t>
  </si>
  <si>
    <t>C0277</t>
  </si>
  <si>
    <t>C0278</t>
  </si>
  <si>
    <t>06/03/2025</t>
  </si>
  <si>
    <t>258/24</t>
  </si>
  <si>
    <t>C0279</t>
  </si>
  <si>
    <t>№АРТ-386</t>
  </si>
  <si>
    <t>C0280</t>
  </si>
  <si>
    <t>06/04/2025</t>
  </si>
  <si>
    <t>C0281</t>
  </si>
  <si>
    <t>073-24</t>
  </si>
  <si>
    <t>C0282</t>
  </si>
  <si>
    <t>06/05/2025</t>
  </si>
  <si>
    <t>C0283</t>
  </si>
  <si>
    <t>АРТ_457</t>
  </si>
  <si>
    <t>C0284</t>
  </si>
  <si>
    <t>06/06/2025</t>
  </si>
  <si>
    <t>359/24</t>
  </si>
  <si>
    <t>C0285</t>
  </si>
  <si>
    <t>№АРТ-053</t>
  </si>
  <si>
    <t>C0286</t>
  </si>
  <si>
    <t>06/07/2025</t>
  </si>
  <si>
    <t>C0287</t>
  </si>
  <si>
    <t>C0288</t>
  </si>
  <si>
    <t>06/08/2025</t>
  </si>
  <si>
    <t>№АРТ-203</t>
  </si>
  <si>
    <t>C0289</t>
  </si>
  <si>
    <t>АРТ_303</t>
  </si>
  <si>
    <t>C0290</t>
  </si>
  <si>
    <t>06/09/2025</t>
  </si>
  <si>
    <t>259/24</t>
  </si>
  <si>
    <t>C0291</t>
  </si>
  <si>
    <t>C0292</t>
  </si>
  <si>
    <t>06/10/2025</t>
  </si>
  <si>
    <t>C0293</t>
  </si>
  <si>
    <t>C0294</t>
  </si>
  <si>
    <t>06/11/2025</t>
  </si>
  <si>
    <t>C0295</t>
  </si>
  <si>
    <t>C0296</t>
  </si>
  <si>
    <t>06/12/2025</t>
  </si>
  <si>
    <t>325/24</t>
  </si>
  <si>
    <t>C0297</t>
  </si>
  <si>
    <t>C0298</t>
  </si>
  <si>
    <t>06/13/2025</t>
  </si>
  <si>
    <t>АРТ_268</t>
  </si>
  <si>
    <t>C0299</t>
  </si>
  <si>
    <t>187-24</t>
  </si>
  <si>
    <t>C0300</t>
  </si>
  <si>
    <t>06/14/2025</t>
  </si>
  <si>
    <t>C0301</t>
  </si>
  <si>
    <t>АРТ_486</t>
  </si>
  <si>
    <t>C0302</t>
  </si>
  <si>
    <t>06/15/2025</t>
  </si>
  <si>
    <t>347/24</t>
  </si>
  <si>
    <t>C0303</t>
  </si>
  <si>
    <t>№АРТ-381</t>
  </si>
  <si>
    <t>C0304</t>
  </si>
  <si>
    <t>06/16/2025</t>
  </si>
  <si>
    <t>АРТ_219</t>
  </si>
  <si>
    <t>C0305</t>
  </si>
  <si>
    <t>263-24</t>
  </si>
  <si>
    <t>C0306</t>
  </si>
  <si>
    <t>06/17/2025</t>
  </si>
  <si>
    <t>№АРТ-101</t>
  </si>
  <si>
    <t>C0307</t>
  </si>
  <si>
    <t>C0308</t>
  </si>
  <si>
    <t>06/18/2025</t>
  </si>
  <si>
    <t>380/24</t>
  </si>
  <si>
    <t>C0309</t>
  </si>
  <si>
    <t>C0310</t>
  </si>
  <si>
    <t>06/19/2025</t>
  </si>
  <si>
    <t>АРТ_306</t>
  </si>
  <si>
    <t>C0311</t>
  </si>
  <si>
    <t>158-24</t>
  </si>
  <si>
    <t>C0312</t>
  </si>
  <si>
    <t>06/20/2025</t>
  </si>
  <si>
    <t>№АРТ-074</t>
  </si>
  <si>
    <t>C0313</t>
  </si>
  <si>
    <t>C0314</t>
  </si>
  <si>
    <t>06/21/2025</t>
  </si>
  <si>
    <t>293/24</t>
  </si>
  <si>
    <t>C0315</t>
  </si>
  <si>
    <t>№АРТ-416</t>
  </si>
  <si>
    <t>C0316</t>
  </si>
  <si>
    <t>06/22/2025</t>
  </si>
  <si>
    <t>C0317</t>
  </si>
  <si>
    <t>243-24</t>
  </si>
  <si>
    <t>C0318</t>
  </si>
  <si>
    <t>06/23/2025</t>
  </si>
  <si>
    <t>C0319</t>
  </si>
  <si>
    <t>C0320</t>
  </si>
  <si>
    <t>06/24/2025</t>
  </si>
  <si>
    <t>C0321</t>
  </si>
  <si>
    <t>№АРТ-305</t>
  </si>
  <si>
    <t>C0322</t>
  </si>
  <si>
    <t>06/25/2025</t>
  </si>
  <si>
    <t>АРТ_288</t>
  </si>
  <si>
    <t>C0323</t>
  </si>
  <si>
    <t>134-24</t>
  </si>
  <si>
    <t>C0324</t>
  </si>
  <si>
    <t>06/26/2025</t>
  </si>
  <si>
    <t>№АРТ-110</t>
  </si>
  <si>
    <t>C0325</t>
  </si>
  <si>
    <t>АРТ_471</t>
  </si>
  <si>
    <t>C0326</t>
  </si>
  <si>
    <t>06/27/2025</t>
  </si>
  <si>
    <t>322/24</t>
  </si>
  <si>
    <t>C0327</t>
  </si>
  <si>
    <t>№АРТ-188</t>
  </si>
  <si>
    <t>C0328</t>
  </si>
  <si>
    <t>06/28/2025</t>
  </si>
  <si>
    <t>C0329</t>
  </si>
  <si>
    <t>063-24</t>
  </si>
  <si>
    <t>C0330</t>
  </si>
  <si>
    <t>06/29/2025</t>
  </si>
  <si>
    <t>№АРТ-248</t>
  </si>
  <si>
    <t>C0331</t>
  </si>
  <si>
    <t>АРТ_454</t>
  </si>
  <si>
    <t>C0332</t>
  </si>
  <si>
    <t>06/30/2025</t>
  </si>
  <si>
    <t>281/24</t>
  </si>
  <si>
    <t>C0333</t>
  </si>
  <si>
    <t>C0334</t>
  </si>
  <si>
    <t>07/01/2025</t>
  </si>
  <si>
    <t>АРТ_345</t>
  </si>
  <si>
    <t>C0335</t>
  </si>
  <si>
    <t>224-24</t>
  </si>
  <si>
    <t>C0336</t>
  </si>
  <si>
    <t>07/02/2025</t>
  </si>
  <si>
    <t>C0337</t>
  </si>
  <si>
    <t>АРТ_438</t>
  </si>
  <si>
    <t>C0338</t>
  </si>
  <si>
    <t>07/03/2025</t>
  </si>
  <si>
    <t>C0339</t>
  </si>
  <si>
    <t>C0340</t>
  </si>
  <si>
    <t>07/04/2025</t>
  </si>
  <si>
    <t>АРТ_267</t>
  </si>
  <si>
    <t>C0341</t>
  </si>
  <si>
    <t>095-24</t>
  </si>
  <si>
    <t>C0342</t>
  </si>
  <si>
    <t>07/05/2025</t>
  </si>
  <si>
    <t>№АРТ-030</t>
  </si>
  <si>
    <t>C0343</t>
  </si>
  <si>
    <t>АРТ_493</t>
  </si>
  <si>
    <t>C0344</t>
  </si>
  <si>
    <t>07/06/2025</t>
  </si>
  <si>
    <t>313/24</t>
  </si>
  <si>
    <t>C0345</t>
  </si>
  <si>
    <t>№АРТ-200</t>
  </si>
  <si>
    <t>C0346</t>
  </si>
  <si>
    <t>07/07/2025</t>
  </si>
  <si>
    <t>АРТ_253</t>
  </si>
  <si>
    <t>C0347</t>
  </si>
  <si>
    <t>105-24</t>
  </si>
  <si>
    <t>C0348</t>
  </si>
  <si>
    <t>07/08/2025</t>
  </si>
  <si>
    <t>C0349</t>
  </si>
  <si>
    <t>C0350</t>
  </si>
  <si>
    <t>07/09/2025</t>
  </si>
  <si>
    <t>C0351</t>
  </si>
  <si>
    <t>C0352</t>
  </si>
  <si>
    <t>07/10/2025</t>
  </si>
  <si>
    <t>АРТ_328</t>
  </si>
  <si>
    <t>C0353</t>
  </si>
  <si>
    <t>C0354</t>
  </si>
  <si>
    <t>07/11/2025</t>
  </si>
  <si>
    <t>C0355</t>
  </si>
  <si>
    <t>АРТ_466</t>
  </si>
  <si>
    <t>C0356</t>
  </si>
  <si>
    <t>07/12/2025</t>
  </si>
  <si>
    <t>334/24</t>
  </si>
  <si>
    <t>C0357</t>
  </si>
  <si>
    <t>C0358</t>
  </si>
  <si>
    <t>07/13/2025</t>
  </si>
  <si>
    <t>АРТ_223</t>
  </si>
  <si>
    <t>C0359</t>
  </si>
  <si>
    <t>137-24</t>
  </si>
  <si>
    <t>C0360</t>
  </si>
  <si>
    <t>07/14/2025</t>
  </si>
  <si>
    <t>№АРТ-096</t>
  </si>
  <si>
    <t>C0361</t>
  </si>
  <si>
    <t>C0362</t>
  </si>
  <si>
    <t>07/15/2025</t>
  </si>
  <si>
    <t>304/24</t>
  </si>
  <si>
    <t>C0363</t>
  </si>
  <si>
    <t>№АРТ-179</t>
  </si>
  <si>
    <t>C0364</t>
  </si>
  <si>
    <t>07/16/2025</t>
  </si>
  <si>
    <t>АРТ_364</t>
  </si>
  <si>
    <t>C0365</t>
  </si>
  <si>
    <t>C0366</t>
  </si>
  <si>
    <t>07/17/2025</t>
  </si>
  <si>
    <t>№АРТ-044</t>
  </si>
  <si>
    <t>C0367</t>
  </si>
  <si>
    <t>АРТ_448</t>
  </si>
  <si>
    <t>C0368</t>
  </si>
  <si>
    <t>07/18/2025</t>
  </si>
  <si>
    <t>389/24</t>
  </si>
  <si>
    <t>C0369</t>
  </si>
  <si>
    <t>№АРТ-419</t>
  </si>
  <si>
    <t>C0370</t>
  </si>
  <si>
    <t>07/19/2025</t>
  </si>
  <si>
    <t>АРТ_258</t>
  </si>
  <si>
    <t>C0371</t>
  </si>
  <si>
    <t>C0372</t>
  </si>
  <si>
    <t>07/20/2025</t>
  </si>
  <si>
    <t>C0373</t>
  </si>
  <si>
    <t>АРТ_477</t>
  </si>
  <si>
    <t>C0374</t>
  </si>
  <si>
    <t>07/21/2025</t>
  </si>
  <si>
    <t>342/24</t>
  </si>
  <si>
    <t>C0375</t>
  </si>
  <si>
    <t>C0376</t>
  </si>
  <si>
    <t>07/22/2025</t>
  </si>
  <si>
    <t>АРТ_216</t>
  </si>
  <si>
    <t>C0377</t>
  </si>
  <si>
    <t>257-24</t>
  </si>
  <si>
    <t>C0378</t>
  </si>
  <si>
    <t>07/23/2025</t>
  </si>
  <si>
    <t>№АРТ-080</t>
  </si>
  <si>
    <t>C0379</t>
  </si>
  <si>
    <t>C0380</t>
  </si>
  <si>
    <t>07/24/2025</t>
  </si>
  <si>
    <t>328/24</t>
  </si>
  <si>
    <t>C0381</t>
  </si>
  <si>
    <t>C0382</t>
  </si>
  <si>
    <t>07/25/2025</t>
  </si>
  <si>
    <t>АРТ_342</t>
  </si>
  <si>
    <t>C0383</t>
  </si>
  <si>
    <t>181-24</t>
  </si>
  <si>
    <t>C0384</t>
  </si>
  <si>
    <t>07/26/2025</t>
  </si>
  <si>
    <t>C0385</t>
  </si>
  <si>
    <t>АРТ_489</t>
  </si>
  <si>
    <t>C0386</t>
  </si>
  <si>
    <t>07/27/2025</t>
  </si>
  <si>
    <t>C0387</t>
  </si>
  <si>
    <t>№АРТ-413</t>
  </si>
  <si>
    <t>C0388</t>
  </si>
  <si>
    <t>07/28/2025</t>
  </si>
  <si>
    <t>АРТ_357</t>
  </si>
  <si>
    <t>C0389</t>
  </si>
  <si>
    <t>238-24</t>
  </si>
  <si>
    <t>C0390</t>
  </si>
  <si>
    <t>07/29/2025</t>
  </si>
  <si>
    <t>№АРТ-168</t>
  </si>
  <si>
    <t>C0391</t>
  </si>
  <si>
    <t>АРТ_426</t>
  </si>
  <si>
    <t>C0392</t>
  </si>
  <si>
    <t>07/30/2025</t>
  </si>
  <si>
    <t>C0393</t>
  </si>
  <si>
    <t>№АРТ-360</t>
  </si>
  <si>
    <t>C0394</t>
  </si>
  <si>
    <t>07/31/2025</t>
  </si>
  <si>
    <t>C0395</t>
  </si>
  <si>
    <t>C0396</t>
  </si>
  <si>
    <t>08/01/2025</t>
  </si>
  <si>
    <t>№АРТ-141</t>
  </si>
  <si>
    <t>C0397</t>
  </si>
  <si>
    <t>АРТ_495</t>
  </si>
  <si>
    <t>C0398</t>
  </si>
  <si>
    <t>08/02/2025</t>
  </si>
  <si>
    <t>331/24</t>
  </si>
  <si>
    <t>C0399</t>
  </si>
  <si>
    <t>C0400</t>
  </si>
  <si>
    <t>08/03/2025</t>
  </si>
  <si>
    <t>АРТ_256</t>
  </si>
  <si>
    <t>C0401</t>
  </si>
  <si>
    <t>139-24</t>
  </si>
  <si>
    <t>C0402</t>
  </si>
  <si>
    <t>08/04/2025</t>
  </si>
  <si>
    <t>C0403</t>
  </si>
  <si>
    <t>АРТ_436</t>
  </si>
  <si>
    <t>C0404</t>
  </si>
  <si>
    <t>08/05/2025</t>
  </si>
  <si>
    <t>C0405</t>
  </si>
  <si>
    <t>№АРТ-437</t>
  </si>
  <si>
    <t>C0406</t>
  </si>
  <si>
    <t>08/06/2025</t>
  </si>
  <si>
    <t>C0407</t>
  </si>
  <si>
    <t>217-24</t>
  </si>
  <si>
    <t>C0408</t>
  </si>
  <si>
    <t>08/07/2025</t>
  </si>
  <si>
    <t>C0409</t>
  </si>
  <si>
    <t>C0410</t>
  </si>
  <si>
    <t>08/08/2025</t>
  </si>
  <si>
    <t>C0411</t>
  </si>
  <si>
    <t>№АРТ-408</t>
  </si>
  <si>
    <t>C0412</t>
  </si>
  <si>
    <t>08/09/2025</t>
  </si>
  <si>
    <t>C0413</t>
  </si>
  <si>
    <t>278-24</t>
  </si>
  <si>
    <t>C0414</t>
  </si>
  <si>
    <t>08/10/2025</t>
  </si>
  <si>
    <t>№АРТ-038</t>
  </si>
  <si>
    <t>C0415</t>
  </si>
  <si>
    <t>C0416</t>
  </si>
  <si>
    <t>08/11/2025</t>
  </si>
  <si>
    <t>C0417</t>
  </si>
  <si>
    <t>C0418</t>
  </si>
  <si>
    <t>08/12/2025</t>
  </si>
  <si>
    <t>АРТ_286</t>
  </si>
  <si>
    <t>C0419</t>
  </si>
  <si>
    <t>052-24</t>
  </si>
  <si>
    <t>C0420</t>
  </si>
  <si>
    <t>08/13/2025</t>
  </si>
  <si>
    <t>№АРТ-197</t>
  </si>
  <si>
    <t>C0421</t>
  </si>
  <si>
    <t>АРТ_414</t>
  </si>
  <si>
    <t>C0422</t>
  </si>
  <si>
    <t>08/14/2025</t>
  </si>
  <si>
    <t>C0423</t>
  </si>
  <si>
    <t>C0424</t>
  </si>
  <si>
    <t>08/15/2025</t>
  </si>
  <si>
    <t>C0425</t>
  </si>
  <si>
    <t>254-24</t>
  </si>
  <si>
    <t>C0426</t>
  </si>
  <si>
    <t>08/16/2025</t>
  </si>
  <si>
    <t>№АРТ-104</t>
  </si>
  <si>
    <t>C0427</t>
  </si>
  <si>
    <t>АРТ_442</t>
  </si>
  <si>
    <t>C0428</t>
  </si>
  <si>
    <t>08/17/2025</t>
  </si>
  <si>
    <t>286/24</t>
  </si>
  <si>
    <t>C0429</t>
  </si>
  <si>
    <t>№АРТ-333</t>
  </si>
  <si>
    <t>C0430</t>
  </si>
  <si>
    <t>08/18/2025</t>
  </si>
  <si>
    <t>C0431</t>
  </si>
  <si>
    <t>C0432</t>
  </si>
  <si>
    <t>08/19/2025</t>
  </si>
  <si>
    <t>C0433</t>
  </si>
  <si>
    <t>C0434</t>
  </si>
  <si>
    <t>08/20/2025</t>
  </si>
  <si>
    <t>307/24</t>
  </si>
  <si>
    <t>C0435</t>
  </si>
  <si>
    <t>№АРТ-201</t>
  </si>
  <si>
    <t>C0436</t>
  </si>
  <si>
    <t>08/21/2025</t>
  </si>
  <si>
    <t>C0437</t>
  </si>
  <si>
    <t>041-24</t>
  </si>
  <si>
    <t>C0438</t>
  </si>
  <si>
    <t>08/22/2025</t>
  </si>
  <si>
    <t>C0439</t>
  </si>
  <si>
    <t>C0440</t>
  </si>
  <si>
    <t>08/23/2025</t>
  </si>
  <si>
    <t>C0441</t>
  </si>
  <si>
    <t>C0442</t>
  </si>
  <si>
    <t>08/24/2025</t>
  </si>
  <si>
    <t>АРТ_327</t>
  </si>
  <si>
    <t>C0443</t>
  </si>
  <si>
    <t>153-24</t>
  </si>
  <si>
    <t>C0444</t>
  </si>
  <si>
    <t>08/25/2025</t>
  </si>
  <si>
    <t>C0445</t>
  </si>
  <si>
    <t>C0446</t>
  </si>
  <si>
    <t>08/26/2025</t>
  </si>
  <si>
    <t>C0447</t>
  </si>
  <si>
    <t>C0448</t>
  </si>
  <si>
    <t>08/27/2025</t>
  </si>
  <si>
    <t>C0449</t>
  </si>
  <si>
    <t>265-24</t>
  </si>
  <si>
    <t>C0450</t>
  </si>
  <si>
    <t>08/28/2025</t>
  </si>
  <si>
    <t>C0451</t>
  </si>
  <si>
    <t>C0452</t>
  </si>
  <si>
    <t>08/29/2025</t>
  </si>
  <si>
    <t>361/24</t>
  </si>
  <si>
    <t>C0453</t>
  </si>
  <si>
    <t>C0454</t>
  </si>
  <si>
    <t>08/30/2025</t>
  </si>
  <si>
    <t>C0455</t>
  </si>
  <si>
    <t>088-24</t>
  </si>
  <si>
    <t>C0456</t>
  </si>
  <si>
    <t>08/31/2025</t>
  </si>
  <si>
    <t>№АРТ-171</t>
  </si>
  <si>
    <t>C0457</t>
  </si>
  <si>
    <t>АРТ_433</t>
  </si>
  <si>
    <t>C0458</t>
  </si>
  <si>
    <t>09/01/2025</t>
  </si>
  <si>
    <t>C0459</t>
  </si>
  <si>
    <t>C0460</t>
  </si>
  <si>
    <t>09/02/2025</t>
  </si>
  <si>
    <t>АРТ_312</t>
  </si>
  <si>
    <t>C0461</t>
  </si>
  <si>
    <t>C0462</t>
  </si>
  <si>
    <t>09/03/2025</t>
  </si>
  <si>
    <t>C0463</t>
  </si>
  <si>
    <t>АРТ_460</t>
  </si>
  <si>
    <t>C0464</t>
  </si>
  <si>
    <t>09/04/2025</t>
  </si>
  <si>
    <t>366/24</t>
  </si>
  <si>
    <t>C0465</t>
  </si>
  <si>
    <t>№АРТ-384</t>
  </si>
  <si>
    <t>C0466</t>
  </si>
  <si>
    <t>09/05/2025</t>
  </si>
  <si>
    <t>C0467</t>
  </si>
  <si>
    <t>299-24</t>
  </si>
  <si>
    <t>C0468</t>
  </si>
  <si>
    <t>09/06/2025</t>
  </si>
  <si>
    <t>№АРТ-001</t>
  </si>
  <si>
    <t>C0469</t>
  </si>
  <si>
    <t>АРТ_496</t>
  </si>
  <si>
    <t>C0470</t>
  </si>
  <si>
    <t>09/07/2025</t>
  </si>
  <si>
    <t>305/24</t>
  </si>
  <si>
    <t>C0471</t>
  </si>
  <si>
    <t>C0472</t>
  </si>
  <si>
    <t>09/08/2025</t>
  </si>
  <si>
    <t>АРТ_351</t>
  </si>
  <si>
    <t>C0473</t>
  </si>
  <si>
    <t>214-24</t>
  </si>
  <si>
    <t>C0474</t>
  </si>
  <si>
    <t>09/09/2025</t>
  </si>
  <si>
    <t>№АРТ-135</t>
  </si>
  <si>
    <t>C0475</t>
  </si>
  <si>
    <t>C0476</t>
  </si>
  <si>
    <t>09/10/2025</t>
  </si>
  <si>
    <t>C0477</t>
  </si>
  <si>
    <t>C0478</t>
  </si>
  <si>
    <t>09/11/2025</t>
  </si>
  <si>
    <t>C0479</t>
  </si>
  <si>
    <t>129-24</t>
  </si>
  <si>
    <t>C0480</t>
  </si>
  <si>
    <t>09/12/2025</t>
  </si>
  <si>
    <t>C0481</t>
  </si>
  <si>
    <t>C0482</t>
  </si>
  <si>
    <t>09/13/2025</t>
  </si>
  <si>
    <t>362/24</t>
  </si>
  <si>
    <t>C0483</t>
  </si>
  <si>
    <t>C0484</t>
  </si>
  <si>
    <t>09/14/2025</t>
  </si>
  <si>
    <t>C0485</t>
  </si>
  <si>
    <t>C0486</t>
  </si>
  <si>
    <t>09/15/2025</t>
  </si>
  <si>
    <t>№АРТ-047</t>
  </si>
  <si>
    <t>C0487</t>
  </si>
  <si>
    <t>C0488</t>
  </si>
  <si>
    <t>09/16/2025</t>
  </si>
  <si>
    <t>308/24</t>
  </si>
  <si>
    <t>C0489</t>
  </si>
  <si>
    <t>C0490</t>
  </si>
  <si>
    <t>09/17/2025</t>
  </si>
  <si>
    <t>C0491</t>
  </si>
  <si>
    <t>C0492</t>
  </si>
  <si>
    <t>09/18/2025</t>
  </si>
  <si>
    <t>C0493</t>
  </si>
  <si>
    <t>АРТ_498</t>
  </si>
  <si>
    <t>C0494</t>
  </si>
  <si>
    <t>09/19/2025</t>
  </si>
  <si>
    <t>C0495</t>
  </si>
  <si>
    <t>C0496</t>
  </si>
  <si>
    <t>09/20/2025</t>
  </si>
  <si>
    <t>C0497</t>
  </si>
  <si>
    <t>145-24</t>
  </si>
  <si>
    <t>C0498</t>
  </si>
  <si>
    <t>09/21/2025</t>
  </si>
  <si>
    <t>№АРТ-020</t>
  </si>
  <si>
    <t>C0499</t>
  </si>
  <si>
    <t>C0500</t>
  </si>
  <si>
    <t>09/22/2025</t>
  </si>
  <si>
    <t>376/24</t>
  </si>
  <si>
    <t>C0501</t>
  </si>
  <si>
    <t>C0502</t>
  </si>
  <si>
    <t>09/23/2025</t>
  </si>
  <si>
    <t>АРТ_309</t>
  </si>
  <si>
    <t>C0503</t>
  </si>
  <si>
    <t>251-24</t>
  </si>
  <si>
    <t>C0504</t>
  </si>
  <si>
    <t>09/24/2025</t>
  </si>
  <si>
    <t>C0505</t>
  </si>
  <si>
    <t>C0506</t>
  </si>
  <si>
    <t>09/25/2025</t>
  </si>
  <si>
    <t>C0507</t>
  </si>
  <si>
    <t>C0508</t>
  </si>
  <si>
    <t>09/26/2025</t>
  </si>
  <si>
    <t>АРТ_367</t>
  </si>
  <si>
    <t>C0509</t>
  </si>
  <si>
    <t>C0510</t>
  </si>
  <si>
    <t>09/27/2025</t>
  </si>
  <si>
    <t>№АРТ-050</t>
  </si>
  <si>
    <t>C0511</t>
  </si>
  <si>
    <t>C0512</t>
  </si>
  <si>
    <t>09/28/2025</t>
  </si>
  <si>
    <t>C0513</t>
  </si>
  <si>
    <t>№АРТ-398</t>
  </si>
  <si>
    <t>C0514</t>
  </si>
  <si>
    <t>09/29/2025</t>
  </si>
  <si>
    <t>C0515</t>
  </si>
  <si>
    <t>284-24</t>
  </si>
  <si>
    <t>C0516</t>
  </si>
  <si>
    <t>09/30/2025</t>
  </si>
  <si>
    <t>№АРТ-093</t>
  </si>
  <si>
    <t>C0517</t>
  </si>
  <si>
    <t>C0518</t>
  </si>
  <si>
    <t>10/01/2025</t>
  </si>
  <si>
    <t>C0519</t>
  </si>
  <si>
    <t>C0520</t>
  </si>
  <si>
    <t>10/02/2025</t>
  </si>
  <si>
    <t>C0521</t>
  </si>
  <si>
    <t>225-24</t>
  </si>
  <si>
    <t>C0522</t>
  </si>
  <si>
    <t>10/03/2025</t>
  </si>
  <si>
    <t>№АРТ-144</t>
  </si>
  <si>
    <t>C0523</t>
  </si>
  <si>
    <t>C0524</t>
  </si>
  <si>
    <t>10/04/2025</t>
  </si>
  <si>
    <t>C0525</t>
  </si>
  <si>
    <t>C0526</t>
  </si>
  <si>
    <t>10/05/2025</t>
  </si>
  <si>
    <t>C0527</t>
  </si>
  <si>
    <t>267-24</t>
  </si>
  <si>
    <t>C0528</t>
  </si>
  <si>
    <t>10/06/2025</t>
  </si>
  <si>
    <t>C0529</t>
  </si>
  <si>
    <t>АРТ_445</t>
  </si>
  <si>
    <t>C0530</t>
  </si>
  <si>
    <t>10/07/2025</t>
  </si>
  <si>
    <t>288/24</t>
  </si>
  <si>
    <t>C0531</t>
  </si>
  <si>
    <t>№АРТ-377</t>
  </si>
  <si>
    <t>C0532</t>
  </si>
  <si>
    <t>10/08/2025</t>
  </si>
  <si>
    <t>C0533</t>
  </si>
  <si>
    <t>C0534</t>
  </si>
  <si>
    <t>10/09/2025</t>
  </si>
  <si>
    <t>C0535</t>
  </si>
  <si>
    <t>C0536</t>
  </si>
  <si>
    <t>10/10/2025</t>
  </si>
  <si>
    <t>386/24</t>
  </si>
  <si>
    <t>C0537</t>
  </si>
  <si>
    <t>№АРТ-299</t>
  </si>
  <si>
    <t>C0538</t>
  </si>
  <si>
    <t>10/11/2025</t>
  </si>
  <si>
    <t>C0539</t>
  </si>
  <si>
    <t>320-24</t>
  </si>
  <si>
    <t>C0540</t>
  </si>
  <si>
    <t>10/12/2025</t>
  </si>
  <si>
    <t>C0541</t>
  </si>
  <si>
    <t>C0542</t>
  </si>
  <si>
    <t>10/13/2025</t>
  </si>
  <si>
    <t>C0543</t>
  </si>
  <si>
    <t>C0544</t>
  </si>
  <si>
    <t>10/14/2025</t>
  </si>
  <si>
    <t>C0545</t>
  </si>
  <si>
    <t>083-24</t>
  </si>
  <si>
    <t>C0546</t>
  </si>
  <si>
    <t>10/15/2025</t>
  </si>
  <si>
    <t>C0547</t>
  </si>
  <si>
    <t>C0548</t>
  </si>
  <si>
    <t>10/16/2025</t>
  </si>
  <si>
    <t>330/24</t>
  </si>
  <si>
    <t>C0549</t>
  </si>
  <si>
    <t>№АРТ-296</t>
  </si>
  <si>
    <t>C0550</t>
  </si>
  <si>
    <t>10/17/2025</t>
  </si>
  <si>
    <t>АРТ_354</t>
  </si>
  <si>
    <t>C0551</t>
  </si>
  <si>
    <t>C0552</t>
  </si>
  <si>
    <t>10/18/2025</t>
  </si>
  <si>
    <t>C0553</t>
  </si>
  <si>
    <t>C0554</t>
  </si>
  <si>
    <t>10/19/2025</t>
  </si>
  <si>
    <t>C0555</t>
  </si>
  <si>
    <t>C0556</t>
  </si>
  <si>
    <t>10/20/2025</t>
  </si>
  <si>
    <t>C0557</t>
  </si>
  <si>
    <t>C0558</t>
  </si>
  <si>
    <t>10/21/2025</t>
  </si>
  <si>
    <t>C0559</t>
  </si>
  <si>
    <t>C0560</t>
  </si>
  <si>
    <t>10/22/2025</t>
  </si>
  <si>
    <t>C0561</t>
  </si>
  <si>
    <t>№АРТ-192</t>
  </si>
  <si>
    <t>C0562</t>
  </si>
  <si>
    <t>10/23/2025</t>
  </si>
  <si>
    <t>C0563</t>
  </si>
  <si>
    <t>C0564</t>
  </si>
  <si>
    <t>10/24/2025</t>
  </si>
  <si>
    <t>№АРТ-087</t>
  </si>
  <si>
    <t>C0565</t>
  </si>
  <si>
    <t>C0566</t>
  </si>
  <si>
    <t>10/25/2025</t>
  </si>
  <si>
    <t>C0567</t>
  </si>
  <si>
    <t>C0568</t>
  </si>
  <si>
    <t>10/26/2025</t>
  </si>
  <si>
    <t>АРТ_396</t>
  </si>
  <si>
    <t>C0569</t>
  </si>
  <si>
    <t>253-24</t>
  </si>
  <si>
    <t>C0570</t>
  </si>
  <si>
    <t>10/27/2025</t>
  </si>
  <si>
    <t>C0571</t>
  </si>
  <si>
    <t>АРТ_484</t>
  </si>
  <si>
    <t>C0572</t>
  </si>
  <si>
    <t>10/28/2025</t>
  </si>
  <si>
    <t>C0573</t>
  </si>
  <si>
    <t>C0574</t>
  </si>
  <si>
    <t>10/29/2025</t>
  </si>
  <si>
    <t>C0575</t>
  </si>
  <si>
    <t>141-24</t>
  </si>
  <si>
    <t>C0576</t>
  </si>
  <si>
    <t>10/30/2025</t>
  </si>
  <si>
    <t>C0577</t>
  </si>
  <si>
    <t>АРТ_475</t>
  </si>
  <si>
    <t>C0578</t>
  </si>
  <si>
    <t>10/31/2025</t>
  </si>
  <si>
    <t>C0579</t>
  </si>
  <si>
    <t>C0580</t>
  </si>
  <si>
    <t>11/01/2025</t>
  </si>
  <si>
    <t>C0581</t>
  </si>
  <si>
    <t>C0582</t>
  </si>
  <si>
    <t>11/02/2025</t>
  </si>
  <si>
    <t>C0583</t>
  </si>
  <si>
    <t>C0584</t>
  </si>
  <si>
    <t>11/03/2025</t>
  </si>
  <si>
    <t>C0585</t>
  </si>
  <si>
    <t>C0586</t>
  </si>
  <si>
    <t>11/04/2025</t>
  </si>
  <si>
    <t>C0587</t>
  </si>
  <si>
    <t>272-24</t>
  </si>
  <si>
    <t>C0588</t>
  </si>
  <si>
    <t>11/05/2025</t>
  </si>
  <si>
    <t>C0589</t>
  </si>
  <si>
    <t>АРТ_447</t>
  </si>
  <si>
    <t>C0590</t>
  </si>
  <si>
    <t>11/06/2025</t>
  </si>
  <si>
    <t>379/24</t>
  </si>
  <si>
    <t>C0591</t>
  </si>
  <si>
    <t>C0592</t>
  </si>
  <si>
    <t>11/07/2025</t>
  </si>
  <si>
    <t>C0593</t>
  </si>
  <si>
    <t>C0594</t>
  </si>
  <si>
    <t>11/08/2025</t>
  </si>
  <si>
    <t>№АРТ-128</t>
  </si>
  <si>
    <t>C0595</t>
  </si>
  <si>
    <t>C0596</t>
  </si>
  <si>
    <t>11/09/2025</t>
  </si>
  <si>
    <t>310/24</t>
  </si>
  <si>
    <t>C0597</t>
  </si>
  <si>
    <t>C0598</t>
  </si>
  <si>
    <t>11/10/2025</t>
  </si>
  <si>
    <t>АРТ_372</t>
  </si>
  <si>
    <t>C0599</t>
  </si>
  <si>
    <t>C0600</t>
  </si>
  <si>
    <t>11/11/2025</t>
  </si>
  <si>
    <t>C0601</t>
  </si>
  <si>
    <t>АРТ_429</t>
  </si>
  <si>
    <t>C0602</t>
  </si>
  <si>
    <t>11/12/2025</t>
  </si>
  <si>
    <t>C0603</t>
  </si>
  <si>
    <t>C0604</t>
  </si>
  <si>
    <t>11/13/2025</t>
  </si>
  <si>
    <t>C0605</t>
  </si>
  <si>
    <t>293-24</t>
  </si>
  <si>
    <t>C0606</t>
  </si>
  <si>
    <t>11/14/2025</t>
  </si>
  <si>
    <t>№АРТ-006</t>
  </si>
  <si>
    <t>C0607</t>
  </si>
  <si>
    <t>C0608</t>
  </si>
  <si>
    <t>11/15/2025</t>
  </si>
  <si>
    <t>398/24</t>
  </si>
  <si>
    <t>C0609</t>
  </si>
  <si>
    <t>C0610</t>
  </si>
  <si>
    <t>11/16/2025</t>
  </si>
  <si>
    <t>C0611</t>
  </si>
  <si>
    <t>C0612</t>
  </si>
  <si>
    <t>11/17/2025</t>
  </si>
  <si>
    <t>C0613</t>
  </si>
  <si>
    <t>C0614</t>
  </si>
  <si>
    <t>11/18/2025</t>
  </si>
  <si>
    <t>324/24</t>
  </si>
  <si>
    <t>C0615</t>
  </si>
  <si>
    <t>C0616</t>
  </si>
  <si>
    <t>11/19/2025</t>
  </si>
  <si>
    <t>C0617</t>
  </si>
  <si>
    <t>218-24</t>
  </si>
  <si>
    <t>C0618</t>
  </si>
  <si>
    <t>11/20/2025</t>
  </si>
  <si>
    <t>C0619</t>
  </si>
  <si>
    <t>АРТ_412</t>
  </si>
  <si>
    <t>C0620</t>
  </si>
  <si>
    <t>11/21/2025</t>
  </si>
  <si>
    <t>385/24</t>
  </si>
  <si>
    <t>C0621</t>
  </si>
  <si>
    <t>C0622</t>
  </si>
  <si>
    <t>11/22/2025</t>
  </si>
  <si>
    <t>C0623</t>
  </si>
  <si>
    <t>C0624</t>
  </si>
  <si>
    <t>11/23/2025</t>
  </si>
  <si>
    <t>№АРТ-095</t>
  </si>
  <si>
    <t>C0625</t>
  </si>
  <si>
    <t>C0626</t>
  </si>
  <si>
    <t>11/24/2025</t>
  </si>
  <si>
    <t>C0627</t>
  </si>
  <si>
    <t>№АРТ-219</t>
  </si>
  <si>
    <t>C0628</t>
  </si>
  <si>
    <t>11/25/2025</t>
  </si>
  <si>
    <t>АРТ_336</t>
  </si>
  <si>
    <t>C0629</t>
  </si>
  <si>
    <t>279-24</t>
  </si>
  <si>
    <t>C0630</t>
  </si>
  <si>
    <t>11/26/2025</t>
  </si>
  <si>
    <t>C0631</t>
  </si>
  <si>
    <t>АРТ_465</t>
  </si>
  <si>
    <t>C0632</t>
  </si>
  <si>
    <t>11/27/2025</t>
  </si>
  <si>
    <t>365/24</t>
  </si>
  <si>
    <t>C0633</t>
  </si>
  <si>
    <t>C0634</t>
  </si>
  <si>
    <t>11/28/2025</t>
  </si>
  <si>
    <t>C0635</t>
  </si>
  <si>
    <t>C0636</t>
  </si>
  <si>
    <t>11/29/2025</t>
  </si>
  <si>
    <t>№АРТ-150</t>
  </si>
  <si>
    <t>C0637</t>
  </si>
  <si>
    <t>C0638</t>
  </si>
  <si>
    <t>11/30/2025</t>
  </si>
  <si>
    <t>C0639</t>
  </si>
  <si>
    <t>№АРТ-411</t>
  </si>
  <si>
    <t>C0640</t>
  </si>
  <si>
    <t>12/01/2025</t>
  </si>
  <si>
    <t>C0641</t>
  </si>
  <si>
    <t>155-24</t>
  </si>
  <si>
    <t>C0642</t>
  </si>
  <si>
    <t>12/02/2025</t>
  </si>
  <si>
    <t>№АРТ-056</t>
  </si>
  <si>
    <t>C0643</t>
  </si>
  <si>
    <t>C0644</t>
  </si>
  <si>
    <t>12/03/2025</t>
  </si>
  <si>
    <t>300/24</t>
  </si>
  <si>
    <t>C0645</t>
  </si>
  <si>
    <t>C0646</t>
  </si>
  <si>
    <t>12/04/2025</t>
  </si>
  <si>
    <t>C0647</t>
  </si>
  <si>
    <t>233-24</t>
  </si>
  <si>
    <t>C0648</t>
  </si>
  <si>
    <t>12/05/2025</t>
  </si>
  <si>
    <t>№АРТ-122</t>
  </si>
  <si>
    <t>C0649</t>
  </si>
  <si>
    <t>C0650</t>
  </si>
  <si>
    <t>12/06/2025</t>
  </si>
  <si>
    <t>367/24</t>
  </si>
  <si>
    <t>C0651</t>
  </si>
  <si>
    <t>C0652</t>
  </si>
  <si>
    <t>12/07/2025</t>
  </si>
  <si>
    <t>АРТ_385</t>
  </si>
  <si>
    <t>C0653</t>
  </si>
  <si>
    <t>242-24</t>
  </si>
  <si>
    <t>C0654</t>
  </si>
  <si>
    <t>12/08/2025</t>
  </si>
  <si>
    <t>№АРТ-089</t>
  </si>
  <si>
    <t>C0655</t>
  </si>
  <si>
    <t>C0656</t>
  </si>
  <si>
    <t>12/09/2025</t>
  </si>
  <si>
    <t>C0657</t>
  </si>
  <si>
    <t>C0658</t>
  </si>
  <si>
    <t>12/10/2025</t>
  </si>
  <si>
    <t>C0659</t>
  </si>
  <si>
    <t>C0660</t>
  </si>
  <si>
    <t>12/11/2025</t>
  </si>
  <si>
    <t>№АРТ-014</t>
  </si>
  <si>
    <t>C0661</t>
  </si>
  <si>
    <t>АРТ_453</t>
  </si>
  <si>
    <t>C0662</t>
  </si>
  <si>
    <t>12/12/2025</t>
  </si>
  <si>
    <t>C0663</t>
  </si>
  <si>
    <t>№АРТ-273</t>
  </si>
  <si>
    <t>C0664</t>
  </si>
  <si>
    <t>12/13/2025</t>
  </si>
  <si>
    <t>C0665</t>
  </si>
  <si>
    <t>C0666</t>
  </si>
  <si>
    <t>12/14/2025</t>
  </si>
  <si>
    <t>№АРТ-039</t>
  </si>
  <si>
    <t>C0667</t>
  </si>
  <si>
    <t>C0668</t>
  </si>
  <si>
    <t>12/15/2025</t>
  </si>
  <si>
    <t>377/24</t>
  </si>
  <si>
    <t>C0669</t>
  </si>
  <si>
    <t>C0670</t>
  </si>
  <si>
    <t>12/16/2025</t>
  </si>
  <si>
    <t>C0671</t>
  </si>
  <si>
    <t>285-24</t>
  </si>
  <si>
    <t>C0672</t>
  </si>
  <si>
    <t>12/17/2025</t>
  </si>
  <si>
    <t>C0673</t>
  </si>
  <si>
    <t>АРТ_430</t>
  </si>
  <si>
    <t>C0674</t>
  </si>
  <si>
    <t>12/18/2025</t>
  </si>
  <si>
    <t>C0675</t>
  </si>
  <si>
    <t>№АРТ-198</t>
  </si>
  <si>
    <t>C0676</t>
  </si>
  <si>
    <t>12/19/2025</t>
  </si>
  <si>
    <t>АРТ_379</t>
  </si>
  <si>
    <t>C0677</t>
  </si>
  <si>
    <t>116-24</t>
  </si>
  <si>
    <t>C0678</t>
  </si>
  <si>
    <t>12/20/2025</t>
  </si>
  <si>
    <t>№АРТ-066</t>
  </si>
  <si>
    <t>C0679</t>
  </si>
  <si>
    <t>C0680</t>
  </si>
  <si>
    <t>12/21/2025</t>
  </si>
  <si>
    <t>C0681</t>
  </si>
  <si>
    <t>C0682</t>
  </si>
  <si>
    <t>12/22/2025</t>
  </si>
  <si>
    <t>АРТ_282</t>
  </si>
  <si>
    <t>C0683</t>
  </si>
  <si>
    <t>259-24</t>
  </si>
  <si>
    <t>C0684</t>
  </si>
  <si>
    <t>12/23/2025</t>
  </si>
  <si>
    <t>C0685</t>
  </si>
  <si>
    <t>C0686</t>
  </si>
  <si>
    <t>12/24/2025</t>
  </si>
  <si>
    <t>C0687</t>
  </si>
  <si>
    <t>№АРТ-236</t>
  </si>
  <si>
    <t>C0688</t>
  </si>
  <si>
    <t>12/25/2025</t>
  </si>
  <si>
    <t>АРТ_322</t>
  </si>
  <si>
    <t>C0689</t>
  </si>
  <si>
    <t>C0690</t>
  </si>
  <si>
    <t>12/26/2025</t>
  </si>
  <si>
    <t>№АРТ-008</t>
  </si>
  <si>
    <t>C0691</t>
  </si>
  <si>
    <t>C0692</t>
  </si>
  <si>
    <t>12/27/2025</t>
  </si>
  <si>
    <t>C0693</t>
  </si>
  <si>
    <t>C0694</t>
  </si>
  <si>
    <t>12/28/2025</t>
  </si>
  <si>
    <t>C0695</t>
  </si>
  <si>
    <t>283-24</t>
  </si>
  <si>
    <t>C0696</t>
  </si>
  <si>
    <t>12/29/2025</t>
  </si>
  <si>
    <t>C0697</t>
  </si>
  <si>
    <t>C0698</t>
  </si>
  <si>
    <t>12/30/2025</t>
  </si>
  <si>
    <t>306/24</t>
  </si>
  <si>
    <t>C0699</t>
  </si>
  <si>
    <t>C0700</t>
  </si>
  <si>
    <t>12/31/2025</t>
  </si>
  <si>
    <t>АРТ_375</t>
  </si>
  <si>
    <t>C0701</t>
  </si>
  <si>
    <t>C0702</t>
  </si>
  <si>
    <t>01/01/2026</t>
  </si>
  <si>
    <t>C0703</t>
  </si>
  <si>
    <t>C0704</t>
  </si>
  <si>
    <t>01/02/2026</t>
  </si>
  <si>
    <t>323/24</t>
  </si>
  <si>
    <t>C0705</t>
  </si>
  <si>
    <t>C0706</t>
  </si>
  <si>
    <t>01/03/2026</t>
  </si>
  <si>
    <t>АРТ_343</t>
  </si>
  <si>
    <t>C0707</t>
  </si>
  <si>
    <t>C0708</t>
  </si>
  <si>
    <t>01/04/2026</t>
  </si>
  <si>
    <t>C0709</t>
  </si>
  <si>
    <t>C0710</t>
  </si>
  <si>
    <t>01/05/2026</t>
  </si>
  <si>
    <t>C0711</t>
  </si>
  <si>
    <t>№АРТ-390</t>
  </si>
  <si>
    <t>C0712</t>
  </si>
  <si>
    <t>01/06/2026</t>
  </si>
  <si>
    <t>АРТ_301</t>
  </si>
  <si>
    <t>C0713</t>
  </si>
  <si>
    <t>C0714</t>
  </si>
  <si>
    <t>01/07/2026</t>
  </si>
  <si>
    <t>C0715</t>
  </si>
  <si>
    <t>АРТ_469</t>
  </si>
  <si>
    <t>C0716</t>
  </si>
  <si>
    <t>01/08/2026</t>
  </si>
  <si>
    <t>C0717</t>
  </si>
  <si>
    <t>C0718</t>
  </si>
  <si>
    <t>01/09/2026</t>
  </si>
  <si>
    <t>АРТ_310</t>
  </si>
  <si>
    <t>C0719</t>
  </si>
  <si>
    <t>C0720</t>
  </si>
  <si>
    <t>01/10/2026</t>
  </si>
  <si>
    <t>C0721</t>
  </si>
  <si>
    <t>АРТ_463</t>
  </si>
  <si>
    <t>C0722</t>
  </si>
  <si>
    <t>01/11/2026</t>
  </si>
  <si>
    <t>C0723</t>
  </si>
  <si>
    <t>C0724</t>
  </si>
  <si>
    <t>01/12/2026</t>
  </si>
  <si>
    <t>АРТ_246</t>
  </si>
  <si>
    <t>C0725</t>
  </si>
  <si>
    <t>C0726</t>
  </si>
  <si>
    <t>01/13/2026</t>
  </si>
  <si>
    <t>C0727</t>
  </si>
  <si>
    <t>C0728</t>
  </si>
  <si>
    <t>01/14/2026</t>
  </si>
  <si>
    <t>374/24</t>
  </si>
  <si>
    <t>C0729</t>
  </si>
  <si>
    <t>№АРТ-357</t>
  </si>
  <si>
    <t>C0730</t>
  </si>
  <si>
    <t>01/15/2026</t>
  </si>
  <si>
    <t>C0731</t>
  </si>
  <si>
    <t>C0732</t>
  </si>
  <si>
    <t>01/16/2026</t>
  </si>
  <si>
    <t>C0733</t>
  </si>
  <si>
    <t>C0734</t>
  </si>
  <si>
    <t>01/17/2026</t>
  </si>
  <si>
    <t>397/24</t>
  </si>
  <si>
    <t>C0735</t>
  </si>
  <si>
    <t>C0736</t>
  </si>
  <si>
    <t>01/18/2026</t>
  </si>
  <si>
    <t>C0737</t>
  </si>
  <si>
    <t>131-24</t>
  </si>
  <si>
    <t>C0738</t>
  </si>
  <si>
    <t>01/19/2026</t>
  </si>
  <si>
    <t>C0739</t>
  </si>
  <si>
    <t>C0740</t>
  </si>
  <si>
    <t>01/20/2026</t>
  </si>
  <si>
    <t>C0741</t>
  </si>
  <si>
    <t>№АРТ-351</t>
  </si>
  <si>
    <t>C0742</t>
  </si>
  <si>
    <t>01/21/2026</t>
  </si>
  <si>
    <t>АРТ_324</t>
  </si>
  <si>
    <t>C0743</t>
  </si>
  <si>
    <t>196-24</t>
  </si>
  <si>
    <t>C0744</t>
  </si>
  <si>
    <t>01/22/2026</t>
  </si>
  <si>
    <t>№АРТ-083</t>
  </si>
  <si>
    <t>C0745</t>
  </si>
  <si>
    <t>C0746</t>
  </si>
  <si>
    <t>01/23/2026</t>
  </si>
  <si>
    <t>C0747</t>
  </si>
  <si>
    <t>№АРТ-326</t>
  </si>
  <si>
    <t>C0748</t>
  </si>
  <si>
    <t>01/24/2026</t>
  </si>
  <si>
    <t>АРТ_315</t>
  </si>
  <si>
    <t>C0749</t>
  </si>
  <si>
    <t>221-24</t>
  </si>
  <si>
    <t>C0750</t>
  </si>
  <si>
    <t>01/25/2026</t>
  </si>
  <si>
    <t>C0751</t>
  </si>
  <si>
    <t>C0752</t>
  </si>
  <si>
    <t>01/26/2026</t>
  </si>
  <si>
    <t>C0753</t>
  </si>
  <si>
    <t>C0754</t>
  </si>
  <si>
    <t>01/27/2026</t>
  </si>
  <si>
    <t>C0755</t>
  </si>
  <si>
    <t>124-24</t>
  </si>
  <si>
    <t>C0756</t>
  </si>
  <si>
    <t>01/28/2026</t>
  </si>
  <si>
    <t>№АРТ-158</t>
  </si>
  <si>
    <t>C0757</t>
  </si>
  <si>
    <t>C0758</t>
  </si>
  <si>
    <t>01/29/2026</t>
  </si>
  <si>
    <t>326/24</t>
  </si>
  <si>
    <t>C0759</t>
  </si>
  <si>
    <t>C0760</t>
  </si>
  <si>
    <t>01/30/2026</t>
  </si>
  <si>
    <t>C0761</t>
  </si>
  <si>
    <t>277-24</t>
  </si>
  <si>
    <t>C0762</t>
  </si>
  <si>
    <t>01/31/2026</t>
  </si>
  <si>
    <t>№АРТ-069</t>
  </si>
  <si>
    <t>C0763</t>
  </si>
  <si>
    <t>C0764</t>
  </si>
  <si>
    <t>02/01/2026</t>
  </si>
  <si>
    <t>349/24</t>
  </si>
  <si>
    <t>C0765</t>
  </si>
  <si>
    <t>C0766</t>
  </si>
  <si>
    <t>02/02/2026</t>
  </si>
  <si>
    <t>АРТ_394</t>
  </si>
  <si>
    <t>C0767</t>
  </si>
  <si>
    <t>C0768</t>
  </si>
  <si>
    <t>02/03/2026</t>
  </si>
  <si>
    <t>C0769</t>
  </si>
  <si>
    <t>C0770</t>
  </si>
  <si>
    <t>02/04/2026</t>
  </si>
  <si>
    <t>319/24</t>
  </si>
  <si>
    <t>C0771</t>
  </si>
  <si>
    <t>C0772</t>
  </si>
  <si>
    <t>02/05/2026</t>
  </si>
  <si>
    <t>C0773</t>
  </si>
  <si>
    <t>115-24</t>
  </si>
  <si>
    <t>C0774</t>
  </si>
  <si>
    <t>02/06/2026</t>
  </si>
  <si>
    <t>C0775</t>
  </si>
  <si>
    <t>C0776</t>
  </si>
  <si>
    <t>02/07/2026</t>
  </si>
  <si>
    <t>C0777</t>
  </si>
  <si>
    <t>№АРТ-167</t>
  </si>
  <si>
    <t>C0778</t>
  </si>
  <si>
    <t>02/08/2026</t>
  </si>
  <si>
    <t>C0779</t>
  </si>
  <si>
    <t>193-24</t>
  </si>
  <si>
    <t>C0780</t>
  </si>
  <si>
    <t>02/09/2026</t>
  </si>
  <si>
    <t>C0781</t>
  </si>
  <si>
    <t>C0782</t>
  </si>
  <si>
    <t>02/10/2026</t>
  </si>
  <si>
    <t>320/24</t>
  </si>
  <si>
    <t>C0783</t>
  </si>
  <si>
    <t>C0784</t>
  </si>
  <si>
    <t>02/11/2026</t>
  </si>
  <si>
    <t>АРТ_325</t>
  </si>
  <si>
    <t>C0785</t>
  </si>
  <si>
    <t>C0786</t>
  </si>
  <si>
    <t>02/12/2026</t>
  </si>
  <si>
    <t>C0787</t>
  </si>
  <si>
    <t>C0788</t>
  </si>
  <si>
    <t>02/13/2026</t>
  </si>
  <si>
    <t>C0789</t>
  </si>
  <si>
    <t>C0790</t>
  </si>
  <si>
    <t>02/14/2026</t>
  </si>
  <si>
    <t>C0791</t>
  </si>
  <si>
    <t>C0792</t>
  </si>
  <si>
    <t>02/15/2026</t>
  </si>
  <si>
    <t>C0793</t>
  </si>
  <si>
    <t>C0794</t>
  </si>
  <si>
    <t>02/16/2026</t>
  </si>
  <si>
    <t>C0795</t>
  </si>
  <si>
    <t>№АРТ-264</t>
  </si>
  <si>
    <t>C0796</t>
  </si>
  <si>
    <t>02/17/2026</t>
  </si>
  <si>
    <t>C0797</t>
  </si>
  <si>
    <t>191-24</t>
  </si>
  <si>
    <t>C0798</t>
  </si>
  <si>
    <t>02/18/2026</t>
  </si>
  <si>
    <t>№АРТ-153</t>
  </si>
  <si>
    <t>C0799</t>
  </si>
  <si>
    <t>C0800</t>
  </si>
  <si>
    <t>02/19/2026</t>
  </si>
  <si>
    <t>C0801</t>
  </si>
  <si>
    <t>№АРТ-393</t>
  </si>
  <si>
    <t>C0802</t>
  </si>
  <si>
    <t>02/20/2026</t>
  </si>
  <si>
    <t>АРТ_307</t>
  </si>
  <si>
    <t>C0803</t>
  </si>
  <si>
    <t>C0804</t>
  </si>
  <si>
    <t>02/21/2026</t>
  </si>
  <si>
    <t>C0805</t>
  </si>
  <si>
    <t>C0806</t>
  </si>
  <si>
    <t>02/22/2026</t>
  </si>
  <si>
    <t>C0807</t>
  </si>
  <si>
    <t>C0808</t>
  </si>
  <si>
    <t>02/23/2026</t>
  </si>
  <si>
    <t>C0809</t>
  </si>
  <si>
    <t>C0810</t>
  </si>
  <si>
    <t>02/24/2026</t>
  </si>
  <si>
    <t>C0811</t>
  </si>
  <si>
    <t>C0812</t>
  </si>
  <si>
    <t>02/25/2026</t>
  </si>
  <si>
    <t>C0813</t>
  </si>
  <si>
    <t>C0814</t>
  </si>
  <si>
    <t>02/26/2026</t>
  </si>
  <si>
    <t>C0815</t>
  </si>
  <si>
    <t>136-24</t>
  </si>
  <si>
    <t>C0816</t>
  </si>
  <si>
    <t>02/27/2026</t>
  </si>
  <si>
    <t>№АРТ-117</t>
  </si>
  <si>
    <t>C0817</t>
  </si>
  <si>
    <t>C0818</t>
  </si>
  <si>
    <t>02/28/2026</t>
  </si>
  <si>
    <t>384/24</t>
  </si>
  <si>
    <t>C0819</t>
  </si>
  <si>
    <t>№АРТ-336</t>
  </si>
  <si>
    <t>C0820</t>
  </si>
  <si>
    <t>03/01/2026</t>
  </si>
  <si>
    <t>C0821</t>
  </si>
  <si>
    <t>C0822</t>
  </si>
  <si>
    <t>03/02/2026</t>
  </si>
  <si>
    <t>C0823</t>
  </si>
  <si>
    <t>АРТ_421</t>
  </si>
  <si>
    <t>C0824</t>
  </si>
  <si>
    <t>03/03/2026</t>
  </si>
  <si>
    <t>C0825</t>
  </si>
  <si>
    <t>C0826</t>
  </si>
  <si>
    <t>03/04/2026</t>
  </si>
  <si>
    <t>C0827</t>
  </si>
  <si>
    <t>101-24</t>
  </si>
  <si>
    <t>C0828</t>
  </si>
  <si>
    <t>03/05/2026</t>
  </si>
  <si>
    <t>C0829</t>
  </si>
  <si>
    <t>C0830</t>
  </si>
  <si>
    <t>03/06/2026</t>
  </si>
  <si>
    <t>C0831</t>
  </si>
  <si>
    <t>C0832</t>
  </si>
  <si>
    <t>03/07/2026</t>
  </si>
  <si>
    <t>C0833</t>
  </si>
  <si>
    <t>152-24</t>
  </si>
  <si>
    <t>C0834</t>
  </si>
  <si>
    <t>03/08/2026</t>
  </si>
  <si>
    <t>C0835</t>
  </si>
  <si>
    <t>C0836</t>
  </si>
  <si>
    <t>03/09/2026</t>
  </si>
  <si>
    <t>C0837</t>
  </si>
  <si>
    <t>№АРТ-270</t>
  </si>
  <si>
    <t>C0838</t>
  </si>
  <si>
    <t>03/10/2026</t>
  </si>
  <si>
    <t>C0839</t>
  </si>
  <si>
    <t>197-24</t>
  </si>
  <si>
    <t>C0840</t>
  </si>
  <si>
    <t>03/11/2026</t>
  </si>
  <si>
    <t>C0841</t>
  </si>
  <si>
    <t>C0842</t>
  </si>
  <si>
    <t>03/12/2026</t>
  </si>
  <si>
    <t>C0843</t>
  </si>
  <si>
    <t>C0844</t>
  </si>
  <si>
    <t>03/13/2026</t>
  </si>
  <si>
    <t>C0845</t>
  </si>
  <si>
    <t>151-24</t>
  </si>
  <si>
    <t>C0846</t>
  </si>
  <si>
    <t>03/14/2026</t>
  </si>
  <si>
    <t>C0847</t>
  </si>
  <si>
    <t>C0848</t>
  </si>
  <si>
    <t>03/15/2026</t>
  </si>
  <si>
    <t>C0849</t>
  </si>
  <si>
    <t>C0850</t>
  </si>
  <si>
    <t>03/16/2026</t>
  </si>
  <si>
    <t>C0851</t>
  </si>
  <si>
    <t>248-24</t>
  </si>
  <si>
    <t>C0852</t>
  </si>
  <si>
    <t>03/17/2026</t>
  </si>
  <si>
    <t>№АРТ-075</t>
  </si>
  <si>
    <t>C0853</t>
  </si>
  <si>
    <t>C0854</t>
  </si>
  <si>
    <t>03/18/2026</t>
  </si>
  <si>
    <t>C0855</t>
  </si>
  <si>
    <t>C0856</t>
  </si>
  <si>
    <t>03/19/2026</t>
  </si>
  <si>
    <t>C0857</t>
  </si>
  <si>
    <t>C0858</t>
  </si>
  <si>
    <t>03/20/2026</t>
  </si>
  <si>
    <t>№АРТ-113</t>
  </si>
  <si>
    <t>C0859</t>
  </si>
  <si>
    <t>C0860</t>
  </si>
  <si>
    <t>03/21/2026</t>
  </si>
  <si>
    <t>C0861</t>
  </si>
  <si>
    <t>№АРТ-402</t>
  </si>
  <si>
    <t>C0862</t>
  </si>
  <si>
    <t>03/22/2026</t>
  </si>
  <si>
    <t>C0863</t>
  </si>
  <si>
    <t>C0864</t>
  </si>
  <si>
    <t>03/23/2026</t>
  </si>
  <si>
    <t>C0865</t>
  </si>
  <si>
    <t>C0866</t>
  </si>
  <si>
    <t>03/24/2026</t>
  </si>
  <si>
    <t>C0867</t>
  </si>
  <si>
    <t>C0868</t>
  </si>
  <si>
    <t>03/25/2026</t>
  </si>
  <si>
    <t>АРТ_355</t>
  </si>
  <si>
    <t>C0869</t>
  </si>
  <si>
    <t>C0870</t>
  </si>
  <si>
    <t>03/26/2026</t>
  </si>
  <si>
    <t>C0871</t>
  </si>
  <si>
    <t>C0872</t>
  </si>
  <si>
    <t>03/27/2026</t>
  </si>
  <si>
    <t>C0873</t>
  </si>
  <si>
    <t>№АРТ-213</t>
  </si>
  <si>
    <t>C0874</t>
  </si>
  <si>
    <t>03/28/2026</t>
  </si>
  <si>
    <t>C0875</t>
  </si>
  <si>
    <t>C0876</t>
  </si>
  <si>
    <t>03/29/2026</t>
  </si>
  <si>
    <t>C0877</t>
  </si>
  <si>
    <t>C0878</t>
  </si>
  <si>
    <t>03/30/2026</t>
  </si>
  <si>
    <t>337/24</t>
  </si>
  <si>
    <t>C0879</t>
  </si>
  <si>
    <t>C0880</t>
  </si>
  <si>
    <t>03/31/2026</t>
  </si>
  <si>
    <t>C0881</t>
  </si>
  <si>
    <t>229-24</t>
  </si>
  <si>
    <t>C0882</t>
  </si>
  <si>
    <t>04/01/2026</t>
  </si>
  <si>
    <t>C0883</t>
  </si>
  <si>
    <t>C0884</t>
  </si>
  <si>
    <t>04/02/2026</t>
  </si>
  <si>
    <t>392/24</t>
  </si>
  <si>
    <t>C0885</t>
  </si>
  <si>
    <t>№АРТ-240</t>
  </si>
  <si>
    <t>C0886</t>
  </si>
  <si>
    <t>04/03/2026</t>
  </si>
  <si>
    <t>C0887</t>
  </si>
  <si>
    <t>C0888</t>
  </si>
  <si>
    <t>04/04/2026</t>
  </si>
  <si>
    <t>№АРТ-111</t>
  </si>
  <si>
    <t>C0889</t>
  </si>
  <si>
    <t>C0890</t>
  </si>
  <si>
    <t>04/05/2026</t>
  </si>
  <si>
    <t>C0891</t>
  </si>
  <si>
    <t>C0892</t>
  </si>
  <si>
    <t>04/06/2026</t>
  </si>
  <si>
    <t>C0893</t>
  </si>
  <si>
    <t>266-24</t>
  </si>
  <si>
    <t>C0894</t>
  </si>
  <si>
    <t>04/07/2026</t>
  </si>
  <si>
    <t>№АРТ-090</t>
  </si>
  <si>
    <t>C0895</t>
  </si>
  <si>
    <t>C0896</t>
  </si>
  <si>
    <t>04/08/2026</t>
  </si>
  <si>
    <t>C0897</t>
  </si>
  <si>
    <t>C0898</t>
  </si>
  <si>
    <t>04/09/2026</t>
  </si>
  <si>
    <t>АРТ_391</t>
  </si>
  <si>
    <t>C0899</t>
  </si>
  <si>
    <t>C0900</t>
  </si>
  <si>
    <t>04/10/2026</t>
  </si>
  <si>
    <t>C0901</t>
  </si>
  <si>
    <t>C0902</t>
  </si>
  <si>
    <t>04/11/2026</t>
  </si>
  <si>
    <t>C0903</t>
  </si>
  <si>
    <t>№АРТ-279</t>
  </si>
  <si>
    <t>C0904</t>
  </si>
  <si>
    <t>04/12/2026</t>
  </si>
  <si>
    <t>АРТ_271</t>
  </si>
  <si>
    <t>C0905</t>
  </si>
  <si>
    <t>C0906</t>
  </si>
  <si>
    <t>04/13/2026</t>
  </si>
  <si>
    <t>№АРТ-015</t>
  </si>
  <si>
    <t>C0907</t>
  </si>
  <si>
    <t>АРТ_417</t>
  </si>
  <si>
    <t>C0908</t>
  </si>
  <si>
    <t>04/14/2026</t>
  </si>
  <si>
    <t>C0909</t>
  </si>
  <si>
    <t>C0910</t>
  </si>
  <si>
    <t>04/15/2026</t>
  </si>
  <si>
    <t>C0911</t>
  </si>
  <si>
    <t>209-24</t>
  </si>
  <si>
    <t>C0912</t>
  </si>
  <si>
    <t>04/16/2026</t>
  </si>
  <si>
    <t>№АРТ-143</t>
  </si>
  <si>
    <t>C0913</t>
  </si>
  <si>
    <t>C0914</t>
  </si>
  <si>
    <t>04/17/2026</t>
  </si>
  <si>
    <t>C0915</t>
  </si>
  <si>
    <t>№АРТ-309</t>
  </si>
  <si>
    <t>C0916</t>
  </si>
  <si>
    <t>04/18/2026</t>
  </si>
  <si>
    <t>C0917</t>
  </si>
  <si>
    <t>C0918</t>
  </si>
  <si>
    <t>04/19/2026</t>
  </si>
  <si>
    <t>C0919</t>
  </si>
  <si>
    <t>C0920</t>
  </si>
  <si>
    <t>04/20/2026</t>
  </si>
  <si>
    <t>C0921</t>
  </si>
  <si>
    <t>№АРТ-314</t>
  </si>
  <si>
    <t>C0922</t>
  </si>
  <si>
    <t>04/21/2026</t>
  </si>
  <si>
    <t>C0923</t>
  </si>
  <si>
    <t>287-24</t>
  </si>
  <si>
    <t>C0924</t>
  </si>
  <si>
    <t>04/22/2026</t>
  </si>
  <si>
    <t>№АРТ-048</t>
  </si>
  <si>
    <t>C0925</t>
  </si>
  <si>
    <t>C0926</t>
  </si>
  <si>
    <t>04/23/2026</t>
  </si>
  <si>
    <t>C0927</t>
  </si>
  <si>
    <t>№АРТ-395</t>
  </si>
  <si>
    <t>C0928</t>
  </si>
  <si>
    <t>04/24/2026</t>
  </si>
  <si>
    <t>C0929</t>
  </si>
  <si>
    <t>230-24</t>
  </si>
  <si>
    <t>C0930</t>
  </si>
  <si>
    <t>04/25/2026</t>
  </si>
  <si>
    <t>C0931</t>
  </si>
  <si>
    <t>C0932</t>
  </si>
  <si>
    <t>04/26/2026</t>
  </si>
  <si>
    <t>332/24</t>
  </si>
  <si>
    <t>C0933</t>
  </si>
  <si>
    <t>C0934</t>
  </si>
  <si>
    <t>04/27/2026</t>
  </si>
  <si>
    <t>C0935</t>
  </si>
  <si>
    <t>109-24</t>
  </si>
  <si>
    <t>C0936</t>
  </si>
  <si>
    <t>04/28/2026</t>
  </si>
  <si>
    <t>№АРТ-098</t>
  </si>
  <si>
    <t>C0937</t>
  </si>
  <si>
    <t>C0938</t>
  </si>
  <si>
    <t>04/29/2026</t>
  </si>
  <si>
    <t>C0939</t>
  </si>
  <si>
    <t>C0940</t>
  </si>
  <si>
    <t>04/30/2026</t>
  </si>
  <si>
    <t>C0941</t>
  </si>
  <si>
    <t>244-24</t>
  </si>
  <si>
    <t>C0942</t>
  </si>
  <si>
    <t>05/01/2026</t>
  </si>
  <si>
    <t>C0943</t>
  </si>
  <si>
    <t>C0944</t>
  </si>
  <si>
    <t>05/02/2026</t>
  </si>
  <si>
    <t>C0945</t>
  </si>
  <si>
    <t>№АРТ-170</t>
  </si>
  <si>
    <t>C0946</t>
  </si>
  <si>
    <t>05/03/2026</t>
  </si>
  <si>
    <t>C0947</t>
  </si>
  <si>
    <t>273-24</t>
  </si>
  <si>
    <t>C0948</t>
  </si>
  <si>
    <t>05/04/2026</t>
  </si>
  <si>
    <t>C0949</t>
  </si>
  <si>
    <t>C0950</t>
  </si>
  <si>
    <t>05/05/2026</t>
  </si>
  <si>
    <t>C0951</t>
  </si>
  <si>
    <t>№АРТ-369</t>
  </si>
  <si>
    <t>C0952</t>
  </si>
  <si>
    <t>05/06/2026</t>
  </si>
  <si>
    <t>C0953</t>
  </si>
  <si>
    <t>C0954</t>
  </si>
  <si>
    <t>05/07/2026</t>
  </si>
  <si>
    <t>C0955</t>
  </si>
  <si>
    <t>АРТ_499</t>
  </si>
  <si>
    <t>C0956</t>
  </si>
  <si>
    <t>05/08/2026</t>
  </si>
  <si>
    <t>C0957</t>
  </si>
  <si>
    <t>C0958</t>
  </si>
  <si>
    <t>05/09/2026</t>
  </si>
  <si>
    <t>C0959</t>
  </si>
  <si>
    <t>C0960</t>
  </si>
  <si>
    <t>05/10/2026</t>
  </si>
  <si>
    <t>C0961</t>
  </si>
  <si>
    <t>C0962</t>
  </si>
  <si>
    <t>05/11/2026</t>
  </si>
  <si>
    <t>C0963</t>
  </si>
  <si>
    <t>C0964</t>
  </si>
  <si>
    <t>05/12/2026</t>
  </si>
  <si>
    <t>C0965</t>
  </si>
  <si>
    <t>C0966</t>
  </si>
  <si>
    <t>05/13/2026</t>
  </si>
  <si>
    <t>C0967</t>
  </si>
  <si>
    <t>C0968</t>
  </si>
  <si>
    <t>05/14/2026</t>
  </si>
  <si>
    <t>C0969</t>
  </si>
  <si>
    <t>C0970</t>
  </si>
  <si>
    <t>05/15/2026</t>
  </si>
  <si>
    <t>C0971</t>
  </si>
  <si>
    <t>154-24</t>
  </si>
  <si>
    <t>C0972</t>
  </si>
  <si>
    <t>05/16/2026</t>
  </si>
  <si>
    <t>C0973</t>
  </si>
  <si>
    <t>C0974</t>
  </si>
  <si>
    <t>05/17/2026</t>
  </si>
  <si>
    <t>C0975</t>
  </si>
  <si>
    <t>C0976</t>
  </si>
  <si>
    <t>05/18/2026</t>
  </si>
  <si>
    <t>C0977</t>
  </si>
  <si>
    <t>C0978</t>
  </si>
  <si>
    <t>05/19/2026</t>
  </si>
  <si>
    <t>C0979</t>
  </si>
  <si>
    <t>C0980</t>
  </si>
  <si>
    <t>05/20/2026</t>
  </si>
  <si>
    <t>C0981</t>
  </si>
  <si>
    <t>C0982</t>
  </si>
  <si>
    <t>05/21/2026</t>
  </si>
  <si>
    <t>C0983</t>
  </si>
  <si>
    <t>C0984</t>
  </si>
  <si>
    <t>05/22/2026</t>
  </si>
  <si>
    <t>C0985</t>
  </si>
  <si>
    <t>C0986</t>
  </si>
  <si>
    <t>05/23/2026</t>
  </si>
  <si>
    <t>C0987</t>
  </si>
  <si>
    <t>№АРТ-140</t>
  </si>
  <si>
    <t>C0988</t>
  </si>
  <si>
    <t>05/24/2026</t>
  </si>
  <si>
    <t>АРТ_270</t>
  </si>
  <si>
    <t>C0989</t>
  </si>
  <si>
    <t>C0990</t>
  </si>
  <si>
    <t>05/25/2026</t>
  </si>
  <si>
    <t>C0991</t>
  </si>
  <si>
    <t>C0992</t>
  </si>
  <si>
    <t>05/26/2026</t>
  </si>
  <si>
    <t>C0993</t>
  </si>
  <si>
    <t>№АРТ-174</t>
  </si>
  <si>
    <t>C0994</t>
  </si>
  <si>
    <t>05/27/2026</t>
  </si>
  <si>
    <t>C0995</t>
  </si>
  <si>
    <t>C0996</t>
  </si>
  <si>
    <t>05/28/2026</t>
  </si>
  <si>
    <t>C0997</t>
  </si>
  <si>
    <t>C0998</t>
  </si>
  <si>
    <t>05/29/2026</t>
  </si>
  <si>
    <t>372/24</t>
  </si>
  <si>
    <t>C0999</t>
  </si>
  <si>
    <t>C1000</t>
  </si>
  <si>
    <t xml:space="preserve">ФИО (исх.)</t>
  </si>
  <si>
    <t xml:space="preserve">Дата_рождения (исх.)</t>
  </si>
  <si>
    <t xml:space="preserve">Город (исх.)</t>
  </si>
  <si>
    <t xml:space="preserve">Дата_регистрации (исх.)</t>
  </si>
  <si>
    <t>ФИО</t>
  </si>
  <si>
    <t xml:space="preserve">Дата рождения</t>
  </si>
  <si>
    <t>Возраст</t>
  </si>
  <si>
    <t xml:space="preserve">Проверка даты рождения</t>
  </si>
  <si>
    <t xml:space="preserve">Дата регистрации</t>
  </si>
  <si>
    <t>Город</t>
  </si>
  <si>
    <t xml:space="preserve">Иванов Иван Иванович</t>
  </si>
  <si>
    <t>15.05.1990</t>
  </si>
  <si>
    <t>ivanov@mail.ru</t>
  </si>
  <si>
    <t>Москва</t>
  </si>
  <si>
    <t>01.01.2022</t>
  </si>
  <si>
    <t xml:space="preserve">Петров Петр Петрович</t>
  </si>
  <si>
    <t>23.08.1985</t>
  </si>
  <si>
    <t>petrov@yandex</t>
  </si>
  <si>
    <t>Санкт-Петербург</t>
  </si>
  <si>
    <t>2022-01-15</t>
  </si>
  <si>
    <t xml:space="preserve">Сидоров Сидор Сидорович</t>
  </si>
  <si>
    <t>12.03.1992</t>
  </si>
  <si>
    <t>sidorov@gmail.com</t>
  </si>
  <si>
    <t>Екатеринбург</t>
  </si>
  <si>
    <t>15.01.2022</t>
  </si>
  <si>
    <t xml:space="preserve">Кузнецова Анна Сергеевна</t>
  </si>
  <si>
    <t>07.11.1978</t>
  </si>
  <si>
    <t>kuznetsova@mail</t>
  </si>
  <si>
    <t>Новосибирск</t>
  </si>
  <si>
    <t>01.02.2022</t>
  </si>
  <si>
    <t xml:space="preserve">Смирнов Алексей Владимирович</t>
  </si>
  <si>
    <t>30.06.1995</t>
  </si>
  <si>
    <t>smirnov@yandex</t>
  </si>
  <si>
    <t>Казань</t>
  </si>
  <si>
    <t>2022-02-10</t>
  </si>
  <si>
    <t xml:space="preserve">Попова Елена Дмитриевна</t>
  </si>
  <si>
    <t>14.09.1982</t>
  </si>
  <si>
    <t xml:space="preserve">8 903 567 89 01</t>
  </si>
  <si>
    <t>popova@gmail</t>
  </si>
  <si>
    <t xml:space="preserve">Нижний Новгород</t>
  </si>
  <si>
    <t>10.02.2022</t>
  </si>
  <si>
    <t xml:space="preserve">Васильев Андрей Николаевич</t>
  </si>
  <si>
    <t>25.12.1970</t>
  </si>
  <si>
    <t>+79035678901</t>
  </si>
  <si>
    <t>vasiliev@mail</t>
  </si>
  <si>
    <t>Челябинск</t>
  </si>
  <si>
    <t>01.03.2022</t>
  </si>
  <si>
    <t xml:space="preserve">Зайцева Ольга Игоревна</t>
  </si>
  <si>
    <t>19.04.1988</t>
  </si>
  <si>
    <t>zaitceva@yandex</t>
  </si>
  <si>
    <t>Самара</t>
  </si>
  <si>
    <t>2022-03-15</t>
  </si>
  <si>
    <t xml:space="preserve">Морозов Дмитрий Алексеевич</t>
  </si>
  <si>
    <t>02.10.1993</t>
  </si>
  <si>
    <t xml:space="preserve">8 903 789 01 23</t>
  </si>
  <si>
    <t>morozov@gmail</t>
  </si>
  <si>
    <t>Омск</t>
  </si>
  <si>
    <t>15.03.2022</t>
  </si>
  <si>
    <t xml:space="preserve">Соколова Екатерина Павловна</t>
  </si>
  <si>
    <t>16.01.1976</t>
  </si>
  <si>
    <t>+79038901234</t>
  </si>
  <si>
    <t>sokolova@mail</t>
  </si>
  <si>
    <t>Ростов-на-Дону</t>
  </si>
  <si>
    <t>01.04.2022</t>
  </si>
  <si>
    <t xml:space="preserve">Михайлов Сергей Иванович</t>
  </si>
  <si>
    <t>28.07.1984</t>
  </si>
  <si>
    <t>mihailov@yandex</t>
  </si>
  <si>
    <t>Уфа</t>
  </si>
  <si>
    <t>2022-04-10</t>
  </si>
  <si>
    <t xml:space="preserve">Федорова Татьяна Владимировна</t>
  </si>
  <si>
    <t>11.03.1991</t>
  </si>
  <si>
    <t xml:space="preserve">8 903 901 23 45</t>
  </si>
  <si>
    <t>fedorova@gmail</t>
  </si>
  <si>
    <t>Красноярск</t>
  </si>
  <si>
    <t>10.04.2022</t>
  </si>
  <si>
    <t xml:space="preserve">Егоров Павел Андреевич</t>
  </si>
  <si>
    <t>05.12.1973</t>
  </si>
  <si>
    <t>egorov@mail</t>
  </si>
  <si>
    <t>Пермь</t>
  </si>
  <si>
    <t>01.05.2022</t>
  </si>
  <si>
    <t xml:space="preserve">Николаев Александр Сергеевич</t>
  </si>
  <si>
    <t>23.08.1986</t>
  </si>
  <si>
    <t>nikolaev@yandex</t>
  </si>
  <si>
    <t>Волгоград</t>
  </si>
  <si>
    <t>2022-05-15</t>
  </si>
  <si>
    <t xml:space="preserve">Григорьева Наталья Юрьевна</t>
  </si>
  <si>
    <t>14.05.1994</t>
  </si>
  <si>
    <t xml:space="preserve">8 903 123 45 67</t>
  </si>
  <si>
    <t>grigorieva@gmail</t>
  </si>
  <si>
    <t>Воронеж</t>
  </si>
  <si>
    <t>15.05.2022</t>
  </si>
  <si>
    <t xml:space="preserve">Семенов Константин Денисович</t>
  </si>
  <si>
    <t>07.11.1979</t>
  </si>
  <si>
    <t>+79031234567</t>
  </si>
  <si>
    <t>semenov@mail</t>
  </si>
  <si>
    <t>Саратов</t>
  </si>
  <si>
    <t>01.06.2022</t>
  </si>
  <si>
    <t xml:space="preserve">Игнатова Мария Петровна</t>
  </si>
  <si>
    <t>22.06.1987</t>
  </si>
  <si>
    <t>ignatova@yandex</t>
  </si>
  <si>
    <t>Тольятти</t>
  </si>
  <si>
    <t>2022-06-10</t>
  </si>
  <si>
    <t xml:space="preserve">Поликарпов Василий Олегович</t>
  </si>
  <si>
    <t>30.09.1996</t>
  </si>
  <si>
    <t xml:space="preserve">8 903 234 56 78</t>
  </si>
  <si>
    <t>polikarpov@gmail</t>
  </si>
  <si>
    <t>Тюмень</t>
  </si>
  <si>
    <t>10.06.2022</t>
  </si>
  <si>
    <t xml:space="preserve">Тимофеева Оксана Николаевна</t>
  </si>
  <si>
    <t>12.02.1975</t>
  </si>
  <si>
    <t>+79032345678</t>
  </si>
  <si>
    <t>timofeeva@mail</t>
  </si>
  <si>
    <t>Ижевск</t>
  </si>
  <si>
    <t>01.07.2022</t>
  </si>
  <si>
    <t xml:space="preserve">Яковлев Артем Романович</t>
  </si>
  <si>
    <t>18.07.1983</t>
  </si>
  <si>
    <t>yakovlev@yandex</t>
  </si>
  <si>
    <t>Барнаул</t>
  </si>
  <si>
    <t>2022-07-15</t>
  </si>
  <si>
    <t xml:space="preserve">Медведева Кристина Сергеевна</t>
  </si>
  <si>
    <t>05.10.1990</t>
  </si>
  <si>
    <t>medvedeva@gmail</t>
  </si>
  <si>
    <t>Ульяновск</t>
  </si>
  <si>
    <t>15.07.2022</t>
  </si>
  <si>
    <t xml:space="preserve">Беляев Григорий Алексеевич</t>
  </si>
  <si>
    <t>27.04.1972</t>
  </si>
  <si>
    <t>+79033456789</t>
  </si>
  <si>
    <t>belyaev@mail</t>
  </si>
  <si>
    <t>Иркутск</t>
  </si>
  <si>
    <t>01.08.2022</t>
  </si>
  <si>
    <t xml:space="preserve">Романова Елизавета Дмитриевна</t>
  </si>
  <si>
    <t>14.11.1984</t>
  </si>
  <si>
    <t>8-903-345-67-89</t>
  </si>
  <si>
    <t>romanova@yandex</t>
  </si>
  <si>
    <t>Хабаровск</t>
  </si>
  <si>
    <t>2022-08-10</t>
  </si>
  <si>
    <t xml:space="preserve">Степанов Максим Владимирович</t>
  </si>
  <si>
    <t>20.03.1992</t>
  </si>
  <si>
    <t xml:space="preserve">8 903 456 78 90</t>
  </si>
  <si>
    <t>stepanov@gmail</t>
  </si>
  <si>
    <t>Ярославль</t>
  </si>
  <si>
    <t>10.08.2022</t>
  </si>
  <si>
    <t xml:space="preserve">Алексеева Татьяна Аркадьевна</t>
  </si>
  <si>
    <t>31.08.1976</t>
  </si>
  <si>
    <t>alekseeva@mail</t>
  </si>
  <si>
    <t>Владивосток</t>
  </si>
  <si>
    <t>01.09.2022</t>
  </si>
  <si>
    <t xml:space="preserve">Лебедев Николай Павлович</t>
  </si>
  <si>
    <t>09.12.1981</t>
  </si>
  <si>
    <t>lebedev@yandex</t>
  </si>
  <si>
    <t>Махачкала</t>
  </si>
  <si>
    <t>2022-09-15</t>
  </si>
  <si>
    <t xml:space="preserve">Козлова Надежда Викторовна</t>
  </si>
  <si>
    <t>17.06.1989</t>
  </si>
  <si>
    <t>kozlova@gmail</t>
  </si>
  <si>
    <t>Томск</t>
  </si>
  <si>
    <t>15.09.2022</t>
  </si>
  <si>
    <t xml:space="preserve">Орлов Юрий Александрович</t>
  </si>
  <si>
    <t>25.01.1977</t>
  </si>
  <si>
    <t>orlov@mail</t>
  </si>
  <si>
    <t>Оренбург</t>
  </si>
  <si>
    <t>01.10.2022</t>
  </si>
  <si>
    <t xml:space="preserve">Борисов Виталий Игоревич</t>
  </si>
  <si>
    <t>03.09.1991</t>
  </si>
  <si>
    <t>borisov@yandex</t>
  </si>
  <si>
    <t>Кемерово</t>
  </si>
  <si>
    <t>2022-10-10</t>
  </si>
  <si>
    <t xml:space="preserve">Фомина Светлана Петровна</t>
  </si>
  <si>
    <t>19.07.1983</t>
  </si>
  <si>
    <t xml:space="preserve">8 903 678 90 12</t>
  </si>
  <si>
    <t>fomina@gmail</t>
  </si>
  <si>
    <t>Новокузнецк</t>
  </si>
  <si>
    <t>10.10.2022</t>
  </si>
  <si>
    <t xml:space="preserve">Крылова Анжелика Сергеевна</t>
  </si>
  <si>
    <t>06.11.1974</t>
  </si>
  <si>
    <t>+79036789012</t>
  </si>
  <si>
    <t>krylova@mail</t>
  </si>
  <si>
    <t>Рязань</t>
  </si>
  <si>
    <t>01.11.2022</t>
  </si>
  <si>
    <t xml:space="preserve">Тихонов Владислав Андреевич</t>
  </si>
  <si>
    <t>15.04.1994</t>
  </si>
  <si>
    <t>tihonov@yandex</t>
  </si>
  <si>
    <t>Астрахань</t>
  </si>
  <si>
    <t>2022-11-15</t>
  </si>
  <si>
    <t xml:space="preserve">Никитина Дарья Владимировна</t>
  </si>
  <si>
    <t>28.09.1985</t>
  </si>
  <si>
    <t>nikitina@gmail</t>
  </si>
  <si>
    <t xml:space="preserve">Набережные Челны</t>
  </si>
  <si>
    <t>15.11.2022</t>
  </si>
  <si>
    <t xml:space="preserve">Соболев Арсений Федорович</t>
  </si>
  <si>
    <t>11.02.1973</t>
  </si>
  <si>
    <t>+79037890123</t>
  </si>
  <si>
    <t>sobolev@mail</t>
  </si>
  <si>
    <t>Липецк</t>
  </si>
  <si>
    <t>01.12.2022</t>
  </si>
  <si>
    <t xml:space="preserve">Данилова Ева Александровна</t>
  </si>
  <si>
    <t>23.12.1987</t>
  </si>
  <si>
    <t>8-903-789-01-23</t>
  </si>
  <si>
    <t>danilova@yandex</t>
  </si>
  <si>
    <t>Киров</t>
  </si>
  <si>
    <t>2022-12-10</t>
  </si>
  <si>
    <t xml:space="preserve">Гусев Олег Юрьевич</t>
  </si>
  <si>
    <t>18.05.1990</t>
  </si>
  <si>
    <t xml:space="preserve">8 903 890 12 34</t>
  </si>
  <si>
    <t>gusev@gmail</t>
  </si>
  <si>
    <t>Чебоксары</t>
  </si>
  <si>
    <t>10.12.2022</t>
  </si>
  <si>
    <t xml:space="preserve">Колесникова Жанна Игоревна</t>
  </si>
  <si>
    <t>07.08.1978</t>
  </si>
  <si>
    <t>kolesnikova@mail</t>
  </si>
  <si>
    <t>Тверь</t>
  </si>
  <si>
    <t>01.01.2023</t>
  </si>
  <si>
    <t xml:space="preserve">Куликов Илья Николаевич</t>
  </si>
  <si>
    <t>29.01.1982</t>
  </si>
  <si>
    <t>kulikov@yandex</t>
  </si>
  <si>
    <t>Краснодар</t>
  </si>
  <si>
    <t>2023-01-15</t>
  </si>
  <si>
    <t xml:space="preserve">Большакова Антонина Викторовна</t>
  </si>
  <si>
    <t>14.06.1993</t>
  </si>
  <si>
    <t>bolshakova@gmail</t>
  </si>
  <si>
    <t>Стерлитамак</t>
  </si>
  <si>
    <t>15.01.2023</t>
  </si>
  <si>
    <t xml:space="preserve">Савельев Артур Евгеньевич</t>
  </si>
  <si>
    <t>02.10.1976</t>
  </si>
  <si>
    <t>savelev@mail</t>
  </si>
  <si>
    <t>Пенза</t>
  </si>
  <si>
    <t>01.02.2023</t>
  </si>
  <si>
    <t xml:space="preserve">Журавлева Полина Ильинична</t>
  </si>
  <si>
    <t>19.03.1986</t>
  </si>
  <si>
    <t>8-903-901-23-45</t>
  </si>
  <si>
    <t>zhuravleva@yandex</t>
  </si>
  <si>
    <t>Находка</t>
  </si>
  <si>
    <t>2023-02-10</t>
  </si>
  <si>
    <t xml:space="preserve">Еремин Сергей Владимирович</t>
  </si>
  <si>
    <t>31.07.1991</t>
  </si>
  <si>
    <t xml:space="preserve">8 903 012 34 56</t>
  </si>
  <si>
    <t>eremin@gmail</t>
  </si>
  <si>
    <t>Магнитогорск</t>
  </si>
  <si>
    <t>10.02.2023</t>
  </si>
  <si>
    <t xml:space="preserve">Сергеева Анна Михайловна</t>
  </si>
  <si>
    <t>12.11.1975</t>
  </si>
  <si>
    <t>+79030123456</t>
  </si>
  <si>
    <t>sergeeva@mail</t>
  </si>
  <si>
    <t>Курск</t>
  </si>
  <si>
    <t>01.03.2023</t>
  </si>
  <si>
    <t xml:space="preserve">Карпов Андрей Петрович</t>
  </si>
  <si>
    <t>05.04.1983</t>
  </si>
  <si>
    <t>karpov@yandex</t>
  </si>
  <si>
    <t>Комсомольск-на-Амуре</t>
  </si>
  <si>
    <t>2023-03-15</t>
  </si>
  <si>
    <t xml:space="preserve">Киселева Екатерина Евгеньевна</t>
  </si>
  <si>
    <t>22.09.1989</t>
  </si>
  <si>
    <t>kiseleva@gmail</t>
  </si>
  <si>
    <t>Улан-Удэ</t>
  </si>
  <si>
    <t>15.03.2023</t>
  </si>
  <si>
    <t xml:space="preserve">Власов Денис Алексеевич</t>
  </si>
  <si>
    <t>10.02.1979</t>
  </si>
  <si>
    <t>vlasov@mail</t>
  </si>
  <si>
    <t>Якутск</t>
  </si>
  <si>
    <t>01.04.2023</t>
  </si>
  <si>
    <t xml:space="preserve">Ларионова Елена Валентиновна</t>
  </si>
  <si>
    <t>27.06.1994</t>
  </si>
  <si>
    <t>larionova@yandex</t>
  </si>
  <si>
    <t>Череповец</t>
  </si>
  <si>
    <t>2023-04-10</t>
  </si>
  <si>
    <t xml:space="preserve">Савин Юрий Михайлович</t>
  </si>
  <si>
    <t>14.12.1970</t>
  </si>
  <si>
    <t>savin@gmail</t>
  </si>
  <si>
    <t>Саранск</t>
  </si>
  <si>
    <t>10.04.2023</t>
  </si>
  <si>
    <t xml:space="preserve">Лобанова Ксения Сергеевна</t>
  </si>
  <si>
    <t>16.08.1982</t>
  </si>
  <si>
    <t>lobanova@mail</t>
  </si>
  <si>
    <t>Тула</t>
  </si>
  <si>
    <t>01.05.2023</t>
  </si>
  <si>
    <t xml:space="preserve">Макаров Игорь Дмитриевич</t>
  </si>
  <si>
    <t>23.01.1990</t>
  </si>
  <si>
    <t>makarov@yandex</t>
  </si>
  <si>
    <t>Калуга</t>
  </si>
  <si>
    <t>2023-05-15</t>
  </si>
  <si>
    <t xml:space="preserve">Спиридонова Ольга Петровна</t>
  </si>
  <si>
    <t>05.11.1977</t>
  </si>
  <si>
    <t>spiridonova@gmail</t>
  </si>
  <si>
    <t>Владикавказ</t>
  </si>
  <si>
    <t>15.05.2023</t>
  </si>
  <si>
    <t xml:space="preserve">Абрамова Марина Александровна</t>
  </si>
  <si>
    <t>29.07.1985</t>
  </si>
  <si>
    <t>abramova@mail</t>
  </si>
  <si>
    <t>Смоленск</t>
  </si>
  <si>
    <t>01.06.2023</t>
  </si>
  <si>
    <t xml:space="preserve">Богданов Павел Николаевич</t>
  </si>
  <si>
    <t>18.03.1992</t>
  </si>
  <si>
    <t>bogdanov@yandex</t>
  </si>
  <si>
    <t>Белгород</t>
  </si>
  <si>
    <t>2023-06-10</t>
  </si>
  <si>
    <t xml:space="preserve">Комаров Иван Валерьевич</t>
  </si>
  <si>
    <t>06.10.1987</t>
  </si>
  <si>
    <t>komarov@gmail</t>
  </si>
  <si>
    <t>Мурманск</t>
  </si>
  <si>
    <t>10.06.2023</t>
  </si>
  <si>
    <t xml:space="preserve">Анисимова Людмила Юрьевна</t>
  </si>
  <si>
    <t>12.05.1974</t>
  </si>
  <si>
    <t>anisimova@mail</t>
  </si>
  <si>
    <t>Ставрополь</t>
  </si>
  <si>
    <t>01.07.2023</t>
  </si>
  <si>
    <t xml:space="preserve">Трифонов Алексей Игоревич</t>
  </si>
  <si>
    <t>30.12.1980</t>
  </si>
  <si>
    <t>trifonov@yandex</t>
  </si>
  <si>
    <t>Севастополь</t>
  </si>
  <si>
    <t>2023-07-15</t>
  </si>
  <si>
    <t xml:space="preserve">Овсянникова Раиса Петровна</t>
  </si>
  <si>
    <t>17.09.1986</t>
  </si>
  <si>
    <t>ovsyannikova@gmail</t>
  </si>
  <si>
    <t>Сочи</t>
  </si>
  <si>
    <t>15.07.2023</t>
  </si>
  <si>
    <t xml:space="preserve">Дементьева Тамара Васильевна</t>
  </si>
  <si>
    <t>25.02.1971</t>
  </si>
  <si>
    <t>dementeva@mail</t>
  </si>
  <si>
    <t>Симферополь</t>
  </si>
  <si>
    <t>01.08.2023</t>
  </si>
  <si>
    <t xml:space="preserve">Суханов Станислав Анатольевич</t>
  </si>
  <si>
    <t>08.11.1993</t>
  </si>
  <si>
    <t>suhanov@yandex</t>
  </si>
  <si>
    <t>Брянск</t>
  </si>
  <si>
    <t>2023-08-10</t>
  </si>
  <si>
    <t xml:space="preserve">Новикова Алла Станиславовна</t>
  </si>
  <si>
    <t>14.07.1984</t>
  </si>
  <si>
    <t>novikova@gmail</t>
  </si>
  <si>
    <t>Абакан</t>
  </si>
  <si>
    <t>10.08.2023</t>
  </si>
  <si>
    <t xml:space="preserve">Калинин Герман Викторович</t>
  </si>
  <si>
    <t>27.03.1976</t>
  </si>
  <si>
    <t>kalinin@mail</t>
  </si>
  <si>
    <t>Грозный</t>
  </si>
  <si>
    <t>01.09.2023</t>
  </si>
  <si>
    <t xml:space="preserve">Мартынова Лариса Олеговна</t>
  </si>
  <si>
    <t>10.12.1981</t>
  </si>
  <si>
    <t>martynova@yandex</t>
  </si>
  <si>
    <t>Бийск</t>
  </si>
  <si>
    <t>2023-09-15</t>
  </si>
  <si>
    <t xml:space="preserve">Одинцов Сергей Алексеевич</t>
  </si>
  <si>
    <t>22.10.1988</t>
  </si>
  <si>
    <t>odintsov@gmail</t>
  </si>
  <si>
    <t>Йошкар-Ола</t>
  </si>
  <si>
    <t>15.09.2023</t>
  </si>
  <si>
    <t xml:space="preserve">Емельянова Татьяна Николаевна</t>
  </si>
  <si>
    <t>04.08.1972</t>
  </si>
  <si>
    <t>emelyanova@mail</t>
  </si>
  <si>
    <t>Курган</t>
  </si>
  <si>
    <t>01.10.2023</t>
  </si>
  <si>
    <t xml:space="preserve">Павлов Антон Сергеевич</t>
  </si>
  <si>
    <t>19.11.1995</t>
  </si>
  <si>
    <t>pavlov@yandex</t>
  </si>
  <si>
    <t>Архангельск</t>
  </si>
  <si>
    <t>2023-10-10</t>
  </si>
  <si>
    <t xml:space="preserve">Морозова Алина Викторовна</t>
  </si>
  <si>
    <t>23.06.1983</t>
  </si>
  <si>
    <t>morozova@gmail</t>
  </si>
  <si>
    <t>Благовещенск</t>
  </si>
  <si>
    <t>10.10.2023</t>
  </si>
  <si>
    <t xml:space="preserve">Кожевникова Инна Александровна</t>
  </si>
  <si>
    <t>16.01.1978</t>
  </si>
  <si>
    <t>kozhevnikova@mail</t>
  </si>
  <si>
    <t>Майкоп</t>
  </si>
  <si>
    <t>01.11.2023</t>
  </si>
  <si>
    <t xml:space="preserve">Баранова Снежана Олеговна</t>
  </si>
  <si>
    <t>03.09.1990</t>
  </si>
  <si>
    <t>baranova@yandex</t>
  </si>
  <si>
    <t>Уссурийск</t>
  </si>
  <si>
    <t>2023-11-15</t>
  </si>
  <si>
    <t xml:space="preserve">Казакова Надежда Андреевна</t>
  </si>
  <si>
    <t>28.04.1985</t>
  </si>
  <si>
    <t>kazakova@gmail</t>
  </si>
  <si>
    <t>Миасс</t>
  </si>
  <si>
    <t>15.11.2023</t>
  </si>
  <si>
    <t xml:space="preserve">Кравцов Павел Сергеевич</t>
  </si>
  <si>
    <t>14.12.1974</t>
  </si>
  <si>
    <t>kravtsov@mail</t>
  </si>
  <si>
    <t>Кызыл</t>
  </si>
  <si>
    <t>01.12.2023</t>
  </si>
  <si>
    <t xml:space="preserve">Васина Виктория Михайловна</t>
  </si>
  <si>
    <t>21.07.1992</t>
  </si>
  <si>
    <t>vasina@yandex</t>
  </si>
  <si>
    <t>Калининград</t>
  </si>
  <si>
    <t>2023-12-10</t>
  </si>
  <si>
    <t xml:space="preserve">Петухов Анатолий Игоревич</t>
  </si>
  <si>
    <t>10.05.1981</t>
  </si>
  <si>
    <t>petuhov@gmail</t>
  </si>
  <si>
    <t>Петрозаводск</t>
  </si>
  <si>
    <t>10.12.2023</t>
  </si>
  <si>
    <t xml:space="preserve">Гаврилова Светлана Алексеевна</t>
  </si>
  <si>
    <t>29.11.1976</t>
  </si>
  <si>
    <t>gavrilova@mail</t>
  </si>
  <si>
    <t>Рубцовск</t>
  </si>
  <si>
    <t>01.01.2024</t>
  </si>
  <si>
    <t xml:space="preserve">Харламов Федор Владимирович</t>
  </si>
  <si>
    <t>12.08.1988</t>
  </si>
  <si>
    <t>harlamov@yandex</t>
  </si>
  <si>
    <t>Элиста</t>
  </si>
  <si>
    <t>2024-01-15</t>
  </si>
  <si>
    <t xml:space="preserve">Юдина Майя Евгеньевна</t>
  </si>
  <si>
    <t>07.03.1993</t>
  </si>
  <si>
    <t>yudina@gmail</t>
  </si>
  <si>
    <t>Орск</t>
  </si>
  <si>
    <t>15.01.2024</t>
  </si>
  <si>
    <t xml:space="preserve">Прохоров Вадим Александрович</t>
  </si>
  <si>
    <t>25.09.1979</t>
  </si>
  <si>
    <t>prohorov@mail</t>
  </si>
  <si>
    <t>Нижневартовск</t>
  </si>
  <si>
    <t>01.02.2024</t>
  </si>
  <si>
    <t xml:space="preserve">Краснова Жанна Петровна</t>
  </si>
  <si>
    <t>18.12.1986</t>
  </si>
  <si>
    <t>krasnova@yandex</t>
  </si>
  <si>
    <t>Новороссийск</t>
  </si>
  <si>
    <t>2024-02-10</t>
  </si>
  <si>
    <t xml:space="preserve">Савельева Таисия Сергеевна</t>
  </si>
  <si>
    <t>02.06.1994</t>
  </si>
  <si>
    <t>saveleva@gmail</t>
  </si>
  <si>
    <t>Химки</t>
  </si>
  <si>
    <t>10.02.2024</t>
  </si>
  <si>
    <t xml:space="preserve">Шестаков Никита Игоревич</t>
  </si>
  <si>
    <t>31.01.1975</t>
  </si>
  <si>
    <t>shestakov@mail</t>
  </si>
  <si>
    <t>Подольск</t>
  </si>
  <si>
    <t>01.03.2024</t>
  </si>
  <si>
    <t xml:space="preserve">Виноградов Данил Олегович</t>
  </si>
  <si>
    <t>13.10.1982</t>
  </si>
  <si>
    <t>vinogradov@yandex</t>
  </si>
  <si>
    <t>Балашиха</t>
  </si>
  <si>
    <t>2024-03-15</t>
  </si>
  <si>
    <t xml:space="preserve">Александрова Милана Викторовна</t>
  </si>
  <si>
    <t>24.08.1991</t>
  </si>
  <si>
    <t>aleksandrova@gmail</t>
  </si>
  <si>
    <t>Сургут</t>
  </si>
  <si>
    <t>15.03.2024</t>
  </si>
  <si>
    <t xml:space="preserve">Борисенко Артём Денисович</t>
  </si>
  <si>
    <t>06.04.1977</t>
  </si>
  <si>
    <t>borisenko@mail</t>
  </si>
  <si>
    <t>Армавир</t>
  </si>
  <si>
    <t>01.04.2024</t>
  </si>
  <si>
    <t xml:space="preserve">Некрасова Екатерина Николаевна</t>
  </si>
  <si>
    <t>17.12.1984</t>
  </si>
  <si>
    <t>nekrasova@yandex</t>
  </si>
  <si>
    <t>Волжский</t>
  </si>
  <si>
    <t>2024-04-10</t>
  </si>
  <si>
    <t xml:space="preserve">Агапов Борис Евгеньевич</t>
  </si>
  <si>
    <t>30.07.1989</t>
  </si>
  <si>
    <t>agapov@gmail</t>
  </si>
  <si>
    <t>Шахты</t>
  </si>
  <si>
    <t>10.04.2024</t>
  </si>
  <si>
    <t xml:space="preserve">Фролова Дарья Павловна</t>
  </si>
  <si>
    <t>09.03.1973</t>
  </si>
  <si>
    <t>frolova@mail</t>
  </si>
  <si>
    <t>Златоуст</t>
  </si>
  <si>
    <t>01.05.2024</t>
  </si>
  <si>
    <t xml:space="preserve">Мишина Татьяна Андреевна</t>
  </si>
  <si>
    <t>21.10.1980</t>
  </si>
  <si>
    <t>mishina@yandex</t>
  </si>
  <si>
    <t>Ангарск</t>
  </si>
  <si>
    <t>2024-05-15</t>
  </si>
  <si>
    <t xml:space="preserve">Ильин Евгений Сергеевич</t>
  </si>
  <si>
    <t>04.06.1995</t>
  </si>
  <si>
    <t>ilin@gmail</t>
  </si>
  <si>
    <t>Озёрск</t>
  </si>
  <si>
    <t>15.05.2024</t>
  </si>
  <si>
    <t xml:space="preserve">Горбунова Виктория Дмитриевна</t>
  </si>
  <si>
    <t>27.11.1970</t>
  </si>
  <si>
    <t>gorbunova@mail</t>
  </si>
  <si>
    <t>Орел</t>
  </si>
  <si>
    <t>01.06.2024</t>
  </si>
  <si>
    <t xml:space="preserve">Ширяев Валерий Петрович</t>
  </si>
  <si>
    <t>15.02.1983</t>
  </si>
  <si>
    <t>shiryaev@yandex</t>
  </si>
  <si>
    <t>2024-06-10</t>
  </si>
  <si>
    <t xml:space="preserve">Пчелинцева Наталья Владимировна</t>
  </si>
  <si>
    <t>08.09.1987</t>
  </si>
  <si>
    <t>pchelintseva@gmail</t>
  </si>
  <si>
    <t>10.06.2024</t>
  </si>
  <si>
    <t xml:space="preserve">Столяров Алексей Валентинович</t>
  </si>
  <si>
    <t>19.05.1976</t>
  </si>
  <si>
    <t>stolyarov@mail</t>
  </si>
  <si>
    <t>01.07.2024</t>
  </si>
  <si>
    <t xml:space="preserve">Королева Анжела Алексеевна</t>
  </si>
  <si>
    <t>01.12.1992</t>
  </si>
  <si>
    <t>koroleva@yandex</t>
  </si>
  <si>
    <t>2024-07-15</t>
  </si>
  <si>
    <t xml:space="preserve">Мальцева Алла Борисовна</t>
  </si>
  <si>
    <t>24.08.1981</t>
  </si>
  <si>
    <t>maltseva@gmail</t>
  </si>
  <si>
    <t>15.07.2024</t>
  </si>
  <si>
    <t xml:space="preserve">Тарасова Ирина Павловна</t>
  </si>
  <si>
    <t>11.10.1974</t>
  </si>
  <si>
    <t>tarasova@mail</t>
  </si>
  <si>
    <t>01.08.2024</t>
  </si>
  <si>
    <t xml:space="preserve">Беспалов Глеб Анатольевич</t>
  </si>
  <si>
    <t>26.06.1988</t>
  </si>
  <si>
    <t>bespalov@yandex</t>
  </si>
  <si>
    <t>2024-08-10</t>
  </si>
  <si>
    <t xml:space="preserve">Соколовская Ольга Михайловна</t>
  </si>
  <si>
    <t>03.03.1979</t>
  </si>
  <si>
    <t>sokolovskaya@gmail</t>
  </si>
  <si>
    <t>10.08.2024</t>
  </si>
  <si>
    <t xml:space="preserve">Ермаков Павел Владимирович</t>
  </si>
  <si>
    <t>14.12.1985</t>
  </si>
  <si>
    <t>ermakov@mail</t>
  </si>
  <si>
    <t>01.09.2024</t>
  </si>
  <si>
    <t xml:space="preserve">Герасимова Анна Юрьевна</t>
  </si>
  <si>
    <t>22.07.1993</t>
  </si>
  <si>
    <t>gerasimova@yandex</t>
  </si>
  <si>
    <t>2024-09-15</t>
  </si>
  <si>
    <t xml:space="preserve">Кузьмина Ева Евгеньевна</t>
  </si>
  <si>
    <t>09.01.1977</t>
  </si>
  <si>
    <t>kuzmina@gmail</t>
  </si>
  <si>
    <t>15.09.2024</t>
  </si>
  <si>
    <t xml:space="preserve">Литвинов Станислав Андреевич</t>
  </si>
  <si>
    <t>17.09.1984</t>
  </si>
  <si>
    <t>litvinov@mail</t>
  </si>
  <si>
    <t>01.10.2024</t>
  </si>
  <si>
    <t xml:space="preserve">Архипова Диана Валерьевна</t>
  </si>
  <si>
    <t>28.04.1991</t>
  </si>
  <si>
    <t>arhipova@yandex</t>
  </si>
  <si>
    <t>2024-10-10</t>
  </si>
  <si>
    <t xml:space="preserve">Кузьмин Андрей Сергеевич</t>
  </si>
  <si>
    <t>03.11.1972</t>
  </si>
  <si>
    <t>kuzmin@gmail</t>
  </si>
  <si>
    <t>10.10.2024</t>
  </si>
  <si>
    <t xml:space="preserve">Афанасьева Виктория Денисовна</t>
  </si>
  <si>
    <t>16.06.1986</t>
  </si>
  <si>
    <t>afanasieva@mail</t>
  </si>
  <si>
    <t>01.11.2024</t>
  </si>
  <si>
    <t xml:space="preserve">Денисов Константин Викторович</t>
  </si>
  <si>
    <t>29.01.1994</t>
  </si>
  <si>
    <t>denisov@yandex</t>
  </si>
  <si>
    <t>2024-11-15</t>
  </si>
  <si>
    <t xml:space="preserve">Серова Наталья Анатольевна</t>
  </si>
  <si>
    <t>12.08.1978</t>
  </si>
  <si>
    <t>serova@gmail</t>
  </si>
  <si>
    <t>15.11.2024</t>
  </si>
  <si>
    <t xml:space="preserve">Голубев Максим Иванович</t>
  </si>
  <si>
    <t>07.12.1983</t>
  </si>
  <si>
    <t>golubev@mail</t>
  </si>
  <si>
    <t>01.12.2024</t>
  </si>
  <si>
    <t xml:space="preserve">Панова Карина Александровна</t>
  </si>
  <si>
    <t>20.03.1990</t>
  </si>
  <si>
    <t>panova@yandex</t>
  </si>
  <si>
    <t>2024-12-10</t>
  </si>
  <si>
    <t xml:space="preserve">Шевченко Тимофей Олегович</t>
  </si>
  <si>
    <t>25.10.1975</t>
  </si>
  <si>
    <t>shevchenko@gmail</t>
  </si>
  <si>
    <t>10.12.2024</t>
  </si>
  <si>
    <t xml:space="preserve">Титова Ника Павловна</t>
  </si>
  <si>
    <t>04.09.1982</t>
  </si>
  <si>
    <t>titova@mail</t>
  </si>
  <si>
    <t>01.01.2025</t>
  </si>
  <si>
    <t xml:space="preserve">Федотов Илья Степанович</t>
  </si>
  <si>
    <t>18.06.1995</t>
  </si>
  <si>
    <t>fedotov@yandex</t>
  </si>
  <si>
    <t>2025-01-15</t>
  </si>
  <si>
    <t xml:space="preserve">Захарова Елизавета Максимовна</t>
  </si>
  <si>
    <t>27.02.1971</t>
  </si>
  <si>
    <t>zaharova@gmail</t>
  </si>
  <si>
    <t>15.01.2025</t>
  </si>
  <si>
    <t xml:space="preserve">Беляева Мария Сергеевна</t>
  </si>
  <si>
    <t>09.11.1984</t>
  </si>
  <si>
    <t>belyaeva@mail</t>
  </si>
  <si>
    <t>01.02.2025</t>
  </si>
  <si>
    <t xml:space="preserve">Новиков Петр Дмитриевич</t>
  </si>
  <si>
    <t>15.07.1992</t>
  </si>
  <si>
    <t>novikov@yandex</t>
  </si>
  <si>
    <t>2025-02-10</t>
  </si>
  <si>
    <t xml:space="preserve">Осипова Ксения Игоревна</t>
  </si>
  <si>
    <t>30.04.1977</t>
  </si>
  <si>
    <t>osipova@gmail</t>
  </si>
  <si>
    <t>10.02.2025</t>
  </si>
  <si>
    <t xml:space="preserve">Климов Алексей Сергеевич</t>
  </si>
  <si>
    <t>23.12.1989</t>
  </si>
  <si>
    <t>klimov@mail</t>
  </si>
  <si>
    <t>01.03.2025</t>
  </si>
  <si>
    <t xml:space="preserve">Шмидт Елена Викторовна</t>
  </si>
  <si>
    <t>06.08.1974</t>
  </si>
  <si>
    <t>shmidt@yandex</t>
  </si>
  <si>
    <t>2025-03-15</t>
  </si>
  <si>
    <t xml:space="preserve">Золотарева Людмила Петровна</t>
  </si>
  <si>
    <t>19.01.1986</t>
  </si>
  <si>
    <t>zolotareva@gmail</t>
  </si>
  <si>
    <t>15.03.2025</t>
  </si>
  <si>
    <t xml:space="preserve">Субботин Владислав Романович</t>
  </si>
  <si>
    <t>subbotin@mail</t>
  </si>
  <si>
    <t>01.04.2025</t>
  </si>
  <si>
    <t xml:space="preserve">Карасев Арсений Николаевич</t>
  </si>
  <si>
    <t>14.05.1981</t>
  </si>
  <si>
    <t>karasev@yandex</t>
  </si>
  <si>
    <t>2025-04-10</t>
  </si>
  <si>
    <t xml:space="preserve">Шаповалова Валерия Андреевна</t>
  </si>
  <si>
    <t>08.12.1970</t>
  </si>
  <si>
    <t>shapovalova@gmail</t>
  </si>
  <si>
    <t>10.04.2025</t>
  </si>
  <si>
    <t xml:space="preserve">Васильев Иван Петрович</t>
  </si>
  <si>
    <t>21.03.1988</t>
  </si>
  <si>
    <t>vasilev@mail</t>
  </si>
  <si>
    <t>01.05.2025</t>
  </si>
  <si>
    <t xml:space="preserve">Ковалев Сергей Владимирович</t>
  </si>
  <si>
    <t>17.09.1983</t>
  </si>
  <si>
    <t>kovalev@yandex</t>
  </si>
  <si>
    <t>2025-05-15</t>
  </si>
  <si>
    <t xml:space="preserve">Мельникова Ольга Евгеньевна</t>
  </si>
  <si>
    <t>11.07.1991</t>
  </si>
  <si>
    <t>melnikova@gmail</t>
  </si>
  <si>
    <t>15.05.2025</t>
  </si>
  <si>
    <t xml:space="preserve">Поляков Илья Анатольевич</t>
  </si>
  <si>
    <t>28.11.1976</t>
  </si>
  <si>
    <t>polyakov@mail</t>
  </si>
  <si>
    <t>01.06.2025</t>
  </si>
  <si>
    <t xml:space="preserve">Куликова Екатерина Игоревна</t>
  </si>
  <si>
    <t>04.06.1985</t>
  </si>
  <si>
    <t>kulikova@yandex</t>
  </si>
  <si>
    <t>2025-06-10</t>
  </si>
  <si>
    <t xml:space="preserve">Самойлов Денис Олегович</t>
  </si>
  <si>
    <t>22.02.1994</t>
  </si>
  <si>
    <t>samoylov@gmail</t>
  </si>
  <si>
    <t>10.06.2025</t>
  </si>
  <si>
    <t xml:space="preserve">Гущина Анастасия Павловна</t>
  </si>
  <si>
    <t>09.10.1978</t>
  </si>
  <si>
    <t>guschina@mail</t>
  </si>
  <si>
    <t>01.07.2025</t>
  </si>
  <si>
    <t xml:space="preserve">Кочетков Алексей Владиславович</t>
  </si>
  <si>
    <t>15.08.1982</t>
  </si>
  <si>
    <t>kochetkov@yandex</t>
  </si>
  <si>
    <t>2025-07-15</t>
  </si>
  <si>
    <t xml:space="preserve">Ерофеева Татьяна Дмитриевна</t>
  </si>
  <si>
    <t>03.05.1992</t>
  </si>
  <si>
    <t>erofeeva@gmail</t>
  </si>
  <si>
    <t>15.07.2025</t>
  </si>
  <si>
    <t xml:space="preserve">Антонов Максим Юрьевич</t>
  </si>
  <si>
    <t>26.12.1973</t>
  </si>
  <si>
    <t>antonov@mail</t>
  </si>
  <si>
    <t>01.08.2025</t>
  </si>
  <si>
    <t xml:space="preserve">Миронова Лариса Андреевна</t>
  </si>
  <si>
    <t>19.07.1987</t>
  </si>
  <si>
    <t>mironova@yandex</t>
  </si>
  <si>
    <t>2025-08-10</t>
  </si>
  <si>
    <t xml:space="preserve">Климова Оксана Борисовна</t>
  </si>
  <si>
    <t>31.03.1980</t>
  </si>
  <si>
    <t>klimova@gmail</t>
  </si>
  <si>
    <t>10.08.2025</t>
  </si>
  <si>
    <t xml:space="preserve">Сидоренко Артем Николаевич</t>
  </si>
  <si>
    <t>sidorenko@mail</t>
  </si>
  <si>
    <t>01.09.2025</t>
  </si>
  <si>
    <t xml:space="preserve">Горбачев Глеб Ильич</t>
  </si>
  <si>
    <t>28.06.1995</t>
  </si>
  <si>
    <t>gorbachev@yandex</t>
  </si>
  <si>
    <t>2025-09-15</t>
  </si>
  <si>
    <t xml:space="preserve">Михайлова Елена Станиславовна</t>
  </si>
  <si>
    <t>01.09.1984</t>
  </si>
  <si>
    <t>mihailova@gmail</t>
  </si>
  <si>
    <t>15.09.2025</t>
  </si>
  <si>
    <t xml:space="preserve">Сорокин Антон Викторович</t>
  </si>
  <si>
    <t>23.04.1979</t>
  </si>
  <si>
    <t>sorokin@mail</t>
  </si>
  <si>
    <t>01.10.2025</t>
  </si>
  <si>
    <t xml:space="preserve">Филиппов Юрий Игоревич</t>
  </si>
  <si>
    <t>16.12.1986</t>
  </si>
  <si>
    <t>filipov@yandex</t>
  </si>
  <si>
    <t>2025-10-10</t>
  </si>
  <si>
    <t xml:space="preserve">Буркова Надежда Валерьевна</t>
  </si>
  <si>
    <t>08.10.1993</t>
  </si>
  <si>
    <t>burkova@gmail</t>
  </si>
  <si>
    <t>10.10.2025</t>
  </si>
  <si>
    <t xml:space="preserve">Маркова Галина Петровна</t>
  </si>
  <si>
    <t>27.05.1970</t>
  </si>
  <si>
    <t>markova@mail</t>
  </si>
  <si>
    <t>01.11.2025</t>
  </si>
  <si>
    <t xml:space="preserve">Дмитриев Степан Олегович</t>
  </si>
  <si>
    <t>14.03.1988</t>
  </si>
  <si>
    <t>dmitriev@yandex</t>
  </si>
  <si>
    <t>2025-11-15</t>
  </si>
  <si>
    <t xml:space="preserve">Гришин Владислав Денисович</t>
  </si>
  <si>
    <t>20.09.1981</t>
  </si>
  <si>
    <t>grishin@gmail</t>
  </si>
  <si>
    <t>15.11.2025</t>
  </si>
  <si>
    <t xml:space="preserve">Симонова Татьяна Владимировна</t>
  </si>
  <si>
    <t>11.07.1974</t>
  </si>
  <si>
    <t>simonova@mail</t>
  </si>
  <si>
    <t>01.12.2025</t>
  </si>
  <si>
    <t xml:space="preserve">Назаров Антон Иванович</t>
  </si>
  <si>
    <t>05.02.1992</t>
  </si>
  <si>
    <t>nazarov@yandex</t>
  </si>
  <si>
    <t>2025-12-10</t>
  </si>
  <si>
    <t xml:space="preserve">Коновалова Людмила Юрьевна</t>
  </si>
  <si>
    <t>19.11.1985</t>
  </si>
  <si>
    <t>konovalova@gmail</t>
  </si>
  <si>
    <t>10.12.2025</t>
  </si>
  <si>
    <t xml:space="preserve">Панфилов Николай Евгеньевич</t>
  </si>
  <si>
    <t>26.08.1977</t>
  </si>
  <si>
    <t>panfilov@mail</t>
  </si>
  <si>
    <t>01.01.2026</t>
  </si>
  <si>
    <t xml:space="preserve">Щербакова Ирина Алексеевна</t>
  </si>
  <si>
    <t>09.04.1983</t>
  </si>
  <si>
    <t>scherbakova@yandex</t>
  </si>
  <si>
    <t>2026-01-15</t>
  </si>
  <si>
    <t xml:space="preserve">Терентьев Виталий Михайлович</t>
  </si>
  <si>
    <t>30.12.1989</t>
  </si>
  <si>
    <t>terentev@gmail</t>
  </si>
  <si>
    <t>15.01.2026</t>
  </si>
  <si>
    <t xml:space="preserve">Молчанова Ольга Сергеевна</t>
  </si>
  <si>
    <t>16.06.1976</t>
  </si>
  <si>
    <t>molchanova@mail</t>
  </si>
  <si>
    <t>01.02.2026</t>
  </si>
  <si>
    <t xml:space="preserve">Крымов Алексей Игоревич</t>
  </si>
  <si>
    <t>04.10.1984</t>
  </si>
  <si>
    <t>krymov@yandex</t>
  </si>
  <si>
    <t>2026-02-10</t>
  </si>
  <si>
    <t xml:space="preserve">Сидорова Екатерина Андреевна</t>
  </si>
  <si>
    <t>22.01.1994</t>
  </si>
  <si>
    <t>sidorova@gmail</t>
  </si>
  <si>
    <t>10.02.2026</t>
  </si>
  <si>
    <t xml:space="preserve">Павлова Диана Петровна</t>
  </si>
  <si>
    <t>07.07.1978</t>
  </si>
  <si>
    <t>pavlova@mail</t>
  </si>
  <si>
    <t>01.03.2026</t>
  </si>
  <si>
    <t xml:space="preserve">Степанова Антонина Алексеевна</t>
  </si>
  <si>
    <t>29.05.1982</t>
  </si>
  <si>
    <t>stepanova@yandex</t>
  </si>
  <si>
    <t>2026-03-15</t>
  </si>
  <si>
    <t xml:space="preserve">Моргунова Татьяна Ивановна</t>
  </si>
  <si>
    <t>15.12.1987</t>
  </si>
  <si>
    <t>morgunova@gmail</t>
  </si>
  <si>
    <t>15.03.2026</t>
  </si>
  <si>
    <t xml:space="preserve">Евдокимов Сергей Анатольевич</t>
  </si>
  <si>
    <t>18.08.1973</t>
  </si>
  <si>
    <t>evdokimov@mail</t>
  </si>
  <si>
    <t>01.04.2026</t>
  </si>
  <si>
    <t xml:space="preserve">Быкова Елизавета Николаевна</t>
  </si>
  <si>
    <t>03.11.1985</t>
  </si>
  <si>
    <t>bykova@yandex</t>
  </si>
  <si>
    <t>2026-04-10</t>
  </si>
  <si>
    <t xml:space="preserve">Тищенко Владимир Олегович</t>
  </si>
  <si>
    <t>24.03.1991</t>
  </si>
  <si>
    <t>tischenko@gmail</t>
  </si>
  <si>
    <t>10.04.2026</t>
  </si>
  <si>
    <t xml:space="preserve">Соколова Наталия Дмитриевна</t>
  </si>
  <si>
    <t>09.09.1979</t>
  </si>
  <si>
    <t>01.05.2026</t>
  </si>
  <si>
    <t xml:space="preserve">Громов Александр Валерьевич</t>
  </si>
  <si>
    <t>21.07.1986</t>
  </si>
  <si>
    <t>gromov@yandex</t>
  </si>
  <si>
    <t>2026-05-15</t>
  </si>
  <si>
    <t xml:space="preserve">Мищенко Валентина Алексеевна</t>
  </si>
  <si>
    <t>14.12.1993</t>
  </si>
  <si>
    <t>mischenko@gmail</t>
  </si>
  <si>
    <t>15.05.2026</t>
  </si>
  <si>
    <t xml:space="preserve">Лаврентьев Виталий Андреевич</t>
  </si>
  <si>
    <t>26.10.1975</t>
  </si>
  <si>
    <t>lavrentev@mail</t>
  </si>
  <si>
    <t>01.06.2026</t>
  </si>
  <si>
    <t xml:space="preserve">Костина Анастасия Вячеславовна</t>
  </si>
  <si>
    <t>02.04.1988</t>
  </si>
  <si>
    <t>kostina@yandex</t>
  </si>
  <si>
    <t>2026-06-10</t>
  </si>
  <si>
    <t xml:space="preserve">Белов Михаил Сергеевич</t>
  </si>
  <si>
    <t>08.06.1982</t>
  </si>
  <si>
    <t>belov@gmail</t>
  </si>
  <si>
    <t>10.06.2026</t>
  </si>
  <si>
    <t xml:space="preserve">Кириллов Алексей Петрович</t>
  </si>
  <si>
    <t>17.11.1974</t>
  </si>
  <si>
    <t>kirillov@mail</t>
  </si>
  <si>
    <t>01.07.2026</t>
  </si>
  <si>
    <t xml:space="preserve">Исаев Вадим Евгеньевич</t>
  </si>
  <si>
    <t>13.09.1980</t>
  </si>
  <si>
    <t>isaev@yandex</t>
  </si>
  <si>
    <t>2026-07-15</t>
  </si>
  <si>
    <t xml:space="preserve">Гриценко Мария Владимировна</t>
  </si>
  <si>
    <t>28.02.1995</t>
  </si>
  <si>
    <t>gricenko@gmail</t>
  </si>
  <si>
    <t>15.07.2026</t>
  </si>
  <si>
    <t xml:space="preserve">Шевелева Екатерина Петровна</t>
  </si>
  <si>
    <t>20.05.1989</t>
  </si>
  <si>
    <t>sheveleva@mail</t>
  </si>
  <si>
    <t>01.08.2026</t>
  </si>
  <si>
    <t xml:space="preserve">Аничкин Илья Алексеевич</t>
  </si>
  <si>
    <t>16.07.1971</t>
  </si>
  <si>
    <t>anichkin@yandex</t>
  </si>
  <si>
    <t>2026-08-10</t>
  </si>
  <si>
    <t xml:space="preserve">Рябова Ольга Павловна</t>
  </si>
  <si>
    <t>10.12.1983</t>
  </si>
  <si>
    <t>ryabova@gmail</t>
  </si>
  <si>
    <t>10.08.2026</t>
  </si>
  <si>
    <t xml:space="preserve">Гуляев Денис Николаевич</t>
  </si>
  <si>
    <t>21.03.1977</t>
  </si>
  <si>
    <t>gulyaev@mail</t>
  </si>
  <si>
    <t>01.09.2026</t>
  </si>
  <si>
    <t xml:space="preserve">Горюнова Екатерина Андреевна</t>
  </si>
  <si>
    <t>04.09.1990</t>
  </si>
  <si>
    <t>goryunova@yandex</t>
  </si>
  <si>
    <t>2026-09-15</t>
  </si>
  <si>
    <t xml:space="preserve">Константинов Максим Викторович</t>
  </si>
  <si>
    <t>19.06.1984</t>
  </si>
  <si>
    <t>konstantinov@gmail</t>
  </si>
  <si>
    <t>15.09.2026</t>
  </si>
  <si>
    <t xml:space="preserve">Пантелеева Надежда Владимировна</t>
  </si>
  <si>
    <t>23.01.1972</t>
  </si>
  <si>
    <t>panteleeva@mail</t>
  </si>
  <si>
    <t>01.10.2026</t>
  </si>
  <si>
    <t xml:space="preserve">Елисеев Андрей Сергеевич</t>
  </si>
  <si>
    <t>08.08.1986</t>
  </si>
  <si>
    <t>eliseev@yandex</t>
  </si>
  <si>
    <t>2026-10-10</t>
  </si>
  <si>
    <t xml:space="preserve">Щеголева Татьяна Ивановна</t>
  </si>
  <si>
    <t>25.11.1992</t>
  </si>
  <si>
    <t>schegoleva@gmail</t>
  </si>
  <si>
    <t>10.10.2026</t>
  </si>
  <si>
    <t xml:space="preserve">Алехин Виктор Викторович</t>
  </si>
  <si>
    <t>14.04.1978</t>
  </si>
  <si>
    <t>alehin@mail</t>
  </si>
  <si>
    <t>01.11.2026</t>
  </si>
  <si>
    <t xml:space="preserve">Зверев Артем Сергеевич</t>
  </si>
  <si>
    <t>30.09.1981</t>
  </si>
  <si>
    <t>zverev@yandex</t>
  </si>
  <si>
    <t>2026-11-15</t>
  </si>
  <si>
    <t xml:space="preserve">Исакова Мария Михайловна</t>
  </si>
  <si>
    <t>11.07.1987</t>
  </si>
  <si>
    <t>isakova@gmail</t>
  </si>
  <si>
    <t>15.11.2026</t>
  </si>
  <si>
    <t xml:space="preserve">Симаков Григорий Павлович</t>
  </si>
  <si>
    <t>03.12.1994</t>
  </si>
  <si>
    <t>simakov@mail</t>
  </si>
  <si>
    <t>01.12.2026</t>
  </si>
  <si>
    <t xml:space="preserve">Кузькина Ольга Олеговна</t>
  </si>
  <si>
    <t>16.05.1976</t>
  </si>
  <si>
    <t>kuzkina@yandex</t>
  </si>
  <si>
    <t>2026-12-10</t>
  </si>
  <si>
    <t xml:space="preserve">Лукин Дмитрий Николаевич</t>
  </si>
  <si>
    <t>01.10.1982</t>
  </si>
  <si>
    <t>lukin@gmail</t>
  </si>
  <si>
    <t>10.12.2026</t>
  </si>
  <si>
    <t xml:space="preserve">Астафьева Татьяна Борисовна</t>
  </si>
  <si>
    <t>28.02.1975</t>
  </si>
  <si>
    <t>astafieva@mail</t>
  </si>
  <si>
    <t>01.01.2027</t>
  </si>
  <si>
    <t xml:space="preserve">Григорьев Андрей Игоревич</t>
  </si>
  <si>
    <t>14.08.1991</t>
  </si>
  <si>
    <t>grigoriev@yandex</t>
  </si>
  <si>
    <t>2027-01-15</t>
  </si>
  <si>
    <t xml:space="preserve">Чернова Екатерина Алексеевна</t>
  </si>
  <si>
    <t>04.06.1983</t>
  </si>
  <si>
    <t>chernova@gmail</t>
  </si>
  <si>
    <t>15.01.2027</t>
  </si>
  <si>
    <t xml:space="preserve">Прокопенко Олег Вадимович</t>
  </si>
  <si>
    <t>27.10.1970</t>
  </si>
  <si>
    <t>prokopenko@mail</t>
  </si>
  <si>
    <t>01.02.2027</t>
  </si>
  <si>
    <t xml:space="preserve">Сафонова Ирина Александровна</t>
  </si>
  <si>
    <t>19.03.1988</t>
  </si>
  <si>
    <t>safonova@yandex</t>
  </si>
  <si>
    <t>2027-02-10</t>
  </si>
  <si>
    <t xml:space="preserve">Колесов Иван Михайлович</t>
  </si>
  <si>
    <t>05.12.1995</t>
  </si>
  <si>
    <t>kolesov@gmail</t>
  </si>
  <si>
    <t>10.02.2027</t>
  </si>
  <si>
    <t xml:space="preserve">Трофимова Майя Сергеевна</t>
  </si>
  <si>
    <t>22.07.1977</t>
  </si>
  <si>
    <t>trofimova@mail</t>
  </si>
  <si>
    <t>01.03.2027</t>
  </si>
  <si>
    <t xml:space="preserve">Василенко Константин Юрьевич</t>
  </si>
  <si>
    <t>16.05.1986</t>
  </si>
  <si>
    <t>vasilenko@yandex</t>
  </si>
  <si>
    <t>2027-03-15</t>
  </si>
  <si>
    <t xml:space="preserve">Юрченко Наталья Станиславовна</t>
  </si>
  <si>
    <t>08.01.1980</t>
  </si>
  <si>
    <t>yurchenko@gmail</t>
  </si>
  <si>
    <t>15.03.2027</t>
  </si>
  <si>
    <t xml:space="preserve">Прокофьев Евгений Владиславович</t>
  </si>
  <si>
    <t>03.09.1974</t>
  </si>
  <si>
    <t>prokofiev@mail</t>
  </si>
  <si>
    <t>01.04.2027</t>
  </si>
  <si>
    <t xml:space="preserve">Зыкова Анна Алексеевна</t>
  </si>
  <si>
    <t>25.11.1989</t>
  </si>
  <si>
    <t>zykova@yandex</t>
  </si>
  <si>
    <t>2027-04-10</t>
  </si>
  <si>
    <t xml:space="preserve">Шубин Илья Олегович</t>
  </si>
  <si>
    <t>12.04.1985</t>
  </si>
  <si>
    <t>shubin@gmail</t>
  </si>
  <si>
    <t>10.04.2027</t>
  </si>
  <si>
    <t xml:space="preserve">Жукова Елена Сергеевна</t>
  </si>
  <si>
    <t>14.10.1976</t>
  </si>
  <si>
    <t>zhukova@mail</t>
  </si>
  <si>
    <t>01.05.2027</t>
  </si>
  <si>
    <t xml:space="preserve">Баранов Андрей Владимирович</t>
  </si>
  <si>
    <t>06.06.1990</t>
  </si>
  <si>
    <t>baranov@yandex</t>
  </si>
  <si>
    <t>2027-05-15</t>
  </si>
  <si>
    <t xml:space="preserve">Гурова Инна Павловна</t>
  </si>
  <si>
    <t>21.02.1983</t>
  </si>
  <si>
    <t>gurova@gmail</t>
  </si>
  <si>
    <t>15.05.2027</t>
  </si>
  <si>
    <t xml:space="preserve">Лазарев Алексей Олегович</t>
  </si>
  <si>
    <t>17.08.1971</t>
  </si>
  <si>
    <t>lazarev@mail</t>
  </si>
  <si>
    <t>01.06.2027</t>
  </si>
  <si>
    <t xml:space="preserve">Карташова Ольга Валерьевна</t>
  </si>
  <si>
    <t>09.12.1987</t>
  </si>
  <si>
    <t>kartashova@yandex</t>
  </si>
  <si>
    <t>2027-06-10</t>
  </si>
  <si>
    <t xml:space="preserve">Олейник Светлана Николаевна</t>
  </si>
  <si>
    <t>28.05.1994</t>
  </si>
  <si>
    <t>oleynik@gmail</t>
  </si>
  <si>
    <t>10.06.2027</t>
  </si>
  <si>
    <t xml:space="preserve">Нестеров Никита Алексеевич</t>
  </si>
  <si>
    <t>03.07.1979</t>
  </si>
  <si>
    <t>nesterov@mail</t>
  </si>
  <si>
    <t>01.07.2027</t>
  </si>
  <si>
    <t xml:space="preserve">Рожков Денис Вячеславович</t>
  </si>
  <si>
    <t>19.11.1986</t>
  </si>
  <si>
    <t>rozhkov@yandex</t>
  </si>
  <si>
    <t>2027-07-15</t>
  </si>
  <si>
    <t xml:space="preserve">Кравченко Екатерина Игоревна</t>
  </si>
  <si>
    <t>22.04.1981</t>
  </si>
  <si>
    <t>kravchenko@gmail</t>
  </si>
  <si>
    <t>15.07.2027</t>
  </si>
  <si>
    <t xml:space="preserve">Иванченко Олег Сергеевич</t>
  </si>
  <si>
    <t>14.09.1975</t>
  </si>
  <si>
    <t>ivanchenko@mail</t>
  </si>
  <si>
    <t>01.08.2027</t>
  </si>
  <si>
    <t xml:space="preserve">Максимова Алина Павловна</t>
  </si>
  <si>
    <t>07.01.1992</t>
  </si>
  <si>
    <t>maksimova@yandex</t>
  </si>
  <si>
    <t>2027-08-10</t>
  </si>
  <si>
    <t xml:space="preserve">Петрова Кристина Алексеевна</t>
  </si>
  <si>
    <t>30.06.1984</t>
  </si>
  <si>
    <t>petrova@gmail</t>
  </si>
  <si>
    <t>10.08.2027</t>
  </si>
  <si>
    <t xml:space="preserve">Галкина Марина Викторовна</t>
  </si>
  <si>
    <t>13.10.1976</t>
  </si>
  <si>
    <t>galkina@mail</t>
  </si>
  <si>
    <t>01.09.2027</t>
  </si>
  <si>
    <t xml:space="preserve">Чистяков Илья Андреевич</t>
  </si>
  <si>
    <t>02.03.1993</t>
  </si>
  <si>
    <t>chistyakov@yandex</t>
  </si>
  <si>
    <t>2027-09-15</t>
  </si>
  <si>
    <t xml:space="preserve">Чернышова Лариса Николаевна</t>
  </si>
  <si>
    <t>18.08.1988</t>
  </si>
  <si>
    <t>chernyshova@gmail</t>
  </si>
  <si>
    <t>15.09.2027</t>
  </si>
  <si>
    <t xml:space="preserve">Шишков Сергей Евгеньевич</t>
  </si>
  <si>
    <t>26.12.1978</t>
  </si>
  <si>
    <t>shishkov@mail</t>
  </si>
  <si>
    <t>01.10.2027</t>
  </si>
  <si>
    <t xml:space="preserve">Субботина Елена Валерьевна</t>
  </si>
  <si>
    <t>04.05.1982</t>
  </si>
  <si>
    <t>subbotina@yandex</t>
  </si>
  <si>
    <t>2027-10-10</t>
  </si>
  <si>
    <t xml:space="preserve">Головина Татьяна Михайловна</t>
  </si>
  <si>
    <t>15.07.1974</t>
  </si>
  <si>
    <t>golovina@gmail</t>
  </si>
  <si>
    <t>10.10.2027</t>
  </si>
  <si>
    <t xml:space="preserve">Красильников Денис Павлович</t>
  </si>
  <si>
    <t>29.10.1989</t>
  </si>
  <si>
    <t>krasilnikov@mail</t>
  </si>
  <si>
    <t>01.11.2027</t>
  </si>
  <si>
    <t xml:space="preserve">Шульженко Инна Дмитриевна</t>
  </si>
  <si>
    <t>20.09.1991</t>
  </si>
  <si>
    <t>shulzhenko@yandex</t>
  </si>
  <si>
    <t>2027-11-15</t>
  </si>
  <si>
    <t xml:space="preserve">Боброва Екатерина Станиславовна</t>
  </si>
  <si>
    <t>11.02.1977</t>
  </si>
  <si>
    <t>bobrova@gmail</t>
  </si>
  <si>
    <t>15.11.2027</t>
  </si>
  <si>
    <t xml:space="preserve">Носов Алексей Игоревич</t>
  </si>
  <si>
    <t>23.11.1983</t>
  </si>
  <si>
    <t>nosov@mail</t>
  </si>
  <si>
    <t>01.12.2027</t>
  </si>
  <si>
    <t xml:space="preserve">Кузьмина Анна Борисовна</t>
  </si>
  <si>
    <t>06.08.1990</t>
  </si>
  <si>
    <t>kuzmina@yandex</t>
  </si>
  <si>
    <t>2027-12-10</t>
  </si>
  <si>
    <t xml:space="preserve">Руденко Виктор Сергеевич</t>
  </si>
  <si>
    <t>27.12.1972</t>
  </si>
  <si>
    <t>rudenko@gmail</t>
  </si>
  <si>
    <t>10.12.2027</t>
  </si>
  <si>
    <t xml:space="preserve">Степанова Алла Владимировна</t>
  </si>
  <si>
    <t>16.04.1986</t>
  </si>
  <si>
    <t>stepanova@mail</t>
  </si>
  <si>
    <t>01.01.2028</t>
  </si>
  <si>
    <t xml:space="preserve">Мазур Илья Романович</t>
  </si>
  <si>
    <t>08.09.1994</t>
  </si>
  <si>
    <t>mazur@yandex</t>
  </si>
  <si>
    <t>2028-01-15</t>
  </si>
  <si>
    <t xml:space="preserve">Касьянова Оксана Юрьевна</t>
  </si>
  <si>
    <t>25.07.1979</t>
  </si>
  <si>
    <t>kasyanova@gmail</t>
  </si>
  <si>
    <t>15.01.2028</t>
  </si>
  <si>
    <t xml:space="preserve">Масленников Денис Олегович</t>
  </si>
  <si>
    <t>maslennikov@mail</t>
  </si>
  <si>
    <t>01.02.2028</t>
  </si>
  <si>
    <t xml:space="preserve">Чумак Екатерина Алексеевна</t>
  </si>
  <si>
    <t>19.06.1981</t>
  </si>
  <si>
    <t>chumak@yandex</t>
  </si>
  <si>
    <t>2028-02-10</t>
  </si>
  <si>
    <t xml:space="preserve">Спицин Никита Павлович</t>
  </si>
  <si>
    <t>01.10.1975</t>
  </si>
  <si>
    <t>spicin@gmail</t>
  </si>
  <si>
    <t>10.02.2028</t>
  </si>
  <si>
    <t xml:space="preserve">Ткаченко Ольга Викторовна</t>
  </si>
  <si>
    <t>27.12.1984</t>
  </si>
  <si>
    <t>tkachenko@mail</t>
  </si>
  <si>
    <t>01.03.2028</t>
  </si>
  <si>
    <t xml:space="preserve">Загорский Анатолий Сергеевич</t>
  </si>
  <si>
    <t>15.08.1992</t>
  </si>
  <si>
    <t>zagorsky@yandex</t>
  </si>
  <si>
    <t>2028-03-15</t>
  </si>
  <si>
    <t xml:space="preserve">Сидорова Ольга Ивановна</t>
  </si>
  <si>
    <t>04.11.1973</t>
  </si>
  <si>
    <t>15.03.2028</t>
  </si>
  <si>
    <t xml:space="preserve">Попова Надежда Петровна</t>
  </si>
  <si>
    <t>21.03.1986</t>
  </si>
  <si>
    <t>popova@mail</t>
  </si>
  <si>
    <t>01.04.2028</t>
  </si>
  <si>
    <t xml:space="preserve">Чехов Илья Александрович</t>
  </si>
  <si>
    <t>08.06.1991</t>
  </si>
  <si>
    <t>chehov@yandex</t>
  </si>
  <si>
    <t>2028-04-10</t>
  </si>
  <si>
    <t xml:space="preserve">Курочкина Мария Андреевна</t>
  </si>
  <si>
    <t>16.12.1977</t>
  </si>
  <si>
    <t>kurochkina@gmail</t>
  </si>
  <si>
    <t>10.04.2028</t>
  </si>
  <si>
    <t xml:space="preserve">Печеневский Артем Валентинович</t>
  </si>
  <si>
    <t>02.09.1983</t>
  </si>
  <si>
    <t>pechenevsky@mail</t>
  </si>
  <si>
    <t>01.05.2028</t>
  </si>
  <si>
    <t xml:space="preserve">Смагина Елена Юрьевна</t>
  </si>
  <si>
    <t>23.05.1993</t>
  </si>
  <si>
    <t>smagina@yandex</t>
  </si>
  <si>
    <t>2028-05-15</t>
  </si>
  <si>
    <t xml:space="preserve">Гущин Илья Николаевич</t>
  </si>
  <si>
    <t>11.07.1971</t>
  </si>
  <si>
    <t>guschin@gmail</t>
  </si>
  <si>
    <t>15.05.2028</t>
  </si>
  <si>
    <t xml:space="preserve">Минаев Владислав Владимирович</t>
  </si>
  <si>
    <t>29.01.1986</t>
  </si>
  <si>
    <t>minaev@mail</t>
  </si>
  <si>
    <t>01.06.2028</t>
  </si>
  <si>
    <t xml:space="preserve">Жилинская Ольга Анатольевна</t>
  </si>
  <si>
    <t>17.10.1989</t>
  </si>
  <si>
    <t>zhilinskaya@yandex</t>
  </si>
  <si>
    <t>2028-06-10</t>
  </si>
  <si>
    <t xml:space="preserve">Булычев Роман Викторович</t>
  </si>
  <si>
    <t>14.04.1976</t>
  </si>
  <si>
    <t>bulychev@gmail</t>
  </si>
  <si>
    <t>10.06.2028</t>
  </si>
  <si>
    <t xml:space="preserve">Дубова Марина Игоревна</t>
  </si>
  <si>
    <t>08.12.1982</t>
  </si>
  <si>
    <t>dubova@mail</t>
  </si>
  <si>
    <t>01.07.2028</t>
  </si>
  <si>
    <t xml:space="preserve">Анисимов Андрей Олегович</t>
  </si>
  <si>
    <t>22.08.1994</t>
  </si>
  <si>
    <t>anisimov@yandex</t>
  </si>
  <si>
    <t>2028-07-15</t>
  </si>
  <si>
    <t xml:space="preserve">Савицкая Оксана Николаевна</t>
  </si>
  <si>
    <t>07.06.1980</t>
  </si>
  <si>
    <t>savitskaya@gmail</t>
  </si>
  <si>
    <t>15.07.2028</t>
  </si>
  <si>
    <t xml:space="preserve">Ефанов Дмитрий Алексеевич</t>
  </si>
  <si>
    <t>19.11.1974</t>
  </si>
  <si>
    <t>efanov@mail</t>
  </si>
  <si>
    <t>01.08.2028</t>
  </si>
  <si>
    <t xml:space="preserve">Яблочкова Татьяна Дмитриевна</t>
  </si>
  <si>
    <t>25.02.1987</t>
  </si>
  <si>
    <t>yablochkova@yandex</t>
  </si>
  <si>
    <t>2028-08-10</t>
  </si>
  <si>
    <t xml:space="preserve">Блинков Сергей Петрович</t>
  </si>
  <si>
    <t>blinkov@gmail</t>
  </si>
  <si>
    <t>10.08.2028</t>
  </si>
  <si>
    <t xml:space="preserve">Зубова Екатерина Сергеевна</t>
  </si>
  <si>
    <t>12.07.1978</t>
  </si>
  <si>
    <t>zubova@mail</t>
  </si>
  <si>
    <t>01.09.2028</t>
  </si>
  <si>
    <t xml:space="preserve">Латкин Андрей Владимирович</t>
  </si>
  <si>
    <t>30.01.1985</t>
  </si>
  <si>
    <t>latkin@yandex</t>
  </si>
  <si>
    <t>2028-09-15</t>
  </si>
  <si>
    <t xml:space="preserve">Копылова Ольга Павловна</t>
  </si>
  <si>
    <t>16.10.1992</t>
  </si>
  <si>
    <t>kopylova@gmail</t>
  </si>
  <si>
    <t>15.09.2028</t>
  </si>
  <si>
    <t xml:space="preserve">Селиверстов Игорь Евгеньевич</t>
  </si>
  <si>
    <t>05.12.1970</t>
  </si>
  <si>
    <t>seliverstov@mail</t>
  </si>
  <si>
    <t>01.10.2028</t>
  </si>
  <si>
    <t xml:space="preserve">Гаврикова Мария Николаевна</t>
  </si>
  <si>
    <t>24.04.1983</t>
  </si>
  <si>
    <t>gavrikova@yandex</t>
  </si>
  <si>
    <t>2028-10-10</t>
  </si>
  <si>
    <t xml:space="preserve">Таратухин Денис Павлович</t>
  </si>
  <si>
    <t>taratuhin@gmail</t>
  </si>
  <si>
    <t>10.10.2028</t>
  </si>
  <si>
    <t xml:space="preserve">Киселева Ирина Степановна</t>
  </si>
  <si>
    <t>01.06.1976</t>
  </si>
  <si>
    <t>kiseleva@mail</t>
  </si>
  <si>
    <t>01.11.2028</t>
  </si>
  <si>
    <t xml:space="preserve">Хохлов Алексей Иванович</t>
  </si>
  <si>
    <t>hohlov@yandex</t>
  </si>
  <si>
    <t>2028-11-15</t>
  </si>
  <si>
    <t xml:space="preserve">Мельник Елена Владимировна</t>
  </si>
  <si>
    <t>09.09.1993</t>
  </si>
  <si>
    <t>melnik@gmail</t>
  </si>
  <si>
    <t>15.11.2028</t>
  </si>
  <si>
    <t xml:space="preserve">Кашкаров Илья Алексеевич</t>
  </si>
  <si>
    <t>22.12.1979</t>
  </si>
  <si>
    <t>kashkarov@mail</t>
  </si>
  <si>
    <t>01.12.2028</t>
  </si>
  <si>
    <t xml:space="preserve">Любимова Анна Петровна</t>
  </si>
  <si>
    <t>26.03.1986</t>
  </si>
  <si>
    <t>lyubimova@yandex</t>
  </si>
  <si>
    <t>2028-12-10</t>
  </si>
  <si>
    <t xml:space="preserve">Грачев Александр Сергеевич</t>
  </si>
  <si>
    <t>15.07.1990</t>
  </si>
  <si>
    <t>grachev@gmail</t>
  </si>
  <si>
    <t>10.12.2028</t>
  </si>
  <si>
    <t xml:space="preserve">Корнилов Владимир Олегович</t>
  </si>
  <si>
    <t>07.09.1975</t>
  </si>
  <si>
    <t>kornilov@mail</t>
  </si>
  <si>
    <t>01.01.2029</t>
  </si>
  <si>
    <t xml:space="preserve">Филатова Наталья Игоревна</t>
  </si>
  <si>
    <t>18.04.1982</t>
  </si>
  <si>
    <t>filatova@yandex</t>
  </si>
  <si>
    <t>2029-01-15</t>
  </si>
  <si>
    <t xml:space="preserve">Бердникова Мария Владимировна</t>
  </si>
  <si>
    <t>31.10.1991</t>
  </si>
  <si>
    <t>berdnikova@gmail</t>
  </si>
  <si>
    <t>15.01.2029</t>
  </si>
  <si>
    <t xml:space="preserve">Мельниченко Андрей Павлович</t>
  </si>
  <si>
    <t>13.02.1977</t>
  </si>
  <si>
    <t>melnichenko@mail</t>
  </si>
  <si>
    <t>01.02.2029</t>
  </si>
  <si>
    <t xml:space="preserve">Воронина Ольга Владиславовна</t>
  </si>
  <si>
    <t>22.06.1985</t>
  </si>
  <si>
    <t>voronina@yandex</t>
  </si>
  <si>
    <t>2029-02-10</t>
  </si>
  <si>
    <t xml:space="preserve">Зеленов Кирилл Валерьевич</t>
  </si>
  <si>
    <t>08.12.1994</t>
  </si>
  <si>
    <t>zelenov@gmail</t>
  </si>
  <si>
    <t>10.02.2029</t>
  </si>
  <si>
    <t xml:space="preserve">Стручкова Екатерина Алексеевна</t>
  </si>
  <si>
    <t>17.08.1973</t>
  </si>
  <si>
    <t>struchkova@mail</t>
  </si>
  <si>
    <t>01.03.2029</t>
  </si>
  <si>
    <t xml:space="preserve">Шаламов Олег Игоревич</t>
  </si>
  <si>
    <t>shalamov@yandex</t>
  </si>
  <si>
    <t>2029-03-15</t>
  </si>
  <si>
    <t xml:space="preserve">Алексеев Дмитрий Петрович</t>
  </si>
  <si>
    <t>11.11.1981</t>
  </si>
  <si>
    <t>alekseev@gmail</t>
  </si>
  <si>
    <t>15.03.2029</t>
  </si>
  <si>
    <t xml:space="preserve">Сорокина Татьяна Борисовна</t>
  </si>
  <si>
    <t>05.07.1976</t>
  </si>
  <si>
    <t>sorokina@mail</t>
  </si>
  <si>
    <t>01.04.2029</t>
  </si>
  <si>
    <t xml:space="preserve">Пономарёв Сергей Александрович</t>
  </si>
  <si>
    <t>24.09.1992</t>
  </si>
  <si>
    <t>ponomarev@yandex</t>
  </si>
  <si>
    <t>2029-04-10</t>
  </si>
  <si>
    <t xml:space="preserve">Репин Илья Васильевич</t>
  </si>
  <si>
    <t>16.05.1984</t>
  </si>
  <si>
    <t>repin@gmail</t>
  </si>
  <si>
    <t>10.04.2029</t>
  </si>
  <si>
    <t xml:space="preserve">Кудрявцева Оксана Юрьевна</t>
  </si>
  <si>
    <t>30.10.1979</t>
  </si>
  <si>
    <t>kudryavtseva@mail</t>
  </si>
  <si>
    <t>01.05.2029</t>
  </si>
  <si>
    <t xml:space="preserve">Лыков Алексей Павлович</t>
  </si>
  <si>
    <t>14.01.1987</t>
  </si>
  <si>
    <t>lykov@yandex</t>
  </si>
  <si>
    <t>2029-05-15</t>
  </si>
  <si>
    <t xml:space="preserve">Туманова Наталья Владимировна</t>
  </si>
  <si>
    <t>02.04.1993</t>
  </si>
  <si>
    <t>tumanova@gmail</t>
  </si>
  <si>
    <t>15.05.2029</t>
  </si>
  <si>
    <t xml:space="preserve">Сапожников Владислав Евгеньевич</t>
  </si>
  <si>
    <t>21.07.1971</t>
  </si>
  <si>
    <t>sapozhnikov@mail</t>
  </si>
  <si>
    <t>01.06.2029</t>
  </si>
  <si>
    <t xml:space="preserve">Куницына Елена Алексеевна</t>
  </si>
  <si>
    <t>13.12.1982</t>
  </si>
  <si>
    <t>kunitsyna@yandex</t>
  </si>
  <si>
    <t>2029-06-10</t>
  </si>
  <si>
    <t xml:space="preserve">Кондратьев Михаил Олегович</t>
  </si>
  <si>
    <t>27.08.1990</t>
  </si>
  <si>
    <t>kondratiev@gmail</t>
  </si>
  <si>
    <t>10.06.2029</t>
  </si>
  <si>
    <t xml:space="preserve">Горшкова Инна Сергеевна</t>
  </si>
  <si>
    <t>06.06.1978</t>
  </si>
  <si>
    <t>gorshkova@mail</t>
  </si>
  <si>
    <t>01.07.2029</t>
  </si>
  <si>
    <t xml:space="preserve">Якушев Андрей Николаевич</t>
  </si>
  <si>
    <t>18.11.1985</t>
  </si>
  <si>
    <t>yakushev@yandex</t>
  </si>
  <si>
    <t>2029-07-15</t>
  </si>
  <si>
    <t xml:space="preserve">Ермилова Ольга Викторовна</t>
  </si>
  <si>
    <t>29.09.1980</t>
  </si>
  <si>
    <t>ermilova@gmail</t>
  </si>
  <si>
    <t>15.07.2029</t>
  </si>
  <si>
    <t xml:space="preserve">Шестопалов Евгений Сергеевич</t>
  </si>
  <si>
    <t>12.04.1974</t>
  </si>
  <si>
    <t>shestopalov@mail</t>
  </si>
  <si>
    <t>01.08.2029</t>
  </si>
  <si>
    <t xml:space="preserve">Ванюшина Мария Игоревна</t>
  </si>
  <si>
    <t>05.02.1989</t>
  </si>
  <si>
    <t>vanyushina@yandex</t>
  </si>
  <si>
    <t>2029-08-10</t>
  </si>
  <si>
    <t xml:space="preserve">Краснов Денис Александрович</t>
  </si>
  <si>
    <t>26.07.1994</t>
  </si>
  <si>
    <t>krasnov@gmail</t>
  </si>
  <si>
    <t>10.08.2029</t>
  </si>
  <si>
    <t xml:space="preserve">Мухина Татьяна Павловна</t>
  </si>
  <si>
    <t>15.10.1975</t>
  </si>
  <si>
    <t>muhina@mail</t>
  </si>
  <si>
    <t>01.09.2029</t>
  </si>
  <si>
    <t xml:space="preserve">Вакуленко Андрей Олегович</t>
  </si>
  <si>
    <t>19.12.1983</t>
  </si>
  <si>
    <t>vakulenko@yandex</t>
  </si>
  <si>
    <t>2029-09-15</t>
  </si>
  <si>
    <t xml:space="preserve">Терехова Светлана Николаевна</t>
  </si>
  <si>
    <t>03.06.1991</t>
  </si>
  <si>
    <t>terehova@gmail</t>
  </si>
  <si>
    <t>15.09.2029</t>
  </si>
  <si>
    <t xml:space="preserve">Бобков Илья Алексеевич</t>
  </si>
  <si>
    <t>22.08.1972</t>
  </si>
  <si>
    <t>bobkov@mail</t>
  </si>
  <si>
    <t>01.10.2029</t>
  </si>
  <si>
    <t xml:space="preserve">Ильина Анна Владимировна</t>
  </si>
  <si>
    <t>10.11.1986</t>
  </si>
  <si>
    <t>ilina@yandex</t>
  </si>
  <si>
    <t>2029-10-10</t>
  </si>
  <si>
    <t xml:space="preserve">Силин Олег Валериевич</t>
  </si>
  <si>
    <t>28.03.1982</t>
  </si>
  <si>
    <t>silin@gmail</t>
  </si>
  <si>
    <t>10.10.2029</t>
  </si>
  <si>
    <t xml:space="preserve">Лобова Екатерина Петровна</t>
  </si>
  <si>
    <t>14.07.1977</t>
  </si>
  <si>
    <t>lobova@mail</t>
  </si>
  <si>
    <t>01.11.2029</t>
  </si>
  <si>
    <t xml:space="preserve">Дубровин Вячеслав Николаевич</t>
  </si>
  <si>
    <t>05.01.1984</t>
  </si>
  <si>
    <t>dubrovin@yandex</t>
  </si>
  <si>
    <t>2029-11-15</t>
  </si>
  <si>
    <t xml:space="preserve">Паршина Ольга Сергеевна</t>
  </si>
  <si>
    <t>17.09.1989</t>
  </si>
  <si>
    <t>parshina@gmail</t>
  </si>
  <si>
    <t>15.11.2029</t>
  </si>
  <si>
    <t xml:space="preserve">Липатова Наталья Игоревна</t>
  </si>
  <si>
    <t>30.12.1970</t>
  </si>
  <si>
    <t>lipatova@mail</t>
  </si>
  <si>
    <t>01.12.2029</t>
  </si>
  <si>
    <t xml:space="preserve">Губанов Андрей Викторович</t>
  </si>
  <si>
    <t>08.06.1987</t>
  </si>
  <si>
    <t>gubanov@yandex</t>
  </si>
  <si>
    <t>2029-12-10</t>
  </si>
  <si>
    <t xml:space="preserve">Богомолова Мария Александровна</t>
  </si>
  <si>
    <t>21.10.1976</t>
  </si>
  <si>
    <t>bogomolova@gmail</t>
  </si>
  <si>
    <t>10.12.2029</t>
  </si>
  <si>
    <t xml:space="preserve">Харитонов Алексей Павлович</t>
  </si>
  <si>
    <t>04.04.1992</t>
  </si>
  <si>
    <t>haritonov@mail</t>
  </si>
  <si>
    <t>01.01.2030</t>
  </si>
  <si>
    <t xml:space="preserve">Ким Олег Иванович</t>
  </si>
  <si>
    <t>27.12.1981</t>
  </si>
  <si>
    <t>kim@yandex</t>
  </si>
  <si>
    <t>2030-01-15</t>
  </si>
  <si>
    <t xml:space="preserve">Лаврова Елена Викторовна</t>
  </si>
  <si>
    <t>15.08.1975</t>
  </si>
  <si>
    <t>lavrova@gmail</t>
  </si>
  <si>
    <t>15.01.2030</t>
  </si>
  <si>
    <t xml:space="preserve">Завьялов Владимир Сергеевич</t>
  </si>
  <si>
    <t>13.03.1983</t>
  </si>
  <si>
    <t>zavyalov@mail</t>
  </si>
  <si>
    <t>01.02.2030</t>
  </si>
  <si>
    <t xml:space="preserve">Костин Денис Алексеевич</t>
  </si>
  <si>
    <t>06.11.1990</t>
  </si>
  <si>
    <t>kostin@yandex</t>
  </si>
  <si>
    <t>2030-02-10</t>
  </si>
  <si>
    <t xml:space="preserve">Арсеньева Ирина Павловна</t>
  </si>
  <si>
    <t>19.09.1977</t>
  </si>
  <si>
    <t>arsenieva@gmail</t>
  </si>
  <si>
    <t>10.02.2030</t>
  </si>
  <si>
    <t xml:space="preserve">Крутиков Александр Игоревич</t>
  </si>
  <si>
    <t>22.05.1984</t>
  </si>
  <si>
    <t>krutikov@mail</t>
  </si>
  <si>
    <t>01.03.2030</t>
  </si>
  <si>
    <t xml:space="preserve">Озерова Светлана Владимировна</t>
  </si>
  <si>
    <t>14.01.1991</t>
  </si>
  <si>
    <t>ozerova@yandex</t>
  </si>
  <si>
    <t>2030-03-15</t>
  </si>
  <si>
    <t xml:space="preserve">Литвинова Ольга Николаевна</t>
  </si>
  <si>
    <t>02.07.1972</t>
  </si>
  <si>
    <t>litvinova@gmail</t>
  </si>
  <si>
    <t>15.03.2030</t>
  </si>
  <si>
    <t xml:space="preserve">Аксенов Илья Евгеньевич</t>
  </si>
  <si>
    <t>28.12.1988</t>
  </si>
  <si>
    <t>aksenov@mail</t>
  </si>
  <si>
    <t>01.04.2030</t>
  </si>
  <si>
    <t xml:space="preserve">Сычев Андрей Александрович</t>
  </si>
  <si>
    <t>17.04.1979</t>
  </si>
  <si>
    <t>sychev@yandex</t>
  </si>
  <si>
    <t>2030-04-10</t>
  </si>
  <si>
    <t xml:space="preserve">Пименова Татьяна Сергеевна</t>
  </si>
  <si>
    <t>05.08.1986</t>
  </si>
  <si>
    <t>pimenova@gmail</t>
  </si>
  <si>
    <t>10.04.2030</t>
  </si>
  <si>
    <t xml:space="preserve">Блохин Денис Викторович</t>
  </si>
  <si>
    <t>10.10.1974</t>
  </si>
  <si>
    <t>blohin@mail</t>
  </si>
  <si>
    <t>01.05.2030</t>
  </si>
  <si>
    <t xml:space="preserve">Майорова Мария Павловна</t>
  </si>
  <si>
    <t>23.06.1982</t>
  </si>
  <si>
    <t>mayorova@yandex</t>
  </si>
  <si>
    <t>2030-05-15</t>
  </si>
  <si>
    <t xml:space="preserve">Кравчук Алексей Олегович</t>
  </si>
  <si>
    <t>02.02.1990</t>
  </si>
  <si>
    <t>kravchuk@gmail</t>
  </si>
  <si>
    <t>15.05.2030</t>
  </si>
  <si>
    <t xml:space="preserve">Черкасова Наталья Игоревна</t>
  </si>
  <si>
    <t>19.11.1976</t>
  </si>
  <si>
    <t>cherkasova@mail</t>
  </si>
  <si>
    <t>01.06.2030</t>
  </si>
  <si>
    <t xml:space="preserve">Шаповалов Андрей Николаевич</t>
  </si>
  <si>
    <t>16.09.1985</t>
  </si>
  <si>
    <t>shapovalov@yandex</t>
  </si>
  <si>
    <t>2030-06-10</t>
  </si>
  <si>
    <t xml:space="preserve">Козырева Елена Станиславовна</t>
  </si>
  <si>
    <t>31.05.1981</t>
  </si>
  <si>
    <t>kozyreva@gmail</t>
  </si>
  <si>
    <t>10.06.2030</t>
  </si>
  <si>
    <t xml:space="preserve">Сысоев Игорь Викторович</t>
  </si>
  <si>
    <t>12.12.1973</t>
  </si>
  <si>
    <t>sysoev@mail</t>
  </si>
  <si>
    <t>01.07.2030</t>
  </si>
  <si>
    <t xml:space="preserve">Орешкин Олег Сергеевич</t>
  </si>
  <si>
    <t>07.03.1988</t>
  </si>
  <si>
    <t>oreshkin@yandex</t>
  </si>
  <si>
    <t>2030-07-15</t>
  </si>
  <si>
    <t xml:space="preserve">Котлярова Ольга Валерьевна</t>
  </si>
  <si>
    <t>24.08.1992</t>
  </si>
  <si>
    <t>kotlyarova@gmail</t>
  </si>
  <si>
    <t>15.07.2030</t>
  </si>
  <si>
    <t xml:space="preserve">Неклюдов Александр Петрович</t>
  </si>
  <si>
    <t>neklyudov@mail</t>
  </si>
  <si>
    <t>01.08.2030</t>
  </si>
  <si>
    <t xml:space="preserve">Савченко Екатерина Алексеевна</t>
  </si>
  <si>
    <t>27.04.1987</t>
  </si>
  <si>
    <t>savchenko@yandex</t>
  </si>
  <si>
    <t>2030-08-10</t>
  </si>
  <si>
    <t xml:space="preserve">Колесник Илья Дмитриевич</t>
  </si>
  <si>
    <t>kolesnik@gmail</t>
  </si>
  <si>
    <t>10.08.2030</t>
  </si>
  <si>
    <t xml:space="preserve">Гладкова Мария Владимировна</t>
  </si>
  <si>
    <t>22.06.1978</t>
  </si>
  <si>
    <t>gladkova@mail</t>
  </si>
  <si>
    <t>01.09.2030</t>
  </si>
  <si>
    <t xml:space="preserve">Снигирев Сергей Олегович</t>
  </si>
  <si>
    <t>14.07.1983</t>
  </si>
  <si>
    <t>snigirev@yandex</t>
  </si>
  <si>
    <t>2030-09-15</t>
  </si>
  <si>
    <t xml:space="preserve">Яшина Татьяна Николаевна</t>
  </si>
  <si>
    <t>19.02.1991</t>
  </si>
  <si>
    <t>yashina@gmail</t>
  </si>
  <si>
    <t>15.09.2030</t>
  </si>
  <si>
    <t xml:space="preserve">Суворов Алексей Александрович</t>
  </si>
  <si>
    <t>06.11.1976</t>
  </si>
  <si>
    <t>suvorov@mail</t>
  </si>
  <si>
    <t>01.10.2030</t>
  </si>
  <si>
    <t xml:space="preserve">Бабенко Инна Олеговна</t>
  </si>
  <si>
    <t>28.09.1984</t>
  </si>
  <si>
    <t>babenko@yandex</t>
  </si>
  <si>
    <t>2030-10-10</t>
  </si>
  <si>
    <t xml:space="preserve">Кислов Денис Павлович</t>
  </si>
  <si>
    <t>17.12.1970</t>
  </si>
  <si>
    <t>kislov@gmail</t>
  </si>
  <si>
    <t>10.10.2030</t>
  </si>
  <si>
    <t xml:space="preserve">Серикова Ольга Михайловна</t>
  </si>
  <si>
    <t>05.05.1988</t>
  </si>
  <si>
    <t>serikova@mail</t>
  </si>
  <si>
    <t>01.11.2030</t>
  </si>
  <si>
    <t xml:space="preserve">Мокрушин Илья Валентинович</t>
  </si>
  <si>
    <t>23.08.1993</t>
  </si>
  <si>
    <t>mokrushin@yandex</t>
  </si>
  <si>
    <t>2030-11-15</t>
  </si>
  <si>
    <t xml:space="preserve">Гуреева Елена Александровна</t>
  </si>
  <si>
    <t>13.03.1977</t>
  </si>
  <si>
    <t>gureeva@gmail</t>
  </si>
  <si>
    <t>15.11.2030</t>
  </si>
  <si>
    <t xml:space="preserve">Синицын Виталий Олегович</t>
  </si>
  <si>
    <t>20.10.1981</t>
  </si>
  <si>
    <t>sinitsin@mail</t>
  </si>
  <si>
    <t>01.12.2030</t>
  </si>
  <si>
    <t xml:space="preserve">Чернова Анна Игоревна</t>
  </si>
  <si>
    <t>18.01.1990</t>
  </si>
  <si>
    <t>chernova@yandex</t>
  </si>
  <si>
    <t>2030-12-10</t>
  </si>
  <si>
    <t xml:space="preserve">Ширяев Андрей Викторович</t>
  </si>
  <si>
    <t>07.06.1974</t>
  </si>
  <si>
    <t>shiryaev@gmail</t>
  </si>
  <si>
    <t>10.12.2030</t>
  </si>
  <si>
    <t xml:space="preserve">Казанцев Дмитрий Сергеевич</t>
  </si>
  <si>
    <t>26.09.1986</t>
  </si>
  <si>
    <t>kazantsev@mail</t>
  </si>
  <si>
    <t>01.01.2031</t>
  </si>
  <si>
    <t xml:space="preserve">Медведев Артем Павлович</t>
  </si>
  <si>
    <t>14.12.1992</t>
  </si>
  <si>
    <t>medvedev@yandex</t>
  </si>
  <si>
    <t>2031-01-15</t>
  </si>
  <si>
    <t xml:space="preserve">Широкова Светлана Николаевна</t>
  </si>
  <si>
    <t>09.04.1978</t>
  </si>
  <si>
    <t>shirokova@gmail</t>
  </si>
  <si>
    <t>15.01.2031</t>
  </si>
  <si>
    <t xml:space="preserve">Анищенко Владимир Игоревич</t>
  </si>
  <si>
    <t>23.08.1983</t>
  </si>
  <si>
    <t>anischenko@mail</t>
  </si>
  <si>
    <t>01.02.2031</t>
  </si>
  <si>
    <t xml:space="preserve">Стукалова Ольга Сергеевна</t>
  </si>
  <si>
    <t>12.11.1989</t>
  </si>
  <si>
    <t>stukalova@yandex</t>
  </si>
  <si>
    <t>2031-02-10</t>
  </si>
  <si>
    <t xml:space="preserve">Панков Андрей Владимирович</t>
  </si>
  <si>
    <t>05.02.1971</t>
  </si>
  <si>
    <t>pankov@gmail</t>
  </si>
  <si>
    <t>10.02.2031</t>
  </si>
  <si>
    <t xml:space="preserve">Коршунова Елена Петровна</t>
  </si>
  <si>
    <t>19.07.1985</t>
  </si>
  <si>
    <t>korshunova@mail</t>
  </si>
  <si>
    <t>01.03.2031</t>
  </si>
  <si>
    <t xml:space="preserve">Гордеев Сергей Александрович</t>
  </si>
  <si>
    <t>28.10.1994</t>
  </si>
  <si>
    <t>gordeev@yandex</t>
  </si>
  <si>
    <t>2031-03-15</t>
  </si>
  <si>
    <t xml:space="preserve">Новикова Татьяна Владимировна</t>
  </si>
  <si>
    <t>15.03.2031</t>
  </si>
  <si>
    <t xml:space="preserve">Меркулова Ирина Алексеевна</t>
  </si>
  <si>
    <t>03.03.1982</t>
  </si>
  <si>
    <t>merkulova@mail</t>
  </si>
  <si>
    <t>01.04.2031</t>
  </si>
  <si>
    <t xml:space="preserve">Ланской Илья Евгеньевич</t>
  </si>
  <si>
    <t>24.12.1990</t>
  </si>
  <si>
    <t>lanskoy@yandex</t>
  </si>
  <si>
    <t>2031-04-10</t>
  </si>
  <si>
    <t xml:space="preserve">Карельский Денис Олегович</t>
  </si>
  <si>
    <t>11.08.1973</t>
  </si>
  <si>
    <t>karelsky@gmail</t>
  </si>
  <si>
    <t>10.04.2031</t>
  </si>
  <si>
    <t xml:space="preserve">Шилова Оксана Викторовна</t>
  </si>
  <si>
    <t>29.05.1984</t>
  </si>
  <si>
    <t>shilova@mail</t>
  </si>
  <si>
    <t>01.05.2031</t>
  </si>
  <si>
    <t xml:space="preserve">Козырев Никита Павлович</t>
  </si>
  <si>
    <t>22.09.1991</t>
  </si>
  <si>
    <t>kozyrev@yandex</t>
  </si>
  <si>
    <t>2031-05-15</t>
  </si>
  <si>
    <t xml:space="preserve">Купреева Мария Александровна</t>
  </si>
  <si>
    <t>06.01.1979</t>
  </si>
  <si>
    <t>kupreeva@gmail</t>
  </si>
  <si>
    <t>15.05.2031</t>
  </si>
  <si>
    <t xml:space="preserve">Разумовский Олег Сергеевич</t>
  </si>
  <si>
    <t>17.11.1986</t>
  </si>
  <si>
    <t>razumovsky@mail</t>
  </si>
  <si>
    <t>01.06.2031</t>
  </si>
  <si>
    <t xml:space="preserve">Майорова Анастасия Игоревна</t>
  </si>
  <si>
    <t>15.07.1983</t>
  </si>
  <si>
    <t>2031-06-10</t>
  </si>
  <si>
    <t xml:space="preserve">Скуратов Илья Владимирович</t>
  </si>
  <si>
    <t>26.04.1975</t>
  </si>
  <si>
    <t>skuratov@gmail</t>
  </si>
  <si>
    <t>10.06.2031</t>
  </si>
  <si>
    <t xml:space="preserve">Кузовлева Елена Сергеевна</t>
  </si>
  <si>
    <t>23.10.1988</t>
  </si>
  <si>
    <t>kuzovleva@mail</t>
  </si>
  <si>
    <t>01.07.2031</t>
  </si>
  <si>
    <t xml:space="preserve">Станкевич Артем Николаевич</t>
  </si>
  <si>
    <t>14.02.1981</t>
  </si>
  <si>
    <t>stankevich@yandex</t>
  </si>
  <si>
    <t>2031-07-15</t>
  </si>
  <si>
    <t xml:space="preserve">Милютина Ольга Валерьевна</t>
  </si>
  <si>
    <t>08.06.1992</t>
  </si>
  <si>
    <t>milyutina@gmail</t>
  </si>
  <si>
    <t>15.07.2031</t>
  </si>
  <si>
    <t xml:space="preserve">Белоусов Андрей Павлович</t>
  </si>
  <si>
    <t>29.12.1977</t>
  </si>
  <si>
    <t>belousov@mail</t>
  </si>
  <si>
    <t>01.08.2031</t>
  </si>
  <si>
    <t xml:space="preserve">Рябчинская Наталья Юрьевна</t>
  </si>
  <si>
    <t>19.09.1985</t>
  </si>
  <si>
    <t>ryabchinskaya@yandex</t>
  </si>
  <si>
    <t>2031-08-10</t>
  </si>
  <si>
    <t xml:space="preserve">Толстиков Денис Алексеевич</t>
  </si>
  <si>
    <t>31.05.1980</t>
  </si>
  <si>
    <t>tolstikov@gmail</t>
  </si>
  <si>
    <t>10.08.2031</t>
  </si>
  <si>
    <t xml:space="preserve">Скворцова Мария Игоревна</t>
  </si>
  <si>
    <t>20.03.1987</t>
  </si>
  <si>
    <t>skvortsova@mail</t>
  </si>
  <si>
    <t>01.09.2031</t>
  </si>
  <si>
    <t xml:space="preserve">Данильчук Алексей Олегович</t>
  </si>
  <si>
    <t>12.11.1991</t>
  </si>
  <si>
    <t>danilchuk@yandex</t>
  </si>
  <si>
    <t>2031-09-15</t>
  </si>
  <si>
    <t xml:space="preserve">Протасова Елена Владимировна</t>
  </si>
  <si>
    <t>27.07.1974</t>
  </si>
  <si>
    <t>protasova@gmail</t>
  </si>
  <si>
    <t>15.09.2031</t>
  </si>
  <si>
    <t xml:space="preserve">Кувшинов Илья Николаевич</t>
  </si>
  <si>
    <t>16.01.1983</t>
  </si>
  <si>
    <t>kuvshinov@mail</t>
  </si>
  <si>
    <t>01.10.2031</t>
  </si>
  <si>
    <t xml:space="preserve">Шумилова Оксана Павловна</t>
  </si>
  <si>
    <t>05.10.1988</t>
  </si>
  <si>
    <t>shumilova@yandex</t>
  </si>
  <si>
    <t>2031-10-10</t>
  </si>
  <si>
    <t xml:space="preserve">Михайличенко Денис Сергеевич</t>
  </si>
  <si>
    <t>28.12.1970</t>
  </si>
  <si>
    <t>mihaylichenko@gmail</t>
  </si>
  <si>
    <t>10.10.2031</t>
  </si>
  <si>
    <t xml:space="preserve">Лысенко Татьяна Александровна</t>
  </si>
  <si>
    <t>21.06.1979</t>
  </si>
  <si>
    <t>lysenko@mail</t>
  </si>
  <si>
    <t>01.11.2031</t>
  </si>
  <si>
    <t xml:space="preserve">Назарчук Андрей Викторович</t>
  </si>
  <si>
    <t>14.09.1990</t>
  </si>
  <si>
    <t>nazarchuk@yandex</t>
  </si>
  <si>
    <t>2031-11-15</t>
  </si>
  <si>
    <t xml:space="preserve">Скачкова Мария Игоревна</t>
  </si>
  <si>
    <t>02.02.1986</t>
  </si>
  <si>
    <t>skachkova@gmail</t>
  </si>
  <si>
    <t>15.11.2031</t>
  </si>
  <si>
    <t xml:space="preserve">Чернышев Олег Павлович</t>
  </si>
  <si>
    <t>23.05.1982</t>
  </si>
  <si>
    <t>chernyshev@mail</t>
  </si>
  <si>
    <t>01.12.2031</t>
  </si>
  <si>
    <t xml:space="preserve">Покровская Елена Владимировна</t>
  </si>
  <si>
    <t>10.08.1975</t>
  </si>
  <si>
    <t>pokrovskaya@yandex</t>
  </si>
  <si>
    <t>2031-12-10</t>
  </si>
  <si>
    <t xml:space="preserve">Шабалин Илья Олегович</t>
  </si>
  <si>
    <t>19.11.1993</t>
  </si>
  <si>
    <t>shabalin@gmail</t>
  </si>
  <si>
    <t>10.12.2031</t>
  </si>
  <si>
    <t xml:space="preserve">Кубасова Наталья Алексеевна</t>
  </si>
  <si>
    <t>31.12.1978</t>
  </si>
  <si>
    <t>kubasova@mail</t>
  </si>
  <si>
    <t>01.01.2032</t>
  </si>
  <si>
    <t xml:space="preserve">Логунов Андрей Сергеевич</t>
  </si>
  <si>
    <t>16.04.1987</t>
  </si>
  <si>
    <t>logunov@yandex</t>
  </si>
  <si>
    <t>2032-01-15</t>
  </si>
  <si>
    <t xml:space="preserve">Топоркова Ольга Владимировна</t>
  </si>
  <si>
    <t>toporkova@gmail</t>
  </si>
  <si>
    <t>15.01.2032</t>
  </si>
  <si>
    <t xml:space="preserve">Кирьянов Денис Павлович</t>
  </si>
  <si>
    <t>13.02.1976</t>
  </si>
  <si>
    <t>kiryanov@mail</t>
  </si>
  <si>
    <t>01.02.2032</t>
  </si>
  <si>
    <t xml:space="preserve">Басырова Ирина Сергеевна</t>
  </si>
  <si>
    <t>24.10.1989</t>
  </si>
  <si>
    <t>basyrova@yandex</t>
  </si>
  <si>
    <t>2032-02-10</t>
  </si>
  <si>
    <t xml:space="preserve">Фокин Александр Николаевич</t>
  </si>
  <si>
    <t>06.08.1981</t>
  </si>
  <si>
    <t>fokin@gmail</t>
  </si>
  <si>
    <t>10.02.2032</t>
  </si>
  <si>
    <t xml:space="preserve">Рябинина Екатерина Алексеевна</t>
  </si>
  <si>
    <t>18.12.1972</t>
  </si>
  <si>
    <t>ryabinina@mail</t>
  </si>
  <si>
    <t>01.03.2032</t>
  </si>
  <si>
    <t xml:space="preserve">Смолин Илья Викторович</t>
  </si>
  <si>
    <t>09.06.1985</t>
  </si>
  <si>
    <t>smolin@yandex</t>
  </si>
  <si>
    <t>2032-03-15</t>
  </si>
  <si>
    <t xml:space="preserve">Труфанова Мария Сергеевна</t>
  </si>
  <si>
    <t>22.01.1991</t>
  </si>
  <si>
    <t>trufanova@gmail</t>
  </si>
  <si>
    <t>15.03.2032</t>
  </si>
  <si>
    <t xml:space="preserve">Кулиш Андрей Олегович</t>
  </si>
  <si>
    <t>14.09.1977</t>
  </si>
  <si>
    <t>kulish@mail</t>
  </si>
  <si>
    <t>01.04.2032</t>
  </si>
  <si>
    <t xml:space="preserve">Евсеева Ольга Павловна</t>
  </si>
  <si>
    <t>26.04.1988</t>
  </si>
  <si>
    <t>evseeva@yandex</t>
  </si>
  <si>
    <t>2032-04-10</t>
  </si>
  <si>
    <t xml:space="preserve">Малков Денис Александрович</t>
  </si>
  <si>
    <t>30.11.1980</t>
  </si>
  <si>
    <t>malkov@gmail</t>
  </si>
  <si>
    <t>10.04.2032</t>
  </si>
  <si>
    <t xml:space="preserve">Курепина Наталья Владимировна</t>
  </si>
  <si>
    <t>kurepina@mail</t>
  </si>
  <si>
    <t>01.05.2032</t>
  </si>
  <si>
    <t xml:space="preserve">Меркушев Илья Юрьевич</t>
  </si>
  <si>
    <t>05.03.1986</t>
  </si>
  <si>
    <t>merkushev@yandex</t>
  </si>
  <si>
    <t>2032-05-15</t>
  </si>
  <si>
    <t xml:space="preserve">Панкратова Елена Игоревна</t>
  </si>
  <si>
    <t>23.08.1992</t>
  </si>
  <si>
    <t>pankratova@gmail</t>
  </si>
  <si>
    <t>15.05.2032</t>
  </si>
  <si>
    <t xml:space="preserve">Сазонов Олег Викторович</t>
  </si>
  <si>
    <t>16.12.1975</t>
  </si>
  <si>
    <t>sazonov@mail</t>
  </si>
  <si>
    <t>01.06.2032</t>
  </si>
  <si>
    <t xml:space="preserve">Князева Светлана Николаевна</t>
  </si>
  <si>
    <t>27.10.1983</t>
  </si>
  <si>
    <t>knyazeva@yandex</t>
  </si>
  <si>
    <t>2032-06-10</t>
  </si>
  <si>
    <t xml:space="preserve">Куприенко Денис Павлович</t>
  </si>
  <si>
    <t>14.06.1990</t>
  </si>
  <si>
    <t>kuprienko@gmail</t>
  </si>
  <si>
    <t>10.06.2032</t>
  </si>
  <si>
    <t xml:space="preserve">Марчук Ольга Алексеевна</t>
  </si>
  <si>
    <t>19.02.1978</t>
  </si>
  <si>
    <t>marchuk@mail</t>
  </si>
  <si>
    <t>01.07.2032</t>
  </si>
  <si>
    <t xml:space="preserve">Золотов Александр Сергеевич</t>
  </si>
  <si>
    <t>08.09.1985</t>
  </si>
  <si>
    <t>zolotov@yandex</t>
  </si>
  <si>
    <t>2032-07-15</t>
  </si>
  <si>
    <t xml:space="preserve">Никифорова Мария Владимировна</t>
  </si>
  <si>
    <t>21.11.1994</t>
  </si>
  <si>
    <t>nikiforova@gmail</t>
  </si>
  <si>
    <t>15.07.2032</t>
  </si>
  <si>
    <t xml:space="preserve">Колосков Илья Алексеевич</t>
  </si>
  <si>
    <t>03.04.1976</t>
  </si>
  <si>
    <t>koloskov@mail</t>
  </si>
  <si>
    <t>01.08.2032</t>
  </si>
  <si>
    <t xml:space="preserve">Устинова Екатерина Олеговна</t>
  </si>
  <si>
    <t>12.07.1982</t>
  </si>
  <si>
    <t>ustinova@yandex</t>
  </si>
  <si>
    <t>2032-08-10</t>
  </si>
  <si>
    <t xml:space="preserve">Сидорчук Андрей Павлович</t>
  </si>
  <si>
    <t>31.12.1988</t>
  </si>
  <si>
    <t>sidorchuk@gmail</t>
  </si>
  <si>
    <t>10.08.2032</t>
  </si>
  <si>
    <t xml:space="preserve">Горчакова Ольга Сергеевна</t>
  </si>
  <si>
    <t>17.05.1973</t>
  </si>
  <si>
    <t>gorchakova@mail</t>
  </si>
  <si>
    <t>01.09.2032</t>
  </si>
  <si>
    <t xml:space="preserve">Васюков Денис Викторович</t>
  </si>
  <si>
    <t>28.10.1979</t>
  </si>
  <si>
    <t>vasyukov@yandex</t>
  </si>
  <si>
    <t>2032-09-15</t>
  </si>
  <si>
    <t xml:space="preserve">Кузьминова Елена Игоревна</t>
  </si>
  <si>
    <t>25.03.1986</t>
  </si>
  <si>
    <t>kuzminova@gmail</t>
  </si>
  <si>
    <t>15.09.2032</t>
  </si>
  <si>
    <t xml:space="preserve">Стрелков Илья Александрович</t>
  </si>
  <si>
    <t>strelkov@mail</t>
  </si>
  <si>
    <t>01.10.2032</t>
  </si>
  <si>
    <t xml:space="preserve">Волкова Оксана Владимировна</t>
  </si>
  <si>
    <t>06.06.1977</t>
  </si>
  <si>
    <t>volkova@yandex</t>
  </si>
  <si>
    <t>2032-10-10</t>
  </si>
  <si>
    <t xml:space="preserve">Пронин Алексей Петрович</t>
  </si>
  <si>
    <t>18.12.1984</t>
  </si>
  <si>
    <t>pronin@gmail</t>
  </si>
  <si>
    <t>10.10.2032</t>
  </si>
  <si>
    <t xml:space="preserve">Иваницкая Мария Николаевна</t>
  </si>
  <si>
    <t>22.09.1992</t>
  </si>
  <si>
    <t>ivanitskaya@mail</t>
  </si>
  <si>
    <t>01.11.2032</t>
  </si>
  <si>
    <t xml:space="preserve">Серпиков Андрей Олегович</t>
  </si>
  <si>
    <t>16.07.1975</t>
  </si>
  <si>
    <t>serpikov@yandex</t>
  </si>
  <si>
    <t>2032-11-15</t>
  </si>
  <si>
    <t xml:space="preserve">Рыбакова Елена Сергеевна</t>
  </si>
  <si>
    <t>09.11.1980</t>
  </si>
  <si>
    <t>rybakova@gmail</t>
  </si>
  <si>
    <t>15.11.2032</t>
  </si>
  <si>
    <t xml:space="preserve">Соломатин Денис Алексеевич</t>
  </si>
  <si>
    <t>27.02.1986</t>
  </si>
  <si>
    <t>solomatin@mail</t>
  </si>
  <si>
    <t>01.12.2032</t>
  </si>
  <si>
    <t xml:space="preserve">Королева Ольга Игоревна</t>
  </si>
  <si>
    <t>14.05.1990</t>
  </si>
  <si>
    <t>2032-12-10</t>
  </si>
  <si>
    <t xml:space="preserve">Симонов Илья Владимирович</t>
  </si>
  <si>
    <t>23.08.1972</t>
  </si>
  <si>
    <t>simonov@gmail</t>
  </si>
  <si>
    <t>10.12.2032</t>
  </si>
  <si>
    <t xml:space="preserve">Гонтарь Татьяна Алексеевна</t>
  </si>
  <si>
    <t>15.03.1987</t>
  </si>
  <si>
    <t>gontar@mail</t>
  </si>
  <si>
    <t>01.01.2033</t>
  </si>
  <si>
    <t xml:space="preserve">Ивановский Денис Павлович</t>
  </si>
  <si>
    <t>03.12.1993</t>
  </si>
  <si>
    <t>ivanovsky@yandex</t>
  </si>
  <si>
    <t>2033-01-15</t>
  </si>
  <si>
    <t xml:space="preserve">Савинкова Екатерина Сергеевна</t>
  </si>
  <si>
    <t>26.10.1978</t>
  </si>
  <si>
    <t>savinkova@gmail</t>
  </si>
  <si>
    <t>15.01.2033</t>
  </si>
  <si>
    <t xml:space="preserve">Бирюков Андрей Викторович</t>
  </si>
  <si>
    <t>11.06.1984</t>
  </si>
  <si>
    <t>biryukov@mail</t>
  </si>
  <si>
    <t>01.02.2033</t>
  </si>
  <si>
    <t xml:space="preserve">Шевель Ольга Павловна</t>
  </si>
  <si>
    <t>19.07.1989</t>
  </si>
  <si>
    <t>shevel@yandex</t>
  </si>
  <si>
    <t>2033-02-10</t>
  </si>
  <si>
    <t xml:space="preserve">Коновалов Илья Олегович</t>
  </si>
  <si>
    <t>04.05.1975</t>
  </si>
  <si>
    <t>konovalov@gmail</t>
  </si>
  <si>
    <t>10.02.2033</t>
  </si>
  <si>
    <t xml:space="preserve">Щербаков Виталий Николаевич</t>
  </si>
  <si>
    <t>28.12.1982</t>
  </si>
  <si>
    <t>scherbakov@mail</t>
  </si>
  <si>
    <t>01.03.2033</t>
  </si>
  <si>
    <t xml:space="preserve">Макеева Анастасия Игоревна</t>
  </si>
  <si>
    <t>17.09.1991</t>
  </si>
  <si>
    <t>makeeva@yandex</t>
  </si>
  <si>
    <t>2033-03-15</t>
  </si>
  <si>
    <t xml:space="preserve">Дорофеев Денис Александрович</t>
  </si>
  <si>
    <t>06.03.1979</t>
  </si>
  <si>
    <t>dorofeev@gmail</t>
  </si>
  <si>
    <t>15.03.2033</t>
  </si>
  <si>
    <t xml:space="preserve">Слободчикова Елена Владимировна</t>
  </si>
  <si>
    <t>24.11.1986</t>
  </si>
  <si>
    <t>slobodchikova@mail</t>
  </si>
  <si>
    <t>01.04.2033</t>
  </si>
  <si>
    <t xml:space="preserve">Толкунов Олег Сергеевич</t>
  </si>
  <si>
    <t>tolkunov@yandex</t>
  </si>
  <si>
    <t>2033-04-10</t>
  </si>
  <si>
    <t xml:space="preserve">Ушакова Ирина Павловна</t>
  </si>
  <si>
    <t>16.01.1984</t>
  </si>
  <si>
    <t>ushakova@gmail</t>
  </si>
  <si>
    <t>10.04.2033</t>
  </si>
  <si>
    <t xml:space="preserve">Краюхин Андрей Викторович</t>
  </si>
  <si>
    <t>10.08.1977</t>
  </si>
  <si>
    <t>krayuhin@mail</t>
  </si>
  <si>
    <t>01.05.2033</t>
  </si>
  <si>
    <t xml:space="preserve">Агафонова Мария Олеговна</t>
  </si>
  <si>
    <t>29.12.1990</t>
  </si>
  <si>
    <t>agafonova@yandex</t>
  </si>
  <si>
    <t>2033-05-15</t>
  </si>
  <si>
    <t xml:space="preserve">Пронский Илья Николаевич</t>
  </si>
  <si>
    <t>23.04.1985</t>
  </si>
  <si>
    <t>pronsky@gmail</t>
  </si>
  <si>
    <t>15.05.2033</t>
  </si>
  <si>
    <t xml:space="preserve">Маркин Денис Сергеевич</t>
  </si>
  <si>
    <t>05.09.1974</t>
  </si>
  <si>
    <t>markin@mail</t>
  </si>
  <si>
    <t>01.06.2033</t>
  </si>
  <si>
    <t xml:space="preserve">Булатова Ольга Владимировна</t>
  </si>
  <si>
    <t>21.11.1981</t>
  </si>
  <si>
    <t>bulatova@yandex</t>
  </si>
  <si>
    <t>2033-06-10</t>
  </si>
  <si>
    <t xml:space="preserve">Кузнецов Дмитрий Александрович</t>
  </si>
  <si>
    <t>17.07.1988</t>
  </si>
  <si>
    <t>kuznetsov@gmail</t>
  </si>
  <si>
    <t>10.06.2033</t>
  </si>
  <si>
    <t xml:space="preserve">Сизова Елена Игоревна</t>
  </si>
  <si>
    <t>30.10.1976</t>
  </si>
  <si>
    <t>sizova@mail</t>
  </si>
  <si>
    <t>01.07.2033</t>
  </si>
  <si>
    <t xml:space="preserve">Карнаухов Андрей Павлович</t>
  </si>
  <si>
    <t>12.02.1983</t>
  </si>
  <si>
    <t>karnauhov@yandex</t>
  </si>
  <si>
    <t>2033-07-15</t>
  </si>
  <si>
    <t xml:space="preserve">Кашкарова Мария Сергеевна</t>
  </si>
  <si>
    <t>kashkarova@gmail</t>
  </si>
  <si>
    <t>15.07.2033</t>
  </si>
  <si>
    <t xml:space="preserve">Лопатин Илья Алексеевич</t>
  </si>
  <si>
    <t>lopatin@mail</t>
  </si>
  <si>
    <t>01.08.2033</t>
  </si>
  <si>
    <t xml:space="preserve">Хромова Татьяна Викторовна</t>
  </si>
  <si>
    <t>25.03.1984</t>
  </si>
  <si>
    <t>hromova@yandex</t>
  </si>
  <si>
    <t>2033-08-10</t>
  </si>
  <si>
    <t xml:space="preserve">Коптев Денис Олегович</t>
  </si>
  <si>
    <t>13.12.1993</t>
  </si>
  <si>
    <t>koptiev@gmail</t>
  </si>
  <si>
    <t>10.08.2033</t>
  </si>
  <si>
    <t xml:space="preserve">Теплова Екатерина Сергеевна</t>
  </si>
  <si>
    <t>01.08.1970</t>
  </si>
  <si>
    <t>teplova@mail</t>
  </si>
  <si>
    <t>01.09.2033</t>
  </si>
  <si>
    <t xml:space="preserve">Гриднева Ольга Павловна</t>
  </si>
  <si>
    <t>gridneva@yandex</t>
  </si>
  <si>
    <t>2033-09-15</t>
  </si>
  <si>
    <t xml:space="preserve">Мордасов Андрей Владимирович</t>
  </si>
  <si>
    <t>mordasov@gmail</t>
  </si>
  <si>
    <t>15.09.2033</t>
  </si>
  <si>
    <t xml:space="preserve">Пашкова Ирина Сергеевна</t>
  </si>
  <si>
    <t>10.10.1975</t>
  </si>
  <si>
    <t>pashkova@mail</t>
  </si>
  <si>
    <t>01.10.2033</t>
  </si>
  <si>
    <t xml:space="preserve">Скрипкин Илья Олегович</t>
  </si>
  <si>
    <t>03.05.1988</t>
  </si>
  <si>
    <t>skripkin@yandex</t>
  </si>
  <si>
    <t>2033-10-10</t>
  </si>
  <si>
    <t xml:space="preserve">Кузовкина Мария Алексеевна</t>
  </si>
  <si>
    <t>22.09.1994</t>
  </si>
  <si>
    <t>kuzovkina@gmail</t>
  </si>
  <si>
    <t>10.10.2033</t>
  </si>
  <si>
    <t xml:space="preserve">Хабаров Денис Николаевич</t>
  </si>
  <si>
    <t>14.02.1976</t>
  </si>
  <si>
    <t>habarov@mail</t>
  </si>
  <si>
    <t>01.11.2033</t>
  </si>
  <si>
    <t xml:space="preserve">Фирсова Екатерина Викторовна</t>
  </si>
  <si>
    <t>19.11.1982</t>
  </si>
  <si>
    <t>firsova@yandex</t>
  </si>
  <si>
    <t>2033-11-15</t>
  </si>
  <si>
    <t xml:space="preserve">Саблин Андрей Павлович</t>
  </si>
  <si>
    <t>08.06.1990</t>
  </si>
  <si>
    <t>sablin@gmail</t>
  </si>
  <si>
    <t>15.11.2033</t>
  </si>
  <si>
    <t xml:space="preserve">Сиднева Ольга Сергеевна</t>
  </si>
  <si>
    <t>31.03.1978</t>
  </si>
  <si>
    <t>sidneva@mail</t>
  </si>
  <si>
    <t>01.12.2033</t>
  </si>
  <si>
    <t xml:space="preserve">Кочергин Илья Александрович</t>
  </si>
  <si>
    <t>17.12.1985</t>
  </si>
  <si>
    <t>kochergin@yandex</t>
  </si>
  <si>
    <t>2033-12-10</t>
  </si>
  <si>
    <t xml:space="preserve">Забелина Мария Владимировна</t>
  </si>
  <si>
    <t>26.07.1972</t>
  </si>
  <si>
    <t>zabelina@gmail</t>
  </si>
  <si>
    <t>10.12.2033</t>
  </si>
  <si>
    <t xml:space="preserve">Шипилов Денис Олегович</t>
  </si>
  <si>
    <t>04.09.1988</t>
  </si>
  <si>
    <t>shipilov@mail</t>
  </si>
  <si>
    <t>01.01.2034</t>
  </si>
  <si>
    <t xml:space="preserve">Кононова Елена Алексеевна</t>
  </si>
  <si>
    <t>19.12.1991</t>
  </si>
  <si>
    <t>kononova@yandex</t>
  </si>
  <si>
    <t>2034-01-15</t>
  </si>
  <si>
    <t xml:space="preserve">Лебедева Ольга Павловна</t>
  </si>
  <si>
    <t>23.05.1975</t>
  </si>
  <si>
    <t>lebedevа@gmail</t>
  </si>
  <si>
    <t>15.01.2034</t>
  </si>
  <si>
    <t xml:space="preserve">Мартынов Илья Викторович</t>
  </si>
  <si>
    <t>10.10.1983</t>
  </si>
  <si>
    <t>martynov@mail</t>
  </si>
  <si>
    <t>01.02.2034</t>
  </si>
  <si>
    <t xml:space="preserve">Бражникова Екатерина Сергеевна</t>
  </si>
  <si>
    <t>02.08.1986</t>
  </si>
  <si>
    <t>brazhnikova@yandex</t>
  </si>
  <si>
    <t>2034-02-10</t>
  </si>
  <si>
    <t xml:space="preserve">Сухоруков Андрей Олегович</t>
  </si>
  <si>
    <t>14.11.1979</t>
  </si>
  <si>
    <t>suhorukov@gmail</t>
  </si>
  <si>
    <t>10.02.2034</t>
  </si>
  <si>
    <t xml:space="preserve">Гапонова Мария Игоревна</t>
  </si>
  <si>
    <t>27.01.1992</t>
  </si>
  <si>
    <t>gaponova@mail</t>
  </si>
  <si>
    <t>01.03.2034</t>
  </si>
  <si>
    <t xml:space="preserve">Жигалов Денис Павлович</t>
  </si>
  <si>
    <t>15.06.1981</t>
  </si>
  <si>
    <t>zhigalov@yandex</t>
  </si>
  <si>
    <t>2034-03-15</t>
  </si>
  <si>
    <t xml:space="preserve">Курочкин Илья Александрович</t>
  </si>
  <si>
    <t>09.09.1974</t>
  </si>
  <si>
    <t>kurochkin@gmail</t>
  </si>
  <si>
    <t>15.03.2034</t>
  </si>
  <si>
    <t xml:space="preserve">Панина Ольга Владимировна</t>
  </si>
  <si>
    <t>28.04.1987</t>
  </si>
  <si>
    <t>panina@mail</t>
  </si>
  <si>
    <t>01.04.2034</t>
  </si>
  <si>
    <t xml:space="preserve">Махалов Андрей Сергеевич</t>
  </si>
  <si>
    <t>12.12.1993</t>
  </si>
  <si>
    <t>mahalov@yandex</t>
  </si>
  <si>
    <t>2034-04-10</t>
  </si>
  <si>
    <t xml:space="preserve">Федорова Екатерина Петровна</t>
  </si>
  <si>
    <t>07.03.1976</t>
  </si>
  <si>
    <t>10.04.2034</t>
  </si>
  <si>
    <t xml:space="preserve">Зарубин Илья Викторович</t>
  </si>
  <si>
    <t>21.07.1988</t>
  </si>
  <si>
    <t>zarubin@mail</t>
  </si>
  <si>
    <t>01.05.2034</t>
  </si>
  <si>
    <t xml:space="preserve">Калинина Мария Сергеевна</t>
  </si>
  <si>
    <t>16.10.1980</t>
  </si>
  <si>
    <t>kalinina@yandex</t>
  </si>
  <si>
    <t>2034-05-15</t>
  </si>
  <si>
    <t xml:space="preserve">Свиридов Денис Олегович</t>
  </si>
  <si>
    <t>05.05.1973</t>
  </si>
  <si>
    <t>sviridov@gmail</t>
  </si>
  <si>
    <t>15.05.2034</t>
  </si>
  <si>
    <t xml:space="preserve">Игнатьев Андрей Павлович</t>
  </si>
  <si>
    <t>28.08.1984</t>
  </si>
  <si>
    <t>ignatiev@mail</t>
  </si>
  <si>
    <t>01.06.2034</t>
  </si>
  <si>
    <t xml:space="preserve">Шаталова Ольга Владимировна</t>
  </si>
  <si>
    <t>12.01.1991</t>
  </si>
  <si>
    <t>shatalova@yandex</t>
  </si>
  <si>
    <t>2034-06-10</t>
  </si>
  <si>
    <t xml:space="preserve">Шумаков Илья Алексеевич</t>
  </si>
  <si>
    <t>23.07.1978</t>
  </si>
  <si>
    <t>shumakov@gmail</t>
  </si>
  <si>
    <t>10.06.2034</t>
  </si>
  <si>
    <t xml:space="preserve">Дробышева Екатерина Сергеевна</t>
  </si>
  <si>
    <t>15.12.1986</t>
  </si>
  <si>
    <t>drobysheva@mail</t>
  </si>
  <si>
    <t>01.07.2034</t>
  </si>
  <si>
    <t xml:space="preserve">Петрухин Денис Викторович</t>
  </si>
  <si>
    <t>09.04.1992</t>
  </si>
  <si>
    <t>petruhin@yandex</t>
  </si>
  <si>
    <t>2034-07-15</t>
  </si>
  <si>
    <t xml:space="preserve">Буторина Мария Олеговна</t>
  </si>
  <si>
    <t>01.11.1979</t>
  </si>
  <si>
    <t>butorina@gmail</t>
  </si>
  <si>
    <t>15.07.2034</t>
  </si>
  <si>
    <t xml:space="preserve">Кисель Андрей Александрович</t>
  </si>
  <si>
    <t>19.09.1983</t>
  </si>
  <si>
    <t>kisel@mail</t>
  </si>
  <si>
    <t>01.08.2034</t>
  </si>
  <si>
    <t xml:space="preserve">Юсупова Ольга Павловна</t>
  </si>
  <si>
    <t>27.05.1987</t>
  </si>
  <si>
    <t>yusupova@yandex</t>
  </si>
  <si>
    <t>2034-08-10</t>
  </si>
  <si>
    <t xml:space="preserve">Рудаков Илья Игоревич</t>
  </si>
  <si>
    <t>16.02.1975</t>
  </si>
  <si>
    <t>rudakov@gmail</t>
  </si>
  <si>
    <t>10.08.2034</t>
  </si>
  <si>
    <t xml:space="preserve">Мосина Елена Владимировна</t>
  </si>
  <si>
    <t>06.08.1980</t>
  </si>
  <si>
    <t>mosina@mail</t>
  </si>
  <si>
    <t>01.09.2034</t>
  </si>
  <si>
    <t xml:space="preserve">Титов Андрей Сергеевич</t>
  </si>
  <si>
    <t>25.10.1990</t>
  </si>
  <si>
    <t>titov@yandex</t>
  </si>
  <si>
    <t>2034-09-15</t>
  </si>
  <si>
    <t xml:space="preserve">Вершинина Мария Николаевна</t>
  </si>
  <si>
    <t>13.07.1985</t>
  </si>
  <si>
    <t>vershinina@gmail</t>
  </si>
  <si>
    <t>15.09.2034</t>
  </si>
  <si>
    <t xml:space="preserve">Ануфриев Илья Олегович</t>
  </si>
  <si>
    <t>02.01.1974</t>
  </si>
  <si>
    <t>anufriev@mail</t>
  </si>
  <si>
    <t>01.10.2034</t>
  </si>
  <si>
    <t xml:space="preserve">Черникова Ольга Александровна</t>
  </si>
  <si>
    <t>chernikova@yandex</t>
  </si>
  <si>
    <t>2034-10-10</t>
  </si>
  <si>
    <t xml:space="preserve">Дударев Денис Павлович</t>
  </si>
  <si>
    <t>14.09.1988</t>
  </si>
  <si>
    <t>dudarev@gmail</t>
  </si>
  <si>
    <t>10.10.2034</t>
  </si>
  <si>
    <t xml:space="preserve">Лаптева Екатерина Игоревна</t>
  </si>
  <si>
    <t>18.06.1976</t>
  </si>
  <si>
    <t>lapteva@mail</t>
  </si>
  <si>
    <t>01.11.2034</t>
  </si>
  <si>
    <t xml:space="preserve">Печников Андрей Викторович</t>
  </si>
  <si>
    <t>05.12.1983</t>
  </si>
  <si>
    <t>pechnikov@yandex</t>
  </si>
  <si>
    <t>2034-11-15</t>
  </si>
  <si>
    <t xml:space="preserve">Бобылева Мария Сергеевна</t>
  </si>
  <si>
    <t>26.03.1991</t>
  </si>
  <si>
    <t>bobyleva@gmail</t>
  </si>
  <si>
    <t>15.11.2034</t>
  </si>
  <si>
    <t xml:space="preserve">Гордеев Денис Олегович</t>
  </si>
  <si>
    <t>09.10.1972</t>
  </si>
  <si>
    <t>gordeev@mail</t>
  </si>
  <si>
    <t>01.12.2034</t>
  </si>
  <si>
    <t xml:space="preserve">Слепцова Ольга Владимировна</t>
  </si>
  <si>
    <t>22.08.1986</t>
  </si>
  <si>
    <t>sleptsova@yandex</t>
  </si>
  <si>
    <t>2034-12-10</t>
  </si>
  <si>
    <t xml:space="preserve">Пономарев Илья Александрович</t>
  </si>
  <si>
    <t>18.01.1992</t>
  </si>
  <si>
    <t>ponomarev@gmail</t>
  </si>
  <si>
    <t>10.12.2034</t>
  </si>
  <si>
    <t xml:space="preserve">Овчаренко Елена Сергеевна</t>
  </si>
  <si>
    <t>07.07.1980</t>
  </si>
  <si>
    <t>ovcharenko@mail</t>
  </si>
  <si>
    <t>01.01.2035</t>
  </si>
  <si>
    <t xml:space="preserve">Клименков Андрей Павлович</t>
  </si>
  <si>
    <t>klimenkov@yandex</t>
  </si>
  <si>
    <t>2035-01-15</t>
  </si>
  <si>
    <t xml:space="preserve">Гурьева Мария Викторовна</t>
  </si>
  <si>
    <t>19.02.1979</t>
  </si>
  <si>
    <t>gurieva@gmail</t>
  </si>
  <si>
    <t>15.01.2035</t>
  </si>
  <si>
    <t xml:space="preserve">Селезнев Денис Алексеевич</t>
  </si>
  <si>
    <t>15.04.1983</t>
  </si>
  <si>
    <t>seleznev@mail</t>
  </si>
  <si>
    <t>01.02.2035</t>
  </si>
  <si>
    <t xml:space="preserve">Стрельцова Ольга Николаевна</t>
  </si>
  <si>
    <t>28.09.1987</t>
  </si>
  <si>
    <t>streltsova@yandex</t>
  </si>
  <si>
    <t>2035-02-10</t>
  </si>
  <si>
    <t xml:space="preserve">Бондаренко Илья Игоревич</t>
  </si>
  <si>
    <t>11.12.1971</t>
  </si>
  <si>
    <t>bondarenko@gmail</t>
  </si>
  <si>
    <t>10.02.2035</t>
  </si>
  <si>
    <t xml:space="preserve">Белоусова Екатерина Сергеевна</t>
  </si>
  <si>
    <t>24.07.1993</t>
  </si>
  <si>
    <t>belousova@mail</t>
  </si>
  <si>
    <t>01.03.2035</t>
  </si>
  <si>
    <t xml:space="preserve">Бурмистров Андрей Олегович</t>
  </si>
  <si>
    <t>16.10.1982</t>
  </si>
  <si>
    <t>burmistrov@yandex</t>
  </si>
  <si>
    <t>2035-03-15</t>
  </si>
  <si>
    <t xml:space="preserve">Муратова Мария Павловна</t>
  </si>
  <si>
    <t>05.03.1977</t>
  </si>
  <si>
    <t>muratova@gmail</t>
  </si>
  <si>
    <t>15.03.2035</t>
  </si>
  <si>
    <t xml:space="preserve">Лазаренко Денис Викторович</t>
  </si>
  <si>
    <t>26.12.1988</t>
  </si>
  <si>
    <t>lazarenko@mail</t>
  </si>
  <si>
    <t>01.04.2035</t>
  </si>
  <si>
    <t xml:space="preserve">Самарская Ольга Владимировна</t>
  </si>
  <si>
    <t>14.05.1974</t>
  </si>
  <si>
    <t>samarskaya@yandex</t>
  </si>
  <si>
    <t>2035-04-10</t>
  </si>
  <si>
    <t xml:space="preserve">Никонов Илья Александрович</t>
  </si>
  <si>
    <t>08.08.1980</t>
  </si>
  <si>
    <t>nikonov@gmail</t>
  </si>
  <si>
    <t>10.04.2035</t>
  </si>
  <si>
    <t xml:space="preserve">Ермоленко Екатерина Сергеевна</t>
  </si>
  <si>
    <t>21.09.1984</t>
  </si>
  <si>
    <t>ermolenko@mail</t>
  </si>
  <si>
    <t>01.05.2035</t>
  </si>
  <si>
    <t xml:space="preserve">Пахомов Андрей Павлович</t>
  </si>
  <si>
    <t>13.01.1991</t>
  </si>
  <si>
    <t>pahomov@yandex</t>
  </si>
  <si>
    <t>2035-05-15</t>
  </si>
  <si>
    <t xml:space="preserve">Рыжова Мария Олеговна</t>
  </si>
  <si>
    <t>04.06.1976</t>
  </si>
  <si>
    <t>ryzhova@gmail</t>
  </si>
  <si>
    <t>15.05.2035</t>
  </si>
  <si>
    <t xml:space="preserve">Ситников Денис Игоревич</t>
  </si>
  <si>
    <t>27.11.1983</t>
  </si>
  <si>
    <t>sitnikov@mail</t>
  </si>
  <si>
    <t>01.06.2035</t>
  </si>
  <si>
    <t xml:space="preserve">Калмыкова Ольга Павловна</t>
  </si>
  <si>
    <t>12.04.1988</t>
  </si>
  <si>
    <t>kalmykova@yandex</t>
  </si>
  <si>
    <t>2035-06-10</t>
  </si>
  <si>
    <t xml:space="preserve">Зуев Илья Викторович</t>
  </si>
  <si>
    <t>01.07.1972</t>
  </si>
  <si>
    <t>zuev@gmail</t>
  </si>
  <si>
    <t>10.06.2035</t>
  </si>
  <si>
    <t xml:space="preserve">Прокопьева Елена Сергеевна</t>
  </si>
  <si>
    <t>18.10.1978</t>
  </si>
  <si>
    <t>prokopyeva@mail</t>
  </si>
  <si>
    <t>01.07.2035</t>
  </si>
  <si>
    <t xml:space="preserve">Сухарев Андрей Олегович</t>
  </si>
  <si>
    <t>16.02.1985</t>
  </si>
  <si>
    <t>suharev@yandex</t>
  </si>
  <si>
    <t>2035-07-15</t>
  </si>
  <si>
    <t xml:space="preserve">Меньшова Мария Владимировна</t>
  </si>
  <si>
    <t>29.08.1992</t>
  </si>
  <si>
    <t>menshova@gmail</t>
  </si>
  <si>
    <t>15.07.2035</t>
  </si>
  <si>
    <t xml:space="preserve">Пискунов Денис Сергеевич</t>
  </si>
  <si>
    <t>22.12.1977</t>
  </si>
  <si>
    <t>piskunov@mail</t>
  </si>
  <si>
    <t>01.08.2035</t>
  </si>
  <si>
    <t xml:space="preserve">Соболева Ольга Алексеевна</t>
  </si>
  <si>
    <t>09.05.1980</t>
  </si>
  <si>
    <t>soboleva@yandex</t>
  </si>
  <si>
    <t>2035-08-10</t>
  </si>
  <si>
    <t xml:space="preserve">Черкесов Илья Николаевич</t>
  </si>
  <si>
    <t>03.07.1985</t>
  </si>
  <si>
    <t>cherkesov@gmail</t>
  </si>
  <si>
    <t>10.08.2035</t>
  </si>
  <si>
    <t xml:space="preserve">Ракитина Екатерина Павловна</t>
  </si>
  <si>
    <t>17.01.1990</t>
  </si>
  <si>
    <t>rakitina@mail</t>
  </si>
  <si>
    <t>01.09.2035</t>
  </si>
  <si>
    <t>28.10.1983</t>
  </si>
  <si>
    <t>2035-09-15</t>
  </si>
  <si>
    <t xml:space="preserve">Боровкова Мария Олеговна</t>
  </si>
  <si>
    <t>25.04.1976</t>
  </si>
  <si>
    <t>borovkova@gmail</t>
  </si>
  <si>
    <t>15.09.2035</t>
  </si>
  <si>
    <t xml:space="preserve">Терехов Денис Викторович</t>
  </si>
  <si>
    <t>06.12.1981</t>
  </si>
  <si>
    <t>terehov@mail</t>
  </si>
  <si>
    <t>01.10.2035</t>
  </si>
  <si>
    <t xml:space="preserve">Курагина Ольга Сергеевна</t>
  </si>
  <si>
    <t>19.06.1986</t>
  </si>
  <si>
    <t>kuragina@yandex</t>
  </si>
  <si>
    <t>2035-10-10</t>
  </si>
  <si>
    <t xml:space="preserve">Горохов Илья Олегович</t>
  </si>
  <si>
    <t>14.03.1978</t>
  </si>
  <si>
    <t>gorohov@gmail</t>
  </si>
  <si>
    <t>10.10.2035</t>
  </si>
  <si>
    <t xml:space="preserve">Маликова Екатерина Владимировна</t>
  </si>
  <si>
    <t>02.09.1992</t>
  </si>
  <si>
    <t>malikova@mail</t>
  </si>
  <si>
    <t>01.11.2035</t>
  </si>
  <si>
    <t xml:space="preserve">Санников Андрей Павлович</t>
  </si>
  <si>
    <t>24.12.1984</t>
  </si>
  <si>
    <t>sannikov@yandex</t>
  </si>
  <si>
    <t>2035-11-15</t>
  </si>
  <si>
    <t xml:space="preserve">Крутова Мария Сергеевна</t>
  </si>
  <si>
    <t>11.07.1975</t>
  </si>
  <si>
    <t>krutova@gmail</t>
  </si>
  <si>
    <t>15.11.2035</t>
  </si>
  <si>
    <t xml:space="preserve">Фадеев Денис Алексеевич</t>
  </si>
  <si>
    <t>fadeev@mail</t>
  </si>
  <si>
    <t>01.12.2035</t>
  </si>
  <si>
    <t xml:space="preserve">Русанова Ольга Павловна</t>
  </si>
  <si>
    <t>05.06.1987</t>
  </si>
  <si>
    <t>rusanova@yandex</t>
  </si>
  <si>
    <t>2035-12-10</t>
  </si>
  <si>
    <t xml:space="preserve">Букаев Илья Викторович</t>
  </si>
  <si>
    <t>19.12.1970</t>
  </si>
  <si>
    <t>bukaev@gmail</t>
  </si>
  <si>
    <t>10.12.2035</t>
  </si>
  <si>
    <t xml:space="preserve">Мухина Екатерина Игоревна</t>
  </si>
  <si>
    <t>01.01.2036</t>
  </si>
  <si>
    <t xml:space="preserve">Зиновьев Андрей Олегович</t>
  </si>
  <si>
    <t>22.04.1991</t>
  </si>
  <si>
    <t>zinoviev@yandex</t>
  </si>
  <si>
    <t>2036-01-15</t>
  </si>
  <si>
    <t xml:space="preserve">Рябова Мария Сергеевна</t>
  </si>
  <si>
    <t>15.01.1978</t>
  </si>
  <si>
    <t>15.01.2036</t>
  </si>
  <si>
    <t xml:space="preserve">Солнцев Денис Павлович</t>
  </si>
  <si>
    <t>17.08.1982</t>
  </si>
  <si>
    <t>solntsev@mail</t>
  </si>
  <si>
    <t>01.02.2036</t>
  </si>
  <si>
    <t xml:space="preserve">Ткачева Ольга Владимировна</t>
  </si>
  <si>
    <t>30.11.1986</t>
  </si>
  <si>
    <t>tkacheva@yandex</t>
  </si>
  <si>
    <t>2036-02-10</t>
  </si>
  <si>
    <t xml:space="preserve">Цветков Илья Александрович</t>
  </si>
  <si>
    <t>13.06.1974</t>
  </si>
  <si>
    <t>tsvetkov@gmail</t>
  </si>
  <si>
    <t>10.02.2036</t>
  </si>
  <si>
    <t xml:space="preserve">Балашова Елена Сергеевна</t>
  </si>
  <si>
    <t>03.03.1983</t>
  </si>
  <si>
    <t>balashova@mail</t>
  </si>
  <si>
    <t>01.03.2036</t>
  </si>
  <si>
    <t xml:space="preserve">Осипов Андрей Викторович</t>
  </si>
  <si>
    <t>25.10.1992</t>
  </si>
  <si>
    <t>osipov@yandex</t>
  </si>
  <si>
    <t>2036-03-15</t>
  </si>
  <si>
    <t xml:space="preserve">Краснова Мария Павловна</t>
  </si>
  <si>
    <t>14.07.1976</t>
  </si>
  <si>
    <t>krasnova@gmail</t>
  </si>
  <si>
    <t>15.03.2036</t>
  </si>
  <si>
    <t xml:space="preserve">Мальков Денис Олегович</t>
  </si>
  <si>
    <t>malkov@mail</t>
  </si>
  <si>
    <t>01.04.2036</t>
  </si>
  <si>
    <t xml:space="preserve">Дьячкова Ольга Сергеевна</t>
  </si>
  <si>
    <t>04.08.1988</t>
  </si>
  <si>
    <t>dyachkova@yandex</t>
  </si>
  <si>
    <t>2036-04-10</t>
  </si>
  <si>
    <t xml:space="preserve">Кулешов Илья Игоревич</t>
  </si>
  <si>
    <t>16.05.1972</t>
  </si>
  <si>
    <t>kuleshov@gmail</t>
  </si>
  <si>
    <t>10.04.2036</t>
  </si>
  <si>
    <t xml:space="preserve">Панкратова Екатерина Владимировна</t>
  </si>
  <si>
    <t>27.09.1985</t>
  </si>
  <si>
    <t>pankratova@mail</t>
  </si>
  <si>
    <t>01.05.2036</t>
  </si>
  <si>
    <t xml:space="preserve">Доронин Андрей Павлович</t>
  </si>
  <si>
    <t>21.02.1990</t>
  </si>
  <si>
    <t>doronin@yandex</t>
  </si>
  <si>
    <t>2036-05-15</t>
  </si>
  <si>
    <t xml:space="preserve">Щукина Мария Олеговна</t>
  </si>
  <si>
    <t>12.11.1979</t>
  </si>
  <si>
    <t>schukina@gmail</t>
  </si>
  <si>
    <t>15.05.2036</t>
  </si>
  <si>
    <t xml:space="preserve">Князев Денис Сергеевич</t>
  </si>
  <si>
    <t>06.06.1984</t>
  </si>
  <si>
    <t>knyazev@mail</t>
  </si>
  <si>
    <t>01.06.2036</t>
  </si>
  <si>
    <t xml:space="preserve">Зинченко Ольга Павловна</t>
  </si>
  <si>
    <t>19.10.1991</t>
  </si>
  <si>
    <t>zinchenko@yandex</t>
  </si>
  <si>
    <t>2036-06-10</t>
  </si>
  <si>
    <t xml:space="preserve">Столяров Илья Викторович</t>
  </si>
  <si>
    <t>01.04.1973</t>
  </si>
  <si>
    <t>stolyarov@gmail</t>
  </si>
  <si>
    <t>10.06.2036</t>
  </si>
  <si>
    <t xml:space="preserve">Галкина Екатерина Сергеевна</t>
  </si>
  <si>
    <t>14.07.1986</t>
  </si>
  <si>
    <t>01.07.2036</t>
  </si>
  <si>
    <t xml:space="preserve">Коробов Андрей Олегович</t>
  </si>
  <si>
    <t>22.12.1982</t>
  </si>
  <si>
    <t>korobov@yandex</t>
  </si>
  <si>
    <t>2036-07-15</t>
  </si>
  <si>
    <t xml:space="preserve">Шапкина Мария Владимировна</t>
  </si>
  <si>
    <t>18.09.1977</t>
  </si>
  <si>
    <t>shapkina@gmail</t>
  </si>
  <si>
    <t>15.07.2036</t>
  </si>
  <si>
    <t xml:space="preserve">Винокуров Денис Алексеевич</t>
  </si>
  <si>
    <t>30.05.1993</t>
  </si>
  <si>
    <t>vinokurov@mail</t>
  </si>
  <si>
    <t>01.08.2036</t>
  </si>
  <si>
    <t xml:space="preserve">Трифонова Ольга Павловна</t>
  </si>
  <si>
    <t>23.11.1980</t>
  </si>
  <si>
    <t>trifonova@yandex</t>
  </si>
  <si>
    <t>2036-08-10</t>
  </si>
  <si>
    <t xml:space="preserve">Червяков Илья Александрович</t>
  </si>
  <si>
    <t>07.08.1985</t>
  </si>
  <si>
    <t>chervyakov@gmail</t>
  </si>
  <si>
    <t>10.08.2036</t>
  </si>
  <si>
    <t xml:space="preserve">Потапова Екатерина Сергеевна</t>
  </si>
  <si>
    <t>20.04.1978</t>
  </si>
  <si>
    <t>potapova@mail</t>
  </si>
  <si>
    <t>01.09.2036</t>
  </si>
  <si>
    <t xml:space="preserve">Рогов Андрей Викторович</t>
  </si>
  <si>
    <t>15.12.1984</t>
  </si>
  <si>
    <t>rogov@yandex</t>
  </si>
  <si>
    <t>2036-09-15</t>
  </si>
  <si>
    <t xml:space="preserve">Беспалова Мария Олеговна</t>
  </si>
  <si>
    <t>11.09.1989</t>
  </si>
  <si>
    <t>bespalova@gmail</t>
  </si>
  <si>
    <t>15.09.2036</t>
  </si>
  <si>
    <t xml:space="preserve">Окунев Денис Павлович</t>
  </si>
  <si>
    <t>03.02.1975</t>
  </si>
  <si>
    <t>okunev@mail</t>
  </si>
  <si>
    <t>01.10.2036</t>
  </si>
  <si>
    <t xml:space="preserve">Панова Ольга Владимировна</t>
  </si>
  <si>
    <t>26.10.1983</t>
  </si>
  <si>
    <t>2036-10-10</t>
  </si>
  <si>
    <t xml:space="preserve">Житков Илья Сергеевич</t>
  </si>
  <si>
    <t>17.06.1991</t>
  </si>
  <si>
    <t>zhitkov@gmail</t>
  </si>
  <si>
    <t>10.10.2036</t>
  </si>
  <si>
    <t xml:space="preserve">Кузьмичева Екатерина Алексеевна</t>
  </si>
  <si>
    <t>08.03.1979</t>
  </si>
  <si>
    <t>kuzmicheva@mail</t>
  </si>
  <si>
    <t>01.11.2036</t>
  </si>
  <si>
    <t xml:space="preserve">Филимонов Андрей Олегович</t>
  </si>
  <si>
    <t>25.08.1986</t>
  </si>
  <si>
    <t>filimonov@yandex</t>
  </si>
  <si>
    <t>2036-11-15</t>
  </si>
  <si>
    <t xml:space="preserve">Шестакова Мария Павловна</t>
  </si>
  <si>
    <t>19.12.1971</t>
  </si>
  <si>
    <t>shestakova@gmail</t>
  </si>
  <si>
    <t>15.11.2036</t>
  </si>
  <si>
    <t xml:space="preserve">Барышников Денис Викторович</t>
  </si>
  <si>
    <t>12.05.1982</t>
  </si>
  <si>
    <t>baryshnikov@mail</t>
  </si>
  <si>
    <t>01.12.2036</t>
  </si>
  <si>
    <t xml:space="preserve">Лапшина Ольга Сергеевна</t>
  </si>
  <si>
    <t>28.07.1988</t>
  </si>
  <si>
    <t>lapshina@yandex</t>
  </si>
  <si>
    <t>2036-12-10</t>
  </si>
  <si>
    <t xml:space="preserve">Сергеев Илья Николаевич</t>
  </si>
  <si>
    <t>04.10.1976</t>
  </si>
  <si>
    <t>sergeev@gmail</t>
  </si>
  <si>
    <t>10.12.2036</t>
  </si>
  <si>
    <t xml:space="preserve">Аникина Екатерина Владимировна</t>
  </si>
  <si>
    <t>23.01.1984</t>
  </si>
  <si>
    <t>anikina@mail</t>
  </si>
  <si>
    <t>01.01.2037</t>
  </si>
  <si>
    <t xml:space="preserve">Гуляев Андрей Олегович</t>
  </si>
  <si>
    <t>15.06.1990</t>
  </si>
  <si>
    <t>gulyaev@yandex</t>
  </si>
  <si>
    <t>2037-01-15</t>
  </si>
  <si>
    <t xml:space="preserve">Малышева Мария Сергеевна</t>
  </si>
  <si>
    <t>09.11.1977</t>
  </si>
  <si>
    <t>malysheva@gmail</t>
  </si>
  <si>
    <t>15.01.2037</t>
  </si>
  <si>
    <t xml:space="preserve">Снегирев Денис Павлович</t>
  </si>
  <si>
    <t>02.04.1985</t>
  </si>
  <si>
    <t>snegirev@mail</t>
  </si>
  <si>
    <t>01.02.2037</t>
  </si>
  <si>
    <t xml:space="preserve">Блохина Ольга Игоревна</t>
  </si>
  <si>
    <t>18.09.1992</t>
  </si>
  <si>
    <t>blohina@yandex</t>
  </si>
  <si>
    <t>2037-02-10</t>
  </si>
  <si>
    <t xml:space="preserve">Таранов Илья Александрович</t>
  </si>
  <si>
    <t>22.12.1973</t>
  </si>
  <si>
    <t>taranov@gmail</t>
  </si>
  <si>
    <t>10.02.2037</t>
  </si>
  <si>
    <t xml:space="preserve">Бобылева Екатерина Сергеевна</t>
  </si>
  <si>
    <t>bobyleva@mail</t>
  </si>
  <si>
    <t>01.03.2037</t>
  </si>
  <si>
    <t xml:space="preserve">Мочалов Андрей Павлович</t>
  </si>
  <si>
    <t>27.05.1988</t>
  </si>
  <si>
    <t>mochalov@yandex</t>
  </si>
  <si>
    <t>2037-03-15</t>
  </si>
  <si>
    <t xml:space="preserve">Курина Мария Владимировна</t>
  </si>
  <si>
    <t>13.10.1974</t>
  </si>
  <si>
    <t>kurina@gmail</t>
  </si>
  <si>
    <t>15.03.2037</t>
  </si>
  <si>
    <t xml:space="preserve">Клементьев Денис Олегович</t>
  </si>
  <si>
    <t>24.02.1983</t>
  </si>
  <si>
    <t>klementev@mail</t>
  </si>
  <si>
    <t>01.04.2037</t>
  </si>
  <si>
    <t xml:space="preserve">Носова Ольга Павловна</t>
  </si>
  <si>
    <t>06.09.1989</t>
  </si>
  <si>
    <t>nosova@yandex</t>
  </si>
  <si>
    <t>2037-04-10</t>
  </si>
  <si>
    <t xml:space="preserve">Ромашин Илья Викторович</t>
  </si>
  <si>
    <t>romashin@gmail</t>
  </si>
  <si>
    <t>10.04.2037</t>
  </si>
  <si>
    <t xml:space="preserve">Авдеева Екатерина Сергеевна</t>
  </si>
  <si>
    <t>12.04.1981</t>
  </si>
  <si>
    <t>avdeeva@mail</t>
  </si>
  <si>
    <t>01.05.2037</t>
  </si>
  <si>
    <t xml:space="preserve">Ларин Андрей Олегович</t>
  </si>
  <si>
    <t>28.07.1990</t>
  </si>
  <si>
    <t>larin@yandex</t>
  </si>
  <si>
    <t>2037-05-15</t>
  </si>
  <si>
    <t xml:space="preserve">Журавлева Мария Павловна</t>
  </si>
  <si>
    <t>16.12.1978</t>
  </si>
  <si>
    <t>zhuravleva@gmail</t>
  </si>
  <si>
    <t>15.05.2037</t>
  </si>
  <si>
    <t xml:space="preserve">Волков Денис Александрович</t>
  </si>
  <si>
    <t>09.03.1985</t>
  </si>
  <si>
    <t>volkov@mail</t>
  </si>
  <si>
    <t>01.06.2037</t>
  </si>
  <si>
    <t xml:space="preserve">Плотникова Ольга Владимировна</t>
  </si>
  <si>
    <t>25.06.1993</t>
  </si>
  <si>
    <t>plotnikova@yandex</t>
  </si>
  <si>
    <t>2037-06-10</t>
  </si>
  <si>
    <t xml:space="preserve">Кораблёв Илья Павлович</t>
  </si>
  <si>
    <t>01.10.1972</t>
  </si>
  <si>
    <t>korablyov@gmail</t>
  </si>
  <si>
    <t>10.06.2037</t>
  </si>
  <si>
    <t xml:space="preserve">Голубкова Екатерина Сергеевна</t>
  </si>
  <si>
    <t>14.08.1986</t>
  </si>
  <si>
    <t>golubkova@mail</t>
  </si>
  <si>
    <t>01.07.2037</t>
  </si>
  <si>
    <t xml:space="preserve">Уваров Андрей Викторович</t>
  </si>
  <si>
    <t>22.11.1981</t>
  </si>
  <si>
    <t>uvarov@yandex</t>
  </si>
  <si>
    <t>2037-07-15</t>
  </si>
  <si>
    <t xml:space="preserve">Чуприна Мария Олеговна</t>
  </si>
  <si>
    <t>18.09.1974</t>
  </si>
  <si>
    <t>chupra@gmail</t>
  </si>
  <si>
    <t>15.07.2037</t>
  </si>
  <si>
    <t xml:space="preserve">Ступин Денис Павлович</t>
  </si>
  <si>
    <t>07.05.1988</t>
  </si>
  <si>
    <t>stupin@mail</t>
  </si>
  <si>
    <t>01.08.2037</t>
  </si>
  <si>
    <t xml:space="preserve">Тимошина Ольга Сергеевна</t>
  </si>
  <si>
    <t>23.12.1991</t>
  </si>
  <si>
    <t>timoshina@yandex</t>
  </si>
  <si>
    <t>2037-08-10</t>
  </si>
  <si>
    <t xml:space="preserve">Кулаков Илья Алексеевич</t>
  </si>
  <si>
    <t>10.03.1977</t>
  </si>
  <si>
    <t>kulakov@gmail</t>
  </si>
  <si>
    <t>10.08.2037</t>
  </si>
  <si>
    <t xml:space="preserve">Казарина Екатерина Владимировна</t>
  </si>
  <si>
    <t>06.07.1983</t>
  </si>
  <si>
    <t>kazarina@mail</t>
  </si>
  <si>
    <t>01.09.2037</t>
  </si>
  <si>
    <t xml:space="preserve">Осинцев Андрей Олегович</t>
  </si>
  <si>
    <t>27.04.1990</t>
  </si>
  <si>
    <t>osintsev@yandex</t>
  </si>
  <si>
    <t>2037-09-15</t>
  </si>
  <si>
    <t xml:space="preserve">Седакова Мария Павловна</t>
  </si>
  <si>
    <t>19.11.1975</t>
  </si>
  <si>
    <t>sedakova@gmail</t>
  </si>
  <si>
    <t>15.09.2037</t>
  </si>
  <si>
    <t xml:space="preserve">Кузьмин Денис Викторович</t>
  </si>
  <si>
    <t>20.09.1984</t>
  </si>
  <si>
    <t>kuzmin@mail</t>
  </si>
  <si>
    <t>01.10.2037</t>
  </si>
  <si>
    <t xml:space="preserve">Кравцова Ольга Игоревна</t>
  </si>
  <si>
    <t>01.06.1987</t>
  </si>
  <si>
    <t>kravtsova@yandex</t>
  </si>
  <si>
    <t>2037-10-10</t>
  </si>
  <si>
    <t xml:space="preserve">Быстров Илья Александрович</t>
  </si>
  <si>
    <t>14.01.1979</t>
  </si>
  <si>
    <t>bystrov@gmail</t>
  </si>
  <si>
    <t>10.10.2037</t>
  </si>
  <si>
    <t xml:space="preserve">Сафонова Екатерина Сергеевна</t>
  </si>
  <si>
    <t>safonova@mail</t>
  </si>
  <si>
    <t>01.11.2037</t>
  </si>
  <si>
    <t xml:space="preserve">Рыбин Андрей Олегович</t>
  </si>
  <si>
    <t>16.10.1971</t>
  </si>
  <si>
    <t>rybin@yandex</t>
  </si>
  <si>
    <t>2037-11-15</t>
  </si>
  <si>
    <t xml:space="preserve">Пирогова Мария Владимировна</t>
  </si>
  <si>
    <t>15.07.1985</t>
  </si>
  <si>
    <t>pirogova@gmail</t>
  </si>
  <si>
    <t>15.11.2037</t>
  </si>
  <si>
    <t xml:space="preserve">Агафонов Денис Павлович</t>
  </si>
  <si>
    <t>08.05.1988</t>
  </si>
  <si>
    <t>agafonov@mail</t>
  </si>
  <si>
    <t>01.12.2037</t>
  </si>
  <si>
    <t xml:space="preserve">Соболева Ольга Сергеевна</t>
  </si>
  <si>
    <t>27.12.1980</t>
  </si>
  <si>
    <t>2037-12-10</t>
  </si>
  <si>
    <t xml:space="preserve">Кротов Илья Викторович</t>
  </si>
  <si>
    <t>22.02.1976</t>
  </si>
  <si>
    <t>krotov@gmail</t>
  </si>
  <si>
    <t>10.12.2037</t>
  </si>
  <si>
    <t xml:space="preserve">Судакова Екатерина Алексеевна</t>
  </si>
  <si>
    <t>12.11.1984</t>
  </si>
  <si>
    <t>sudakova@mail</t>
  </si>
  <si>
    <t>01.01.2038</t>
  </si>
  <si>
    <t xml:space="preserve">Белкин Андрей Олегович</t>
  </si>
  <si>
    <t>29.06.1990</t>
  </si>
  <si>
    <t>belkin@yandex</t>
  </si>
  <si>
    <t>2038-01-15</t>
  </si>
  <si>
    <t xml:space="preserve">Митрофанова Мария Павловна</t>
  </si>
  <si>
    <t>18.01.1973</t>
  </si>
  <si>
    <t>mitrofanova@gmail</t>
  </si>
  <si>
    <t>15.01.2038</t>
  </si>
  <si>
    <t xml:space="preserve">Лысов Денис Сергеевич</t>
  </si>
  <si>
    <t>07.09.1981</t>
  </si>
  <si>
    <t>lysov@mail</t>
  </si>
  <si>
    <t>01.02.2038</t>
  </si>
  <si>
    <t xml:space="preserve">Горбачева Ольга Владимировна</t>
  </si>
  <si>
    <t>24.07.1986</t>
  </si>
  <si>
    <t>gorbacheva@yandex</t>
  </si>
  <si>
    <t>2038-02-10</t>
  </si>
  <si>
    <t xml:space="preserve">Сыроваткин Илья Алексеевич</t>
  </si>
  <si>
    <t>01.12.1977</t>
  </si>
  <si>
    <t>syrovatkin@gmail</t>
  </si>
  <si>
    <t>10.02.2038</t>
  </si>
  <si>
    <t xml:space="preserve">Блинова Екатерина Сергеевна</t>
  </si>
  <si>
    <t>14.04.1983</t>
  </si>
  <si>
    <t>blinova@mail</t>
  </si>
  <si>
    <t>01.03.2038</t>
  </si>
  <si>
    <t xml:space="preserve">Кочнев Андрей Павлович</t>
  </si>
  <si>
    <t>21.10.1989</t>
  </si>
  <si>
    <t>kochnev@yandex</t>
  </si>
  <si>
    <t>2038-03-15</t>
  </si>
  <si>
    <t xml:space="preserve">Шаповалова Мария Олеговна</t>
  </si>
  <si>
    <t>11.03.1975</t>
  </si>
  <si>
    <t>15.03.2038</t>
  </si>
  <si>
    <t xml:space="preserve">Попов Денис Викторович</t>
  </si>
  <si>
    <t>05.08.1984</t>
  </si>
  <si>
    <t>popov@mail</t>
  </si>
  <si>
    <t>01.04.2038</t>
  </si>
  <si>
    <t xml:space="preserve">Тарасова Ольга Павловна</t>
  </si>
  <si>
    <t>26.11.1991</t>
  </si>
  <si>
    <t>tarasova@yandex</t>
  </si>
  <si>
    <t>2038-04-10</t>
  </si>
  <si>
    <t xml:space="preserve">Грибов Илья Александрович</t>
  </si>
  <si>
    <t>30.06.1972</t>
  </si>
  <si>
    <t>gribov@gmail</t>
  </si>
  <si>
    <t>10.04.2038</t>
  </si>
  <si>
    <t xml:space="preserve">Костюкова Екатерина Сергеевна</t>
  </si>
  <si>
    <t>16.09.1980</t>
  </si>
  <si>
    <t>kostyukova@mail</t>
  </si>
  <si>
    <t>01.05.2038</t>
  </si>
  <si>
    <t xml:space="preserve">Чеботарев Андрей Олегович</t>
  </si>
  <si>
    <t>22.03.1987</t>
  </si>
  <si>
    <t>chebotarev@yandex</t>
  </si>
  <si>
    <t>2038-05-15</t>
  </si>
  <si>
    <t xml:space="preserve">Зорина Мария Владимировна</t>
  </si>
  <si>
    <t>08.07.1976</t>
  </si>
  <si>
    <t>zorina@gmail</t>
  </si>
  <si>
    <t>15.05.2038</t>
  </si>
  <si>
    <t xml:space="preserve">Лопатин Денис Павлович</t>
  </si>
  <si>
    <t>01.06.2038</t>
  </si>
  <si>
    <t xml:space="preserve">Овсянникова Ольга Сергеевна</t>
  </si>
  <si>
    <t>01.05.1988</t>
  </si>
  <si>
    <t>ovsyannikova@yandex</t>
  </si>
  <si>
    <t>2038-06-10</t>
  </si>
  <si>
    <t xml:space="preserve">Руднев Илья Викторович</t>
  </si>
  <si>
    <t>17.10.1974</t>
  </si>
  <si>
    <t>rudnev@gmail</t>
  </si>
  <si>
    <t>10.06.2038</t>
  </si>
  <si>
    <t xml:space="preserve">Кулагина Екатерина Алексеевна</t>
  </si>
  <si>
    <t>25.02.1982</t>
  </si>
  <si>
    <t>kulagina@mail</t>
  </si>
  <si>
    <t>01.07.2038</t>
  </si>
  <si>
    <t xml:space="preserve">Прохоров Андрей Олегович</t>
  </si>
  <si>
    <t>prohorov@yandex</t>
  </si>
  <si>
    <t>2038-07-15</t>
  </si>
  <si>
    <t xml:space="preserve">Ермилова Мария Павловна</t>
  </si>
  <si>
    <t>15.12.1977</t>
  </si>
  <si>
    <t>15.07.2038</t>
  </si>
  <si>
    <t xml:space="preserve">Крайнов Денис Сергеевич</t>
  </si>
  <si>
    <t>29.04.1985</t>
  </si>
  <si>
    <t>kraynov@mail</t>
  </si>
  <si>
    <t>01.08.2038</t>
  </si>
  <si>
    <t xml:space="preserve">Московцева Ольга Владимировна</t>
  </si>
  <si>
    <t>03.09.1992</t>
  </si>
  <si>
    <t>moskovtseva@yandex</t>
  </si>
  <si>
    <t>2038-08-10</t>
  </si>
  <si>
    <t xml:space="preserve">Шапкин Илья Александрович</t>
  </si>
  <si>
    <t>16.11.1971</t>
  </si>
  <si>
    <t>shapkin@gmail</t>
  </si>
  <si>
    <t>10.08.2038</t>
  </si>
  <si>
    <t xml:space="preserve">Антонова Екатерина Сергеевна</t>
  </si>
  <si>
    <t>20.07.1980</t>
  </si>
  <si>
    <t>antonova@mail</t>
  </si>
  <si>
    <t>01.09.2038</t>
  </si>
  <si>
    <t xml:space="preserve">Рыжков Андрей Павлович</t>
  </si>
  <si>
    <t>08.03.1986</t>
  </si>
  <si>
    <t>ryzhkov@yandex</t>
  </si>
  <si>
    <t>2038-09-15</t>
  </si>
  <si>
    <t xml:space="preserve">Зеленина Мария Олеговна</t>
  </si>
  <si>
    <t>27.10.1975</t>
  </si>
  <si>
    <t>zelenina@gmail</t>
  </si>
  <si>
    <t>15.09.2038</t>
  </si>
  <si>
    <t xml:space="preserve">Суриков Денис Викторович</t>
  </si>
  <si>
    <t>13.05.1983</t>
  </si>
  <si>
    <t>sirikov@mail</t>
  </si>
  <si>
    <t>01.10.2038</t>
  </si>
  <si>
    <t xml:space="preserve">Петрова Ольга Павловна</t>
  </si>
  <si>
    <t>18.12.1988</t>
  </si>
  <si>
    <t>petrova@yandex</t>
  </si>
  <si>
    <t>2038-10-10</t>
  </si>
  <si>
    <t xml:space="preserve">Беляков Илья Алексеевич</t>
  </si>
  <si>
    <t>02.07.1977</t>
  </si>
  <si>
    <t>belyakov@gmail</t>
  </si>
  <si>
    <t>10.10.2038</t>
  </si>
  <si>
    <t xml:space="preserve">Фомина Екатерина Сергеевна</t>
  </si>
  <si>
    <t>22.02.1984</t>
  </si>
  <si>
    <t>fomina@mail</t>
  </si>
  <si>
    <t>01.11.2038</t>
  </si>
  <si>
    <t xml:space="preserve">Галкин Андрей Олегович</t>
  </si>
  <si>
    <t>14.09.1991</t>
  </si>
  <si>
    <t>galkin@yandex</t>
  </si>
  <si>
    <t>2038-11-15</t>
  </si>
  <si>
    <t xml:space="preserve">Чумакова Мария Владимировна</t>
  </si>
  <si>
    <t>09.04.1973</t>
  </si>
  <si>
    <t>chumakova@gmail</t>
  </si>
  <si>
    <t>15.11.2038</t>
  </si>
  <si>
    <t xml:space="preserve">Евсеев Денис Павлович</t>
  </si>
  <si>
    <t>26.11.1981</t>
  </si>
  <si>
    <t>evseev@mail</t>
  </si>
  <si>
    <t>01.12.2038</t>
  </si>
  <si>
    <t xml:space="preserve">Климова Ольга Сергеевна</t>
  </si>
  <si>
    <t>04.08.1987</t>
  </si>
  <si>
    <t>klimova@yandex</t>
  </si>
  <si>
    <t>2038-12-10</t>
  </si>
  <si>
    <t xml:space="preserve">Сазонов Илья Викторович</t>
  </si>
  <si>
    <t>18.10.1976</t>
  </si>
  <si>
    <t>sazonov@gmail</t>
  </si>
  <si>
    <t>10.12.2038</t>
  </si>
  <si>
    <t xml:space="preserve">Кузина Екатерина Алексеевна</t>
  </si>
  <si>
    <t>15.12.1980</t>
  </si>
  <si>
    <t>kuzina@mail</t>
  </si>
  <si>
    <t>01.01.2039</t>
  </si>
  <si>
    <t xml:space="preserve">Самойлов Андрей Олегович</t>
  </si>
  <si>
    <t>23.06.1985</t>
  </si>
  <si>
    <t>samoylov@yandex</t>
  </si>
  <si>
    <t>2039-01-15</t>
  </si>
  <si>
    <t xml:space="preserve">Трофимова Мария Павловна</t>
  </si>
  <si>
    <t>16.01.1979</t>
  </si>
  <si>
    <t>trofimova@gmail</t>
  </si>
  <si>
    <t>15.01.2039</t>
  </si>
  <si>
    <t xml:space="preserve">Власов Денис Сергеевич</t>
  </si>
  <si>
    <t>28.03.1984</t>
  </si>
  <si>
    <t>01.02.2039</t>
  </si>
  <si>
    <t xml:space="preserve">Андреева Ольга Владимировна</t>
  </si>
  <si>
    <t>07.07.1990</t>
  </si>
  <si>
    <t>andreeva@yandex</t>
  </si>
  <si>
    <t>2039-02-10</t>
  </si>
  <si>
    <t xml:space="preserve">Плотников Илья Александрович</t>
  </si>
  <si>
    <t>19.10.1973</t>
  </si>
  <si>
    <t>plotnikov@gmail</t>
  </si>
  <si>
    <t>10.02.2039</t>
  </si>
  <si>
    <t xml:space="preserve">Максимова Екатерина Сергеевна</t>
  </si>
  <si>
    <t>20.09.1982</t>
  </si>
  <si>
    <t>maksimova@mail</t>
  </si>
  <si>
    <t>01.03.2039</t>
  </si>
  <si>
    <t xml:space="preserve">Владимиров Андрей Павлович</t>
  </si>
  <si>
    <t>01.05.1987</t>
  </si>
  <si>
    <t>vladimirov@yandex</t>
  </si>
  <si>
    <t>2039-03-15</t>
  </si>
  <si>
    <t xml:space="preserve">Грибова Мария Олеговна</t>
  </si>
  <si>
    <t>22.12.1976</t>
  </si>
  <si>
    <t>gribova@gmail</t>
  </si>
  <si>
    <t>15.03.2039</t>
  </si>
  <si>
    <t xml:space="preserve">Курочкин Денис Викторович</t>
  </si>
  <si>
    <t>15.08.1983</t>
  </si>
  <si>
    <t>kurochkin@mail</t>
  </si>
  <si>
    <t>01.04.2039</t>
  </si>
  <si>
    <t xml:space="preserve">Соловьева Ольга Павловна</t>
  </si>
  <si>
    <t>solovieva@yandex</t>
  </si>
  <si>
    <t>2039-04-10</t>
  </si>
  <si>
    <t xml:space="preserve">Звягинцев Илья Алексеевич</t>
  </si>
  <si>
    <t>13.11.1974</t>
  </si>
  <si>
    <t>zvyagintsev@gmail</t>
  </si>
  <si>
    <t>10.04.2039</t>
  </si>
  <si>
    <t xml:space="preserve">Муромцева Екатерина Сергеевна</t>
  </si>
  <si>
    <t>09.06.1981</t>
  </si>
  <si>
    <t>muromtseva@mail</t>
  </si>
  <si>
    <t>01.05.2039</t>
  </si>
  <si>
    <t xml:space="preserve">Бакулин Андрей Олегович</t>
  </si>
  <si>
    <t>17.09.1992</t>
  </si>
  <si>
    <t>bakulin@yandex</t>
  </si>
  <si>
    <t>2039-05-15</t>
  </si>
  <si>
    <t xml:space="preserve">Корнеева Мария Владимировна</t>
  </si>
  <si>
    <t>30.01.1975</t>
  </si>
  <si>
    <t>korneeva@gmail</t>
  </si>
  <si>
    <t>15.05.2039</t>
  </si>
  <si>
    <t xml:space="preserve">Сидоров Денис Павлович</t>
  </si>
  <si>
    <t>08.07.1984</t>
  </si>
  <si>
    <t>sidorov@mail</t>
  </si>
  <si>
    <t>01.06.2039</t>
  </si>
  <si>
    <t xml:space="preserve">Бирюкова Ольга Сергеевна</t>
  </si>
  <si>
    <t>18.03.1990</t>
  </si>
  <si>
    <t>biryukova@yandex</t>
  </si>
  <si>
    <t>2039-06-10</t>
  </si>
  <si>
    <t xml:space="preserve">Елисеев Илья Викторович</t>
  </si>
  <si>
    <t>24.12.1977</t>
  </si>
  <si>
    <t>eliseev@gmail</t>
  </si>
  <si>
    <t>10.06.2039</t>
  </si>
  <si>
    <t xml:space="preserve">Демидова Екатерина Алексеевна</t>
  </si>
  <si>
    <t>21.10.1986</t>
  </si>
  <si>
    <t>demidova@mail</t>
  </si>
  <si>
    <t>01.07.2039</t>
  </si>
  <si>
    <t xml:space="preserve">Медведев Андрей Олегович</t>
  </si>
  <si>
    <t>07.08.1982</t>
  </si>
  <si>
    <t>2039-07-15</t>
  </si>
  <si>
    <t xml:space="preserve">Покровская Мария Павловна</t>
  </si>
  <si>
    <t>15.05.1973</t>
  </si>
  <si>
    <t>pokrovskaya@gmail</t>
  </si>
  <si>
    <t>15.07.2039</t>
  </si>
  <si>
    <t xml:space="preserve">Коршунов Денис Сергеевич</t>
  </si>
  <si>
    <t>03.11.1988</t>
  </si>
  <si>
    <t>korshunov@mail</t>
  </si>
  <si>
    <t>01.08.2039</t>
  </si>
  <si>
    <t xml:space="preserve">Алексеева Ольга Владимировна</t>
  </si>
  <si>
    <t>22.09.1985</t>
  </si>
  <si>
    <t>alekseeva@yandex</t>
  </si>
  <si>
    <t>2039-08-10</t>
  </si>
  <si>
    <t xml:space="preserve">Баринов Илья Александрович</t>
  </si>
  <si>
    <t>14.02.1978</t>
  </si>
  <si>
    <t>barinov@gmail</t>
  </si>
  <si>
    <t>10.08.2039</t>
  </si>
  <si>
    <t xml:space="preserve">Савельева Екатерина Сергеевна</t>
  </si>
  <si>
    <t>09.07.1991</t>
  </si>
  <si>
    <t>saveleva@mail</t>
  </si>
  <si>
    <t>01.09.2039</t>
  </si>
  <si>
    <t xml:space="preserve">Богданов Андрей Павлович</t>
  </si>
  <si>
    <t>29.01.1980</t>
  </si>
  <si>
    <t>2039-09-15</t>
  </si>
  <si>
    <t xml:space="preserve">Петрова Мария Олеговна</t>
  </si>
  <si>
    <t>18.12.1974</t>
  </si>
  <si>
    <t>15.09.2039</t>
  </si>
  <si>
    <t xml:space="preserve">Лукоянов Денис Викторович</t>
  </si>
  <si>
    <t>03.06.1983</t>
  </si>
  <si>
    <t>lukoyanov@mail</t>
  </si>
  <si>
    <t>01.10.2039</t>
  </si>
  <si>
    <t xml:space="preserve">Толмачева Ольга Павловна</t>
  </si>
  <si>
    <t>25.10.1989</t>
  </si>
  <si>
    <t>tolmacheva@yandex</t>
  </si>
  <si>
    <t>2039-10-10</t>
  </si>
  <si>
    <t xml:space="preserve">Зайцев Илья Алексеевич</t>
  </si>
  <si>
    <t>16.08.1976</t>
  </si>
  <si>
    <t>zaytsev@gmail</t>
  </si>
  <si>
    <t>10.10.2039</t>
  </si>
  <si>
    <t xml:space="preserve">Сидорова Екатерина Сергеевна</t>
  </si>
  <si>
    <t>12.05.1986</t>
  </si>
  <si>
    <t>sidorova@mail</t>
  </si>
  <si>
    <t>01.11.2039</t>
  </si>
  <si>
    <t xml:space="preserve">Соловьев Андрей Олегович</t>
  </si>
  <si>
    <t>20.02.1981</t>
  </si>
  <si>
    <t>soloviev@yandex</t>
  </si>
  <si>
    <t>2039-11-15</t>
  </si>
  <si>
    <t xml:space="preserve">Голубева Мария Владимировна</t>
  </si>
  <si>
    <t>31.07.1972</t>
  </si>
  <si>
    <t>golubeva@gmail</t>
  </si>
  <si>
    <t>15.11.2039</t>
  </si>
  <si>
    <t xml:space="preserve">Харитонов Денис Павлович</t>
  </si>
  <si>
    <t>13.10.1988</t>
  </si>
  <si>
    <t>01.12.2039</t>
  </si>
  <si>
    <t xml:space="preserve">Чернова Ольга Сергеевна</t>
  </si>
  <si>
    <t>28.12.1993</t>
  </si>
  <si>
    <t>2039-12-10</t>
  </si>
  <si>
    <t xml:space="preserve">Щербаков Илья Александрович</t>
  </si>
  <si>
    <t>16.04.1979</t>
  </si>
  <si>
    <t>scherbakov@gmail</t>
  </si>
  <si>
    <t>10.12.2039</t>
  </si>
  <si>
    <t xml:space="preserve">Колесникова Екатерина Алексеевна</t>
  </si>
  <si>
    <t>09.09.1984</t>
  </si>
  <si>
    <t>01.01.2040</t>
  </si>
  <si>
    <t xml:space="preserve">Тихонов Андрей Олегович</t>
  </si>
  <si>
    <t>21.11.1987</t>
  </si>
  <si>
    <t>2040-01-15</t>
  </si>
  <si>
    <t xml:space="preserve">Дубровина Мария Павловна</t>
  </si>
  <si>
    <t>02.07.1975</t>
  </si>
  <si>
    <t>dubrovina@gmail</t>
  </si>
  <si>
    <t>15.01.2040</t>
  </si>
  <si>
    <t xml:space="preserve">Ткаченко Денис Викторович</t>
  </si>
  <si>
    <t>11.03.1982</t>
  </si>
  <si>
    <t>01.02.2040</t>
  </si>
  <si>
    <t xml:space="preserve">Калинина Ольга Сергеевна</t>
  </si>
  <si>
    <t>2040-02-10</t>
  </si>
  <si>
    <t xml:space="preserve">Макаров Илья Алексеевич</t>
  </si>
  <si>
    <t>05.09.1973</t>
  </si>
  <si>
    <t>makarov@gmail</t>
  </si>
  <si>
    <t>10.02.2040</t>
  </si>
  <si>
    <t xml:space="preserve">Володина Екатерина Владимировна</t>
  </si>
  <si>
    <t>29.05.1986</t>
  </si>
  <si>
    <t>volodina@mail</t>
  </si>
  <si>
    <t>01.03.2040</t>
  </si>
  <si>
    <t xml:space="preserve">Понкратов Андрей Павлович</t>
  </si>
  <si>
    <t>17.01.1981</t>
  </si>
  <si>
    <t>ponkratov@yandex</t>
  </si>
  <si>
    <t>2040-03-15</t>
  </si>
  <si>
    <t xml:space="preserve">Маркина Мария Олеговна</t>
  </si>
  <si>
    <t>15.12.1978</t>
  </si>
  <si>
    <t>markina@gmail</t>
  </si>
  <si>
    <t>15.03.2040</t>
  </si>
  <si>
    <t xml:space="preserve">Гончаров Денис Сергеевич</t>
  </si>
  <si>
    <t>09.10.1985</t>
  </si>
  <si>
    <t>goncharov@mail</t>
  </si>
  <si>
    <t>01.04.2040</t>
  </si>
  <si>
    <t xml:space="preserve">Логинова Ольга Павловна</t>
  </si>
  <si>
    <t>03.06.1992</t>
  </si>
  <si>
    <t>loginova@yandex</t>
  </si>
  <si>
    <t>2040-04-10</t>
  </si>
  <si>
    <t xml:space="preserve">Ульянов Илья Викторович</t>
  </si>
  <si>
    <t>18.03.1974</t>
  </si>
  <si>
    <t>ulyanov@gmail</t>
  </si>
  <si>
    <t>10.04.2040</t>
  </si>
  <si>
    <t xml:space="preserve">Пушкарева Екатерина Сергеевна</t>
  </si>
  <si>
    <t>23.11.1982</t>
  </si>
  <si>
    <t>pushkareva@mail</t>
  </si>
  <si>
    <t>01.05.2040</t>
  </si>
  <si>
    <t xml:space="preserve">Никитин Андрей Олегович</t>
  </si>
  <si>
    <t>06.07.1989</t>
  </si>
  <si>
    <t>nikitin@yandex</t>
  </si>
  <si>
    <t>2040-05-15</t>
  </si>
  <si>
    <t xml:space="preserve">Старцева Мария Владимировна</t>
  </si>
  <si>
    <t>14.01.1976</t>
  </si>
  <si>
    <t>startseva@gmail</t>
  </si>
  <si>
    <t>15.05.2040</t>
  </si>
  <si>
    <t xml:space="preserve">Моргунов Денис Павлович</t>
  </si>
  <si>
    <t>27.09.1983</t>
  </si>
  <si>
    <t>morgunov@mail</t>
  </si>
  <si>
    <t>01.06.2040</t>
  </si>
  <si>
    <t xml:space="preserve">Астахова Ольга Сергеевна</t>
  </si>
  <si>
    <t>09.04.1988</t>
  </si>
  <si>
    <t>astahova@yandex</t>
  </si>
  <si>
    <t>2040-06-10</t>
  </si>
  <si>
    <t xml:space="preserve">Кириченко Илья Александрович</t>
  </si>
  <si>
    <t>19.08.1975</t>
  </si>
  <si>
    <t>kirichenko@gmail</t>
  </si>
  <si>
    <t>10.06.2040</t>
  </si>
  <si>
    <t xml:space="preserve">Борисова Екатерина Алексеевна</t>
  </si>
  <si>
    <t>03.11.1984</t>
  </si>
  <si>
    <t>borisova@mail</t>
  </si>
  <si>
    <t>01.07.2040</t>
  </si>
  <si>
    <t xml:space="preserve">Гусев Андрей Олегович</t>
  </si>
  <si>
    <t>16.02.1991</t>
  </si>
  <si>
    <t>gusev@yandex</t>
  </si>
  <si>
    <t>2040-07-15</t>
  </si>
  <si>
    <t xml:space="preserve">Серова Мария Павловна</t>
  </si>
  <si>
    <t>24.05.1977</t>
  </si>
  <si>
    <t>15.07.2040</t>
  </si>
  <si>
    <t xml:space="preserve">Чернов Денис Викторович</t>
  </si>
  <si>
    <t>10.08.1986</t>
  </si>
  <si>
    <t>chernov@mail</t>
  </si>
  <si>
    <t>01.08.2040</t>
  </si>
  <si>
    <t xml:space="preserve">Козлова Ольга Владимировна</t>
  </si>
  <si>
    <t>29.03.1980</t>
  </si>
  <si>
    <t>kozlova@yandex</t>
  </si>
  <si>
    <t>2040-08-10</t>
  </si>
  <si>
    <t xml:space="preserve">Орлов Илья Алексеевич</t>
  </si>
  <si>
    <t>16.12.1972</t>
  </si>
  <si>
    <t>orlov@gmail</t>
  </si>
  <si>
    <t>10.08.2040</t>
  </si>
  <si>
    <t xml:space="preserve">Панфилова Екатерина Сергеевна</t>
  </si>
  <si>
    <t>12.07.1985</t>
  </si>
  <si>
    <t>panfilova@mail</t>
  </si>
  <si>
    <t>01.09.2040</t>
  </si>
  <si>
    <t xml:space="preserve">Крутов Андрей Павлович</t>
  </si>
  <si>
    <t>21.10.1990</t>
  </si>
  <si>
    <t>krutov@yandex</t>
  </si>
  <si>
    <t>2040-09-15</t>
  </si>
  <si>
    <t xml:space="preserve">Силина Мария Олеговна</t>
  </si>
  <si>
    <t>08.06.1978</t>
  </si>
  <si>
    <t>silina@gmail</t>
  </si>
  <si>
    <t>15.09.2040</t>
  </si>
  <si>
    <t xml:space="preserve">Дорохов Денис Сергеевич</t>
  </si>
  <si>
    <t>17.01.1983</t>
  </si>
  <si>
    <t>dorohov@mail</t>
  </si>
  <si>
    <t>01.10.2040</t>
  </si>
  <si>
    <t xml:space="preserve">Семенова Ольга Павловна</t>
  </si>
  <si>
    <t>05.04.1987</t>
  </si>
  <si>
    <t>semenova@yandex</t>
  </si>
  <si>
    <t>2040-10-10</t>
  </si>
  <si>
    <t xml:space="preserve">Потапов Илья Викторович</t>
  </si>
  <si>
    <t>22.07.1974</t>
  </si>
  <si>
    <t>potapov@gmail</t>
  </si>
  <si>
    <t>10.10.2040</t>
  </si>
  <si>
    <t xml:space="preserve">Кудряшова Екатерина Алексеевна</t>
  </si>
  <si>
    <t>14.10.1982</t>
  </si>
  <si>
    <t>kudryashova@mail</t>
  </si>
  <si>
    <t>01.11.2040</t>
  </si>
  <si>
    <t xml:space="preserve">Семенюк Андрей Олегович</t>
  </si>
  <si>
    <t>08.02.1989</t>
  </si>
  <si>
    <t>semenyuk@yandex</t>
  </si>
  <si>
    <t>2040-11-15</t>
  </si>
  <si>
    <t xml:space="preserve">Устинова Мария Владимировна</t>
  </si>
  <si>
    <t>27.05.1979</t>
  </si>
  <si>
    <t>ustinova@gmail</t>
  </si>
  <si>
    <t>15.11.2040</t>
  </si>
  <si>
    <t xml:space="preserve">Баев Денис Павлович</t>
  </si>
  <si>
    <t>18.12.1985</t>
  </si>
  <si>
    <t>baev@mail</t>
  </si>
  <si>
    <t>01.12.2040</t>
  </si>
  <si>
    <t xml:space="preserve">Хрусталева Ольга Сергеевна</t>
  </si>
  <si>
    <t>01.08.1992</t>
  </si>
  <si>
    <t>hrustaleva@yandex</t>
  </si>
  <si>
    <t>2040-12-10</t>
  </si>
  <si>
    <t xml:space="preserve">Романов Илья Александрович</t>
  </si>
  <si>
    <t>23.03.1976</t>
  </si>
  <si>
    <t>romanov@gmail</t>
  </si>
  <si>
    <t>10.12.2040</t>
  </si>
  <si>
    <t xml:space="preserve">Добрынина Екатерина Владимировна</t>
  </si>
  <si>
    <t>07.11.1981</t>
  </si>
  <si>
    <t>dobrynina@mail</t>
  </si>
  <si>
    <t>01.01.2041</t>
  </si>
  <si>
    <t xml:space="preserve">Некрасов Андрей Олегович</t>
  </si>
  <si>
    <t>15.09.1988</t>
  </si>
  <si>
    <t>nekrasov@yandex</t>
  </si>
  <si>
    <t>2041-01-15</t>
  </si>
  <si>
    <t xml:space="preserve">Круглова Мария Павловна</t>
  </si>
  <si>
    <t>28.02.1973</t>
  </si>
  <si>
    <t>kruglova@gmail</t>
  </si>
  <si>
    <t>15.01.2041</t>
  </si>
  <si>
    <t xml:space="preserve">Артамонов Денис Викторович</t>
  </si>
  <si>
    <t>20.06.1985</t>
  </si>
  <si>
    <t>artamonov@mail</t>
  </si>
  <si>
    <t>01.02.2041</t>
  </si>
  <si>
    <t xml:space="preserve">Горюнова Ольга Сергеевна</t>
  </si>
  <si>
    <t>09.12.1990</t>
  </si>
  <si>
    <t>2041-02-10</t>
  </si>
  <si>
    <t xml:space="preserve">Мерзляков Илья Алексеевич</t>
  </si>
  <si>
    <t>25.04.1974</t>
  </si>
  <si>
    <t>merzlyakov@gmail</t>
  </si>
  <si>
    <t>10.02.2041</t>
  </si>
  <si>
    <t xml:space="preserve">Андрианова Екатерина Сергеевна</t>
  </si>
  <si>
    <t>16.07.1982</t>
  </si>
  <si>
    <t>andrianova@mail</t>
  </si>
  <si>
    <t>01.03.2041</t>
  </si>
  <si>
    <t xml:space="preserve">Рябов Андрей Павлович</t>
  </si>
  <si>
    <t>11.10.1989</t>
  </si>
  <si>
    <t>ryabov@yandex</t>
  </si>
  <si>
    <t>2041-03-15</t>
  </si>
  <si>
    <t xml:space="preserve">Саввина Мария Олеговна</t>
  </si>
  <si>
    <t>03.05.1975</t>
  </si>
  <si>
    <t>savvina@gmail</t>
  </si>
  <si>
    <t>15.03.2041</t>
  </si>
  <si>
    <t xml:space="preserve">Степанов Денис Викторович</t>
  </si>
  <si>
    <t>26.08.1984</t>
  </si>
  <si>
    <t>stepanov@mail</t>
  </si>
  <si>
    <t>01.04.2041</t>
  </si>
  <si>
    <t xml:space="preserve">Гаврилова Ольга Павловна</t>
  </si>
  <si>
    <t>19.01.1991</t>
  </si>
  <si>
    <t>gavrilova@yandex</t>
  </si>
  <si>
    <t>2041-04-10</t>
  </si>
  <si>
    <t xml:space="preserve">Кулешова Екатерина Алексеевна</t>
  </si>
  <si>
    <t>22.11.1978</t>
  </si>
  <si>
    <t>kuleshova@gmail</t>
  </si>
  <si>
    <t>10.04.2041</t>
  </si>
  <si>
    <t xml:space="preserve">Молчанов Илья Александрович</t>
  </si>
  <si>
    <t>14.09.1986</t>
  </si>
  <si>
    <t>molchanov@mail</t>
  </si>
  <si>
    <t>01.05.2041</t>
  </si>
  <si>
    <t xml:space="preserve">Пестова Мария Владимировна</t>
  </si>
  <si>
    <t>08.06.1983</t>
  </si>
  <si>
    <t>pestova@yandex</t>
  </si>
  <si>
    <t>2041-05-15</t>
  </si>
  <si>
    <t xml:space="preserve">Дроздов Андрей Олегович</t>
  </si>
  <si>
    <t>30.12.1977</t>
  </si>
  <si>
    <t>drozdov@gmail</t>
  </si>
  <si>
    <t>15.05.2041</t>
  </si>
  <si>
    <t xml:space="preserve">Дубинина Ольга Сергеевна</t>
  </si>
  <si>
    <t>23.03.1988</t>
  </si>
  <si>
    <t>dubinina@mail</t>
  </si>
  <si>
    <t>01.06.2041</t>
  </si>
  <si>
    <t xml:space="preserve">Корнилов Денис Павлович</t>
  </si>
  <si>
    <t>17.07.1981</t>
  </si>
  <si>
    <t>kornilov@yandex</t>
  </si>
  <si>
    <t>2041-06-10</t>
  </si>
  <si>
    <t xml:space="preserve">Соколова Екатерина Владимировна</t>
  </si>
  <si>
    <t>06.10.1976</t>
  </si>
  <si>
    <t>sokolova@gmail</t>
  </si>
  <si>
    <t>10.06.2041</t>
  </si>
  <si>
    <t xml:space="preserve">Ушаков Илья Александрович</t>
  </si>
  <si>
    <t>02.12.1984</t>
  </si>
  <si>
    <t>ushakov@mail</t>
  </si>
  <si>
    <t>01.07.2041</t>
  </si>
  <si>
    <t xml:space="preserve">Минаева Мария Павловна</t>
  </si>
  <si>
    <t>21.08.1992</t>
  </si>
  <si>
    <t>minaeva@yandex</t>
  </si>
  <si>
    <t>2041-07-15</t>
  </si>
  <si>
    <t xml:space="preserve">Герасимова Ольга Сергеевна</t>
  </si>
  <si>
    <t>14.04.1979</t>
  </si>
  <si>
    <t>gerasimova@gmail</t>
  </si>
  <si>
    <t>15.07.2041</t>
  </si>
  <si>
    <t xml:space="preserve">Печерский Денис Викторович</t>
  </si>
  <si>
    <t>28.06.1985</t>
  </si>
  <si>
    <t>pechersky@mail</t>
  </si>
  <si>
    <t>01.08.2041</t>
  </si>
  <si>
    <t xml:space="preserve">Карасева Екатерина Алексеевна</t>
  </si>
  <si>
    <t>17.12.1990</t>
  </si>
  <si>
    <t>karaseva@yandex</t>
  </si>
  <si>
    <t>2041-08-10</t>
  </si>
  <si>
    <t xml:space="preserve">Лукин Андрей Олегович</t>
  </si>
  <si>
    <t>09.02.1977</t>
  </si>
  <si>
    <t>10.08.2041</t>
  </si>
  <si>
    <t xml:space="preserve">Седова Мария Владимировна</t>
  </si>
  <si>
    <t>24.07.1983</t>
  </si>
  <si>
    <t>sedova@mail</t>
  </si>
  <si>
    <t>01.09.2041</t>
  </si>
  <si>
    <t xml:space="preserve">Новожилов Илья Алексеевич</t>
  </si>
  <si>
    <t>15.03.1988</t>
  </si>
  <si>
    <t>novozhilov@yandex</t>
  </si>
  <si>
    <t>2041-09-15</t>
  </si>
  <si>
    <t xml:space="preserve">Терентьева Ольга Павловна</t>
  </si>
  <si>
    <t>01.11.1974</t>
  </si>
  <si>
    <t>terenteva@gmail</t>
  </si>
  <si>
    <t>15.09.2041</t>
  </si>
  <si>
    <t xml:space="preserve">Горбатов Денис Сергеевич</t>
  </si>
  <si>
    <t>22.10.1982</t>
  </si>
  <si>
    <t>gorbatov@mail</t>
  </si>
  <si>
    <t>01.10.2041</t>
  </si>
  <si>
    <t xml:space="preserve">Шелестова Екатерина Сергеевна</t>
  </si>
  <si>
    <t>12.05.1989</t>
  </si>
  <si>
    <t>shelyostova@yandex</t>
  </si>
  <si>
    <t>2041-10-10</t>
  </si>
  <si>
    <t xml:space="preserve">Костин Андрей Павлович</t>
  </si>
  <si>
    <t>27.01.1976</t>
  </si>
  <si>
    <t>kostin@gmail</t>
  </si>
  <si>
    <t>10.10.2041</t>
  </si>
  <si>
    <t xml:space="preserve">Маслова Мария Олеговна</t>
  </si>
  <si>
    <t>05.09.1984</t>
  </si>
  <si>
    <t>maslova@mail</t>
  </si>
  <si>
    <t>01.11.2041</t>
  </si>
  <si>
    <t xml:space="preserve">Стекольщиков Денис Викторович</t>
  </si>
  <si>
    <t>14.12.1991</t>
  </si>
  <si>
    <t>stekolschikov@yandex</t>
  </si>
  <si>
    <t>2041-11-15</t>
  </si>
  <si>
    <t xml:space="preserve">Орехова Ольга Владимировна</t>
  </si>
  <si>
    <t>08.04.1977</t>
  </si>
  <si>
    <t>orehova@gmail</t>
  </si>
  <si>
    <t>15.11.2041</t>
  </si>
  <si>
    <t xml:space="preserve">Рябцев Илья Александрович</t>
  </si>
  <si>
    <t>29.08.1983</t>
  </si>
  <si>
    <t>ryabtsev@mail</t>
  </si>
  <si>
    <t>01.12.2041</t>
  </si>
  <si>
    <t xml:space="preserve">Клокова Екатерина Сергеевна</t>
  </si>
  <si>
    <t>19.12.1990</t>
  </si>
  <si>
    <t>klokova@yandex</t>
  </si>
  <si>
    <t>2041-12-10</t>
  </si>
  <si>
    <t xml:space="preserve">Шульгин Андрей Олегович</t>
  </si>
  <si>
    <t>02.06.1978</t>
  </si>
  <si>
    <t>shulgin@gmail</t>
  </si>
  <si>
    <t>10.12.2041</t>
  </si>
  <si>
    <t xml:space="preserve">Короткова Мария Павловна</t>
  </si>
  <si>
    <t>16.11.1985</t>
  </si>
  <si>
    <t>korotkova@mail</t>
  </si>
  <si>
    <t>01.01.2042</t>
  </si>
  <si>
    <t xml:space="preserve">Литвиненко Денис Викторович</t>
  </si>
  <si>
    <t>25.10.1982</t>
  </si>
  <si>
    <t>litvinenko@yandex</t>
  </si>
  <si>
    <t>2042-01-15</t>
  </si>
  <si>
    <t xml:space="preserve">Старкова Ольга Сергеевна</t>
  </si>
  <si>
    <t>23.07.1989</t>
  </si>
  <si>
    <t>starkova@gmail</t>
  </si>
  <si>
    <t>15.01.2042</t>
  </si>
  <si>
    <t xml:space="preserve">Паршин Илья Александрович</t>
  </si>
  <si>
    <t>parshin@mail</t>
  </si>
  <si>
    <t>01.02.2042</t>
  </si>
  <si>
    <t xml:space="preserve">Яковлева Екатерина Владимировна</t>
  </si>
  <si>
    <t>04.09.1983</t>
  </si>
  <si>
    <t>yakovleva@yandex</t>
  </si>
  <si>
    <t>2042-02-10</t>
  </si>
  <si>
    <t xml:space="preserve">Козырев Андрей Олегович</t>
  </si>
  <si>
    <t>17.05.1992</t>
  </si>
  <si>
    <t>kozyrev@gmail</t>
  </si>
  <si>
    <t>10.02.2042</t>
  </si>
  <si>
    <t xml:space="preserve">Батина Мария Павловна</t>
  </si>
  <si>
    <t>06.12.1977</t>
  </si>
  <si>
    <t>batina@mail</t>
  </si>
  <si>
    <t>01.03.2042</t>
  </si>
  <si>
    <t xml:space="preserve">Коротков Денис Сергеевич</t>
  </si>
  <si>
    <t>28.04.1986</t>
  </si>
  <si>
    <t>korotkov@yandex</t>
  </si>
  <si>
    <t>2042-03-15</t>
  </si>
  <si>
    <t xml:space="preserve">Соловьева Ольга Сергеевна</t>
  </si>
  <si>
    <t>02.08.1991</t>
  </si>
  <si>
    <t>solovieva@gmail</t>
  </si>
  <si>
    <t>15.03.2042</t>
  </si>
  <si>
    <t xml:space="preserve">Лаврентьев Илья Алексеевич</t>
  </si>
  <si>
    <t>19.06.1974</t>
  </si>
  <si>
    <t>lavrentiev@mail</t>
  </si>
  <si>
    <t>01.04.2042</t>
  </si>
  <si>
    <t xml:space="preserve">Алексахина Екатерина Сергеевна</t>
  </si>
  <si>
    <t>11.10.1980</t>
  </si>
  <si>
    <t>aleksahina@yandex</t>
  </si>
  <si>
    <t>2042-04-10</t>
  </si>
  <si>
    <t xml:space="preserve">Каменев Андрей Павлович</t>
  </si>
  <si>
    <t>30.01.1987</t>
  </si>
  <si>
    <t>kamenev@gmail</t>
  </si>
  <si>
    <t>10.04.2042</t>
  </si>
  <si>
    <t xml:space="preserve">Захарова Мария Олеговна</t>
  </si>
  <si>
    <t>22.07.1975</t>
  </si>
  <si>
    <t>zaharova@mail</t>
  </si>
  <si>
    <t>01.05.2042</t>
  </si>
  <si>
    <t xml:space="preserve">Стеклов Денис Викторович</t>
  </si>
  <si>
    <t>steklov@yandex</t>
  </si>
  <si>
    <t>2042-05-15</t>
  </si>
  <si>
    <t xml:space="preserve">Мишина Ольга Павловна</t>
  </si>
  <si>
    <t>mishina@gmail</t>
  </si>
  <si>
    <t>15.05.2042</t>
  </si>
  <si>
    <t xml:space="preserve">Шатохин Илья Александрович</t>
  </si>
  <si>
    <t>26.09.1973</t>
  </si>
  <si>
    <t>shatohin@mail</t>
  </si>
  <si>
    <t>01.06.2042</t>
  </si>
  <si>
    <t xml:space="preserve">Черепанова Екатерина Сергеевна</t>
  </si>
  <si>
    <t>14.03.1982</t>
  </si>
  <si>
    <t>cherepanova@yandex</t>
  </si>
  <si>
    <t>2042-06-10</t>
  </si>
  <si>
    <t xml:space="preserve">Пантелеев Андрей Олегович</t>
  </si>
  <si>
    <t>05.11.1990</t>
  </si>
  <si>
    <t>panteleev@gmail</t>
  </si>
  <si>
    <t>10.06.2042</t>
  </si>
  <si>
    <t xml:space="preserve">Букина Мария Владимировна</t>
  </si>
  <si>
    <t>18.06.1977</t>
  </si>
  <si>
    <t>bukina@mail</t>
  </si>
  <si>
    <t>01.07.2042</t>
  </si>
  <si>
    <t xml:space="preserve">Суворов Денис Павлович</t>
  </si>
  <si>
    <t>07.01.1985</t>
  </si>
  <si>
    <t>suvorov@yandex</t>
  </si>
  <si>
    <t>2042-07-15</t>
  </si>
  <si>
    <t xml:space="preserve">Погодина Ольга Сергеевна</t>
  </si>
  <si>
    <t>pogodina@gmail</t>
  </si>
  <si>
    <t>15.07.2042</t>
  </si>
  <si>
    <t xml:space="preserve">Карпов Илья Александрович</t>
  </si>
  <si>
    <t>karpov@mail</t>
  </si>
  <si>
    <t>01.08.2042</t>
  </si>
  <si>
    <t xml:space="preserve">Бычкова Екатерина Алексеевна</t>
  </si>
  <si>
    <t>03.10.1986</t>
  </si>
  <si>
    <t>bychkova@yandex</t>
  </si>
  <si>
    <t>2042-08-10</t>
  </si>
  <si>
    <t xml:space="preserve">Кукушкин Андрей Олегович</t>
  </si>
  <si>
    <t>29.12.1981</t>
  </si>
  <si>
    <t>kukushkin@gmail</t>
  </si>
  <si>
    <t>10.08.2042</t>
  </si>
  <si>
    <t xml:space="preserve">Старшинова Мария Павловна</t>
  </si>
  <si>
    <t>12.07.1976</t>
  </si>
  <si>
    <t>starshinova@mail</t>
  </si>
  <si>
    <t>01.09.2042</t>
  </si>
  <si>
    <t xml:space="preserve">Стрельников Денис Викторович</t>
  </si>
  <si>
    <t>23.09.1988</t>
  </si>
  <si>
    <t>strelnikov@yandex</t>
  </si>
  <si>
    <t>2042-09-15</t>
  </si>
  <si>
    <t xml:space="preserve">Березина Ольга Сергеевна</t>
  </si>
  <si>
    <t>14.02.1984</t>
  </si>
  <si>
    <t>berezina@gmail</t>
  </si>
  <si>
    <t>15.09.2042</t>
  </si>
  <si>
    <t xml:space="preserve">Сысоев Илья Алексеевич</t>
  </si>
  <si>
    <t>01.05.1973</t>
  </si>
  <si>
    <t>01.10.2042</t>
  </si>
  <si>
    <t xml:space="preserve">Жижина Екатерина Владимировна</t>
  </si>
  <si>
    <t>20.08.1980</t>
  </si>
  <si>
    <t>zhizhina@yandex</t>
  </si>
  <si>
    <t>2042-10-10</t>
  </si>
  <si>
    <t xml:space="preserve">Кривошеев Андрей Павлович</t>
  </si>
  <si>
    <t>11.12.1986</t>
  </si>
  <si>
    <t>krivosheev@gmail</t>
  </si>
  <si>
    <t>10.10.2042</t>
  </si>
  <si>
    <t xml:space="preserve">Вьюнова Мария Олеговна</t>
  </si>
  <si>
    <t>07.04.1977</t>
  </si>
  <si>
    <t>vyunova@mail</t>
  </si>
  <si>
    <t>01.11.2042</t>
  </si>
  <si>
    <t xml:space="preserve">Гладких Денис Сергеевич</t>
  </si>
  <si>
    <t>gladkih@yandex</t>
  </si>
  <si>
    <t>2042-11-15</t>
  </si>
  <si>
    <t xml:space="preserve">Емельянова Ольга Павловна</t>
  </si>
  <si>
    <t>09.10.1982</t>
  </si>
  <si>
    <t>emelyanova@gmail</t>
  </si>
  <si>
    <t>15.11.2042</t>
  </si>
  <si>
    <t xml:space="preserve">Семенчук Илья Александрович</t>
  </si>
  <si>
    <t>22.03.1974</t>
  </si>
  <si>
    <t>semenchuk@mail</t>
  </si>
  <si>
    <t>01.12.2042</t>
  </si>
  <si>
    <t xml:space="preserve">Огородникова Екатерина Сергеевна</t>
  </si>
  <si>
    <t>15.07.1989</t>
  </si>
  <si>
    <t>ogorodnikova@yandex</t>
  </si>
  <si>
    <t>2042-12-10</t>
  </si>
  <si>
    <t xml:space="preserve">Бессонов Андрей Олегович</t>
  </si>
  <si>
    <t>13.08.1985</t>
  </si>
  <si>
    <t>bessonov@gmail</t>
  </si>
  <si>
    <t>10.12.2042</t>
  </si>
  <si>
    <t xml:space="preserve">Верещагина Мария Владимировна</t>
  </si>
  <si>
    <t>18.06.1972</t>
  </si>
  <si>
    <t>vereschagina@mail</t>
  </si>
  <si>
    <t>01.01.2043</t>
  </si>
  <si>
    <t xml:space="preserve">Малинин Денис Павлович</t>
  </si>
  <si>
    <t>28.09.1983</t>
  </si>
  <si>
    <t>malinin@yandex</t>
  </si>
  <si>
    <t>2043-01-15</t>
  </si>
  <si>
    <t xml:space="preserve">Дубова Ольга Сергеевна</t>
  </si>
  <si>
    <t>04.12.1990</t>
  </si>
  <si>
    <t>dubova@gmail</t>
  </si>
  <si>
    <t>15.01.2043</t>
  </si>
  <si>
    <t xml:space="preserve">Старцев Илья Алексеевич</t>
  </si>
  <si>
    <t>25.05.1976</t>
  </si>
  <si>
    <t>startsev@mail</t>
  </si>
  <si>
    <t>01.02.2043</t>
  </si>
  <si>
    <t xml:space="preserve">Антипова Екатерина Владимировна</t>
  </si>
  <si>
    <t>30.10.1988</t>
  </si>
  <si>
    <t>antipova@yandex</t>
  </si>
  <si>
    <t>2043-02-10</t>
  </si>
  <si>
    <t xml:space="preserve">Марчук Андрей Олегович</t>
  </si>
  <si>
    <t>08.02.1981</t>
  </si>
  <si>
    <t>marchuk@gmail</t>
  </si>
  <si>
    <t>10.02.2043</t>
  </si>
  <si>
    <t xml:space="preserve">Завьялова Мария Павловна</t>
  </si>
  <si>
    <t>16.07.1979</t>
  </si>
  <si>
    <t>zavyalova@mail</t>
  </si>
  <si>
    <t>01.03.2043</t>
  </si>
  <si>
    <t xml:space="preserve">Балашов Денис Викторович</t>
  </si>
  <si>
    <t>19.09.1986</t>
  </si>
  <si>
    <t>balashov@yandex</t>
  </si>
  <si>
    <t>2043-03-15</t>
  </si>
  <si>
    <t xml:space="preserve">Борисенко Ольга Сергеевна</t>
  </si>
  <si>
    <t>01.01.1984</t>
  </si>
  <si>
    <t>borisenko@gmail</t>
  </si>
  <si>
    <t>15.03.2043</t>
  </si>
  <si>
    <t xml:space="preserve">Золотарев Илья Александрович</t>
  </si>
  <si>
    <t>17.11.1977</t>
  </si>
  <si>
    <t>zolotarev@mail</t>
  </si>
  <si>
    <t>01.04.2043</t>
  </si>
  <si>
    <t xml:space="preserve">Никольская Екатерина Алексеевна</t>
  </si>
  <si>
    <t>24.06.1992</t>
  </si>
  <si>
    <t>nikolskaya@yandex</t>
  </si>
  <si>
    <t>2043-04-10</t>
  </si>
  <si>
    <t xml:space="preserve">Шишкин Андрей Павлович</t>
  </si>
  <si>
    <t>23.12.1985</t>
  </si>
  <si>
    <t>shishkin@gmail</t>
  </si>
  <si>
    <t>10.04.2043</t>
  </si>
  <si>
    <t xml:space="preserve">Гущина Мария Олеговна</t>
  </si>
  <si>
    <t>01.05.2043</t>
  </si>
  <si>
    <t xml:space="preserve">Трушин Денис Сергеевич</t>
  </si>
  <si>
    <t>27.10.1989</t>
  </si>
  <si>
    <t>trushin@yandex</t>
  </si>
  <si>
    <t>2043-05-15</t>
  </si>
  <si>
    <t xml:space="preserve">Лаврикова Ольга Владимировна</t>
  </si>
  <si>
    <t>05.03.1982</t>
  </si>
  <si>
    <t>lavrikova@gmail</t>
  </si>
  <si>
    <t>15.05.2043</t>
  </si>
  <si>
    <t xml:space="preserve">Сластников Илья Алексеевич</t>
  </si>
  <si>
    <t>12.08.1976</t>
  </si>
  <si>
    <t>slastnikov@mail</t>
  </si>
  <si>
    <t>01.06.2043</t>
  </si>
  <si>
    <t xml:space="preserve">Кузьменко Екатерина Сергеевна</t>
  </si>
  <si>
    <t>21.04.1987</t>
  </si>
  <si>
    <t>kuzmenko@yandex</t>
  </si>
  <si>
    <t>2043-06-10</t>
  </si>
  <si>
    <t xml:space="preserve">Токаренко Андрей Олегович</t>
  </si>
  <si>
    <t>14.09.1983</t>
  </si>
  <si>
    <t>tokarenko@gmail</t>
  </si>
  <si>
    <t>10.06.2043</t>
  </si>
  <si>
    <t xml:space="preserve">Симонова Мария Павловна</t>
  </si>
  <si>
    <t>29.11.1970</t>
  </si>
  <si>
    <t>01.07.2043</t>
  </si>
  <si>
    <t xml:space="preserve">Царев Денис Викторович</t>
  </si>
  <si>
    <t>08.06.1988</t>
  </si>
  <si>
    <t>tsarev@yandex</t>
  </si>
  <si>
    <t>2043-07-15</t>
  </si>
  <si>
    <t xml:space="preserve">Крупина Ольга Сергеевна</t>
  </si>
  <si>
    <t>03.08.1978</t>
  </si>
  <si>
    <t>krupina@gmail</t>
  </si>
  <si>
    <t>15.07.2043</t>
  </si>
  <si>
    <t xml:space="preserve">Бурцев Илья Александрович</t>
  </si>
  <si>
    <t>16.10.1984</t>
  </si>
  <si>
    <t>burtsev@mail</t>
  </si>
  <si>
    <t>01.08.2043</t>
  </si>
  <si>
    <t xml:space="preserve">Илюхина Екатерина Владимировна</t>
  </si>
  <si>
    <t>ilyuhina@yandex</t>
  </si>
  <si>
    <t>2043-08-10</t>
  </si>
  <si>
    <t xml:space="preserve">Груздев Андрей Олегович</t>
  </si>
  <si>
    <t>25.05.1973</t>
  </si>
  <si>
    <t>gruzdev@gmail</t>
  </si>
  <si>
    <t>10.08.2043</t>
  </si>
  <si>
    <t xml:space="preserve">Новикова Мария Павловна</t>
  </si>
  <si>
    <t>11.07.1982</t>
  </si>
  <si>
    <t>novikova@mail</t>
  </si>
  <si>
    <t>01.09.2043</t>
  </si>
  <si>
    <t xml:space="preserve">Куликов Денис Сергеевич</t>
  </si>
  <si>
    <t>03.12.1989</t>
  </si>
  <si>
    <t>2043-09-15</t>
  </si>
  <si>
    <t xml:space="preserve">Быкова Ольга Владимировна</t>
  </si>
  <si>
    <t>07.09.1977</t>
  </si>
  <si>
    <t>bykova@gmail</t>
  </si>
  <si>
    <t>15.09.2043</t>
  </si>
  <si>
    <t xml:space="preserve">Щеглов Илья Алексеевич</t>
  </si>
  <si>
    <t>22.01.1985</t>
  </si>
  <si>
    <t>scheglov@mail</t>
  </si>
  <si>
    <t>01.10.2043</t>
  </si>
  <si>
    <t xml:space="preserve">Коровина Екатерина Сергеевна</t>
  </si>
  <si>
    <t>24.11.1992</t>
  </si>
  <si>
    <t>korovina@yandex</t>
  </si>
  <si>
    <t>2043-10-10</t>
  </si>
  <si>
    <t xml:space="preserve">Денисов Андрей Олегович</t>
  </si>
  <si>
    <t>02.06.1976</t>
  </si>
  <si>
    <t>denisov@gmail</t>
  </si>
  <si>
    <t>10.10.2043</t>
  </si>
  <si>
    <t xml:space="preserve">Ковалева Мария Павловна</t>
  </si>
  <si>
    <t>18.10.1983</t>
  </si>
  <si>
    <t>kovaleva@mail</t>
  </si>
  <si>
    <t>01.11.2043</t>
  </si>
  <si>
    <t xml:space="preserve">Сердюков Денис Викторович</t>
  </si>
  <si>
    <t>09.03.1990</t>
  </si>
  <si>
    <t>serdyukov@yandex</t>
  </si>
  <si>
    <t>2043-11-15</t>
  </si>
  <si>
    <t xml:space="preserve">Долгова Ольга Сергеевна</t>
  </si>
  <si>
    <t>14.12.1979</t>
  </si>
  <si>
    <t>dolgova@gmail</t>
  </si>
  <si>
    <t>15.11.2043</t>
  </si>
  <si>
    <t xml:space="preserve">Пирогов Илья Александрович</t>
  </si>
  <si>
    <t>pirogov@mail</t>
  </si>
  <si>
    <t>01.12.2043</t>
  </si>
  <si>
    <t xml:space="preserve">Зубкова Екатерина Владимировна</t>
  </si>
  <si>
    <t>30.08.1981</t>
  </si>
  <si>
    <t>zubkova@yandex</t>
  </si>
  <si>
    <t>2043-12-10</t>
  </si>
  <si>
    <t xml:space="preserve">Суслов Андрей Олегович</t>
  </si>
  <si>
    <t>05.11.1972</t>
  </si>
  <si>
    <t>suslov@gmail</t>
  </si>
  <si>
    <t>10.12.2043</t>
  </si>
  <si>
    <t xml:space="preserve">Куракина Мария Олеговна</t>
  </si>
  <si>
    <t>16.07.1985</t>
  </si>
  <si>
    <t>kurakina@mail</t>
  </si>
  <si>
    <t>01.01.2044</t>
  </si>
  <si>
    <t xml:space="preserve">Калашников Денис Павлович</t>
  </si>
  <si>
    <t>kalashnikov@yandex</t>
  </si>
  <si>
    <t>2044-01-15</t>
  </si>
  <si>
    <t xml:space="preserve">Гриднева Ольга Сергеевна</t>
  </si>
  <si>
    <t>02.09.1974</t>
  </si>
  <si>
    <t>gridneva@gmail</t>
  </si>
  <si>
    <t>15.01.2044</t>
  </si>
  <si>
    <t xml:space="preserve">Маслов Илья Александрович</t>
  </si>
  <si>
    <t>23.03.1983</t>
  </si>
  <si>
    <t>maslov@mail</t>
  </si>
  <si>
    <t>01.02.2044</t>
  </si>
  <si>
    <t xml:space="preserve">Александрова Екатерина Сергеевна</t>
  </si>
  <si>
    <t>10.12.1991</t>
  </si>
  <si>
    <t>aleksandrova@yandex</t>
  </si>
  <si>
    <t>2044-02-10</t>
  </si>
  <si>
    <t xml:space="preserve">Косогоров Андрей Олегович</t>
  </si>
  <si>
    <t>15.08.1977</t>
  </si>
  <si>
    <t>kosogorov@gmail</t>
  </si>
  <si>
    <t>10.02.2044</t>
  </si>
  <si>
    <t xml:space="preserve">Свиридова Мария Павловна</t>
  </si>
  <si>
    <t>29.10.1984</t>
  </si>
  <si>
    <t>sviridova@mail</t>
  </si>
  <si>
    <t>01.03.2044</t>
  </si>
  <si>
    <t xml:space="preserve">Бондарь Денис Викторович</t>
  </si>
  <si>
    <t>07.06.1990</t>
  </si>
  <si>
    <t>bondar@yandex</t>
  </si>
  <si>
    <t>2044-03-15</t>
  </si>
  <si>
    <t xml:space="preserve">Кузьмина Ольга Сергеевна</t>
  </si>
  <si>
    <t>19.01.1976</t>
  </si>
  <si>
    <t>15.03.2044</t>
  </si>
  <si>
    <t xml:space="preserve">Федосов Илья Алексеевич</t>
  </si>
  <si>
    <t>fedosov@mail</t>
  </si>
  <si>
    <t>01.04.2044</t>
  </si>
  <si>
    <t xml:space="preserve">Иващенко Екатерина Владимировна</t>
  </si>
  <si>
    <t>14.11.1988</t>
  </si>
  <si>
    <t>ivaschenko@yandex</t>
  </si>
  <si>
    <t>2044-04-10</t>
  </si>
  <si>
    <t xml:space="preserve">Поляков Андрей Олегович</t>
  </si>
  <si>
    <t>03.07.1975</t>
  </si>
  <si>
    <t>polyakov@gmail</t>
  </si>
  <si>
    <t>10.04.2044</t>
  </si>
  <si>
    <t xml:space="preserve">Павлова Мария Павловна</t>
  </si>
  <si>
    <t>21.02.1981</t>
  </si>
  <si>
    <t>01.05.2044</t>
  </si>
  <si>
    <t xml:space="preserve">Трунов Денис Сергеевич</t>
  </si>
  <si>
    <t>24.12.1986</t>
  </si>
  <si>
    <t>trunov@yandex</t>
  </si>
  <si>
    <t>2044-05-15</t>
  </si>
  <si>
    <t xml:space="preserve">Байкова Ольга Владимировна</t>
  </si>
  <si>
    <t>08.04.1973</t>
  </si>
  <si>
    <t>baykova@gmail</t>
  </si>
  <si>
    <t>15.05.2044</t>
  </si>
  <si>
    <t xml:space="preserve">Клишин Илья Александрович</t>
  </si>
  <si>
    <t>13.09.1985</t>
  </si>
  <si>
    <t>klishin@mail</t>
  </si>
  <si>
    <t>01.06.2044</t>
  </si>
  <si>
    <t xml:space="preserve">Ярцева Екатерина Сергеевна</t>
  </si>
  <si>
    <t>31.05.1992</t>
  </si>
  <si>
    <t>yartseva@yandex</t>
  </si>
  <si>
    <t>2044-06-10</t>
  </si>
  <si>
    <t xml:space="preserve">Касаткин Андрей Павлович</t>
  </si>
  <si>
    <t>02.08.1978</t>
  </si>
  <si>
    <t>kasatkin@gmail</t>
  </si>
  <si>
    <t>10.06.2044</t>
  </si>
  <si>
    <t xml:space="preserve">Мещерякова Мария Олеговна</t>
  </si>
  <si>
    <t>10.11.1984</t>
  </si>
  <si>
    <t>mescheryakovа@mail</t>
  </si>
  <si>
    <t>01.07.2044</t>
  </si>
  <si>
    <t xml:space="preserve">Жданов Денис Викторович</t>
  </si>
  <si>
    <t>17.03.1990</t>
  </si>
  <si>
    <t>zhdanov@yandex</t>
  </si>
  <si>
    <t>2044-07-15</t>
  </si>
  <si>
    <t xml:space="preserve">Куликова Ольга Павловна</t>
  </si>
  <si>
    <t>05.07.1979</t>
  </si>
  <si>
    <t>kulikova@gmail</t>
  </si>
  <si>
    <t>15.07.2044</t>
  </si>
  <si>
    <t xml:space="preserve">Леднев Илья Алексеевич</t>
  </si>
  <si>
    <t>28.12.1983</t>
  </si>
  <si>
    <t>lednev@mail</t>
  </si>
  <si>
    <t>01.08.2044</t>
  </si>
  <si>
    <t xml:space="preserve">Соколовская Екатерина Сергеевна</t>
  </si>
  <si>
    <t>15.06.1987</t>
  </si>
  <si>
    <t>sokolovskaya@yandex</t>
  </si>
  <si>
    <t>2044-08-10</t>
  </si>
  <si>
    <t xml:space="preserve">Синельников Андрей Олегович</t>
  </si>
  <si>
    <t>20.02.1976</t>
  </si>
  <si>
    <t>sinelnikov@gmail</t>
  </si>
  <si>
    <t>10.08.2044</t>
  </si>
  <si>
    <t xml:space="preserve">Калинкина Мария Владимировна</t>
  </si>
  <si>
    <t>04.10.1982</t>
  </si>
  <si>
    <t>kalinkina@mail</t>
  </si>
  <si>
    <t>01.09.2044</t>
  </si>
  <si>
    <t xml:space="preserve">Загороднев Денис Павлович</t>
  </si>
  <si>
    <t>16.05.1991</t>
  </si>
  <si>
    <t>zagorodnev@yandex</t>
  </si>
  <si>
    <t>2044-09-15</t>
  </si>
  <si>
    <t xml:space="preserve">Басова Ольга Сергеевна</t>
  </si>
  <si>
    <t>22.09.1974</t>
  </si>
  <si>
    <t>basova@gmail</t>
  </si>
  <si>
    <t>15.09.2044</t>
  </si>
  <si>
    <t xml:space="preserve">Михайлов Илья Александрович</t>
  </si>
  <si>
    <t>03.02.1986</t>
  </si>
  <si>
    <t>mihaylov@mail</t>
  </si>
  <si>
    <t>01.10.2044</t>
  </si>
  <si>
    <t xml:space="preserve">Тарасюк Екатерина Владимировна</t>
  </si>
  <si>
    <t>14.10.1992</t>
  </si>
  <si>
    <t>tarasyuk@yandex</t>
  </si>
  <si>
    <t>2044-10-10</t>
  </si>
  <si>
    <t xml:space="preserve">Ожегов Андрей Олегович</t>
  </si>
  <si>
    <t>08.12.1977</t>
  </si>
  <si>
    <t>ozhegov@gmail</t>
  </si>
  <si>
    <t>10.10.2044</t>
  </si>
  <si>
    <t xml:space="preserve">Сидоренко Мария Павловна</t>
  </si>
  <si>
    <t>25.07.1985</t>
  </si>
  <si>
    <t>01.11.2044</t>
  </si>
  <si>
    <t xml:space="preserve">Черных Денис Сергеевич</t>
  </si>
  <si>
    <t>13.11.1980</t>
  </si>
  <si>
    <t>chernyh@yandex</t>
  </si>
  <si>
    <t>2044-11-15</t>
  </si>
  <si>
    <t xml:space="preserve">Зорина Ольга Владимировна</t>
  </si>
  <si>
    <t>19.04.1975</t>
  </si>
  <si>
    <t>15.11.2044</t>
  </si>
  <si>
    <t xml:space="preserve">Трошин Илья Александрович</t>
  </si>
  <si>
    <t>21.06.1987</t>
  </si>
  <si>
    <t>troshin@mail</t>
  </si>
  <si>
    <t>01.12.2044</t>
  </si>
  <si>
    <t xml:space="preserve">Леонова Екатерина Сергеевна</t>
  </si>
  <si>
    <t>09.12.1991</t>
  </si>
  <si>
    <t>leonova@yandex</t>
  </si>
  <si>
    <t>2044-12-10</t>
  </si>
  <si>
    <t xml:space="preserve">Зубков Андрей Олегович</t>
  </si>
  <si>
    <t>27.08.1976</t>
  </si>
  <si>
    <t>zubkov@gmail</t>
  </si>
  <si>
    <t>10.12.2044</t>
  </si>
  <si>
    <t xml:space="preserve">Красикова Мария Павловна</t>
  </si>
  <si>
    <t>18.01.1983</t>
  </si>
  <si>
    <t>krasikova@mail</t>
  </si>
  <si>
    <t>01.01.2045</t>
  </si>
  <si>
    <t xml:space="preserve">Мусин Денис Викторович</t>
  </si>
  <si>
    <t>07.10.1989</t>
  </si>
  <si>
    <t>musin@yandex</t>
  </si>
  <si>
    <t>2045-01-15</t>
  </si>
  <si>
    <t xml:space="preserve">Руднева Ольга Сергеевна</t>
  </si>
  <si>
    <t>23.09.1978</t>
  </si>
  <si>
    <t>rudneva@gmail</t>
  </si>
  <si>
    <t>15.01.2045</t>
  </si>
  <si>
    <t xml:space="preserve">Кузьмин Илья Алексеевич</t>
  </si>
  <si>
    <t>15.05.1985</t>
  </si>
  <si>
    <t>01.02.2045</t>
  </si>
  <si>
    <t xml:space="preserve">Шатилова Екатерина Владимировна</t>
  </si>
  <si>
    <t>04.11.1992</t>
  </si>
  <si>
    <t>shatilova@yandex</t>
  </si>
  <si>
    <t>2045-02-10</t>
  </si>
  <si>
    <t xml:space="preserve">Петрухин Андрей Олегович</t>
  </si>
  <si>
    <t>02.07.1973</t>
  </si>
  <si>
    <t>petruhin@gmail</t>
  </si>
  <si>
    <t>10.02.2045</t>
  </si>
  <si>
    <t xml:space="preserve">Стрекалова Мария Павловна</t>
  </si>
  <si>
    <t>strekalova@mail</t>
  </si>
  <si>
    <t>01.03.2045</t>
  </si>
  <si>
    <t xml:space="preserve">Назаров Денис Сергеевич</t>
  </si>
  <si>
    <t>18.03.1986</t>
  </si>
  <si>
    <t>2045-03-15</t>
  </si>
  <si>
    <t xml:space="preserve">Иванищева Ольга Владимировна</t>
  </si>
  <si>
    <t>10.08.1974</t>
  </si>
  <si>
    <t>ivanischeva@gmail</t>
  </si>
  <si>
    <t>15.03.2045</t>
  </si>
  <si>
    <t xml:space="preserve">Спирин Илья Александрович</t>
  </si>
  <si>
    <t>spirin@mail</t>
  </si>
  <si>
    <t>01.04.2045</t>
  </si>
  <si>
    <t xml:space="preserve">Гурьева Екатерина Сергеевна</t>
  </si>
  <si>
    <t>24.04.1991</t>
  </si>
  <si>
    <t>gurieva@yandex</t>
  </si>
  <si>
    <t>2045-04-10</t>
  </si>
  <si>
    <t xml:space="preserve">Митрохин Андрей Олегович</t>
  </si>
  <si>
    <t>17.06.1979</t>
  </si>
  <si>
    <t>mitrohin@gmail</t>
  </si>
  <si>
    <t>10.04.2045</t>
  </si>
  <si>
    <t xml:space="preserve">Скоробогатова Мария Павловна</t>
  </si>
  <si>
    <t>06.11.1988</t>
  </si>
  <si>
    <t>skorobogatova@mail</t>
  </si>
  <si>
    <t>01.05.2045</t>
  </si>
  <si>
    <t xml:space="preserve">Чижов Денис Викторович</t>
  </si>
  <si>
    <t>30.07.1983</t>
  </si>
  <si>
    <t>chizhov@yandex</t>
  </si>
  <si>
    <t>2045-05-15</t>
  </si>
  <si>
    <t xml:space="preserve">Лукина Ольга Сергеевна</t>
  </si>
  <si>
    <t>21.10.1975</t>
  </si>
  <si>
    <t>lukina@gmail</t>
  </si>
  <si>
    <t>15.05.2045</t>
  </si>
  <si>
    <t xml:space="preserve">Белоус Илья Алексеевич</t>
  </si>
  <si>
    <t>19.12.1980</t>
  </si>
  <si>
    <t>belous@mail</t>
  </si>
  <si>
    <t>01.06.2045</t>
  </si>
  <si>
    <t xml:space="preserve">Алексеева Екатерина Владимировна</t>
  </si>
  <si>
    <t>08.02.1987</t>
  </si>
  <si>
    <t>2045-06-10</t>
  </si>
  <si>
    <t xml:space="preserve">Постников Андрей Олегович</t>
  </si>
  <si>
    <t>postnikov@gmail</t>
  </si>
  <si>
    <t>10.06.2045</t>
  </si>
  <si>
    <t xml:space="preserve">Кравец Мария Павловна</t>
  </si>
  <si>
    <t>03.05.1976</t>
  </si>
  <si>
    <t>kravets@mail</t>
  </si>
  <si>
    <t>01.07.2045</t>
  </si>
  <si>
    <t xml:space="preserve">Кураев Денис Сергеевич</t>
  </si>
  <si>
    <t>14.08.1985</t>
  </si>
  <si>
    <t>kuraev@yandex</t>
  </si>
  <si>
    <t>2045-07-15</t>
  </si>
  <si>
    <t xml:space="preserve">Абрамова Ольга Владимировна</t>
  </si>
  <si>
    <t>abramova@gmail</t>
  </si>
  <si>
    <t>15.07.2045</t>
  </si>
  <si>
    <t xml:space="preserve">Зайцев Илья Александрович</t>
  </si>
  <si>
    <t>09.01.1974</t>
  </si>
  <si>
    <t>zaytsev@mail</t>
  </si>
  <si>
    <t>01.08.2045</t>
  </si>
  <si>
    <t xml:space="preserve">Горюнова Екатерина Сергеевна</t>
  </si>
  <si>
    <t>2045-08-10</t>
  </si>
  <si>
    <t xml:space="preserve">Пичугин Андрей Олегович</t>
  </si>
  <si>
    <t>05.12.1989</t>
  </si>
  <si>
    <t>pichugin@gmail</t>
  </si>
  <si>
    <t>10.08.2045</t>
  </si>
  <si>
    <t xml:space="preserve">Воронова Мария Павловна</t>
  </si>
  <si>
    <t>23.04.1977</t>
  </si>
  <si>
    <t>voronova@mail</t>
  </si>
  <si>
    <t>01.09.2045</t>
  </si>
  <si>
    <t xml:space="preserve">Балабанов Денис Викторович</t>
  </si>
  <si>
    <t>15.09.1984</t>
  </si>
  <si>
    <t>balabanov@yandex</t>
  </si>
  <si>
    <t>2045-09-15</t>
  </si>
  <si>
    <t xml:space="preserve">Скачкова Ольга Сергеевна</t>
  </si>
  <si>
    <t>28.10.1990</t>
  </si>
  <si>
    <t>15.09.2045</t>
  </si>
  <si>
    <t xml:space="preserve">Лобанов Илья Александрович</t>
  </si>
  <si>
    <t>19.02.1973</t>
  </si>
  <si>
    <t>lobanov@mail</t>
  </si>
  <si>
    <t>01.10.2045</t>
  </si>
  <si>
    <t xml:space="preserve">Хомякова Екатерина Владимировна</t>
  </si>
  <si>
    <t>06.06.1986</t>
  </si>
  <si>
    <t>homyakova@yandex</t>
  </si>
  <si>
    <t>2045-10-10</t>
  </si>
  <si>
    <t xml:space="preserve">Стукалов Андрей Олегович</t>
  </si>
  <si>
    <t>25.12.1981</t>
  </si>
  <si>
    <t>stukalov@gmail</t>
  </si>
  <si>
    <t>10.10.2045</t>
  </si>
  <si>
    <t xml:space="preserve">Морозова Мария Павловна</t>
  </si>
  <si>
    <t>16.08.1975</t>
  </si>
  <si>
    <t>morozova@mail</t>
  </si>
  <si>
    <t>01.11.2045</t>
  </si>
  <si>
    <t xml:space="preserve">Кутузов Денис Сергеевич</t>
  </si>
  <si>
    <t>07.03.1992</t>
  </si>
  <si>
    <t>kutuzov@yandex</t>
  </si>
  <si>
    <t>2045-11-15</t>
  </si>
  <si>
    <t xml:space="preserve">Федотова Ольга Владимировна</t>
  </si>
  <si>
    <t>19.10.1983</t>
  </si>
  <si>
    <t>fedotova@gmail</t>
  </si>
  <si>
    <t>15.11.2045</t>
  </si>
  <si>
    <t xml:space="preserve">Воробьев Илья Александрович</t>
  </si>
  <si>
    <t>22.07.1978</t>
  </si>
  <si>
    <t>vorobyev@mail</t>
  </si>
  <si>
    <t>01.12.2045</t>
  </si>
  <si>
    <t xml:space="preserve">Селиванова Екатерина Сергеевна</t>
  </si>
  <si>
    <t>11.09.1988</t>
  </si>
  <si>
    <t>selivanova@yandex</t>
  </si>
  <si>
    <t>2045-12-10</t>
  </si>
  <si>
    <t xml:space="preserve">Третьяков Андрей Олегович</t>
  </si>
  <si>
    <t>14.05.1971</t>
  </si>
  <si>
    <t>tretyakov@gmail</t>
  </si>
  <si>
    <t>10.12.2045</t>
  </si>
  <si>
    <t xml:space="preserve">Решетникова Мария Павловна</t>
  </si>
  <si>
    <t>reshetnikova@mail</t>
  </si>
  <si>
    <t>01.01.2046</t>
  </si>
  <si>
    <t xml:space="preserve">Попков Денис Викторович</t>
  </si>
  <si>
    <t>18.06.1990</t>
  </si>
  <si>
    <t>popkov@yandex</t>
  </si>
  <si>
    <t>2046-01-15</t>
  </si>
  <si>
    <t xml:space="preserve">Шевцова Ольга Сергеевна</t>
  </si>
  <si>
    <t>24.08.1977</t>
  </si>
  <si>
    <t>shevtsova@gmail</t>
  </si>
  <si>
    <t>15.01.2046</t>
  </si>
  <si>
    <t xml:space="preserve">Казаков Илья Александрович</t>
  </si>
  <si>
    <t>09.01.1983</t>
  </si>
  <si>
    <t>kazakov@mail</t>
  </si>
  <si>
    <t>01.02.2046</t>
  </si>
  <si>
    <t xml:space="preserve">Кречетова Екатерина Владимировна</t>
  </si>
  <si>
    <t>16.11.1991</t>
  </si>
  <si>
    <t>krechetova@yandex</t>
  </si>
  <si>
    <t>2046-02-10</t>
  </si>
  <si>
    <t xml:space="preserve">Алёшин Андрей Олегович</t>
  </si>
  <si>
    <t>03.12.1972</t>
  </si>
  <si>
    <t>aleshin@gmail</t>
  </si>
  <si>
    <t>10.02.2046</t>
  </si>
  <si>
    <t xml:space="preserve">Парфёнова Мария Павловна</t>
  </si>
  <si>
    <t>27.07.1986</t>
  </si>
  <si>
    <t>parfyonova@mail</t>
  </si>
  <si>
    <t>01.03.2046</t>
  </si>
  <si>
    <t xml:space="preserve">Гаврилов Денис Сергеевич</t>
  </si>
  <si>
    <t>gavrilov@yandex</t>
  </si>
  <si>
    <t>2046-03-15</t>
  </si>
  <si>
    <t xml:space="preserve">Корчагина Ольга Владимировна</t>
  </si>
  <si>
    <t>13.10.1984</t>
  </si>
  <si>
    <t>korchagina@gmail</t>
  </si>
  <si>
    <t>15.03.2046</t>
  </si>
  <si>
    <t xml:space="preserve">Гуляева Екатерина Александровна</t>
  </si>
  <si>
    <t>21.05.1974</t>
  </si>
  <si>
    <t>gulyaeva@mail</t>
  </si>
  <si>
    <t>01.04.2046</t>
  </si>
  <si>
    <t xml:space="preserve">Бережной Илья Викторович</t>
  </si>
  <si>
    <t>08.08.1982</t>
  </si>
  <si>
    <t>berezhnoy@yandex</t>
  </si>
  <si>
    <t>2046-04-10</t>
  </si>
  <si>
    <t xml:space="preserve">Булатова Мария Олеговна</t>
  </si>
  <si>
    <t>bulatova@gmail</t>
  </si>
  <si>
    <t>10.04.2046</t>
  </si>
  <si>
    <t xml:space="preserve">Капустин Андрей Павлович</t>
  </si>
  <si>
    <t>29.09.1975</t>
  </si>
  <si>
    <t>kapustin@mail</t>
  </si>
  <si>
    <t>01.05.2046</t>
  </si>
  <si>
    <t>03.12.1981</t>
  </si>
  <si>
    <t>2046-05-15</t>
  </si>
  <si>
    <t xml:space="preserve">Барсуков Денис Викторович</t>
  </si>
  <si>
    <t>19.01.1987</t>
  </si>
  <si>
    <t>barsukov@gmail</t>
  </si>
  <si>
    <t>15.05.2046</t>
  </si>
  <si>
    <t xml:space="preserve">Мосина Екатерина Владимировна</t>
  </si>
  <si>
    <t>01.06.2046</t>
  </si>
  <si>
    <t xml:space="preserve">Вершинин Илья Александрович</t>
  </si>
  <si>
    <t>24.06.1978</t>
  </si>
  <si>
    <t>vershinin@yandex</t>
  </si>
  <si>
    <t>2046-06-10</t>
  </si>
  <si>
    <t xml:space="preserve">Волова Мария Павловна</t>
  </si>
  <si>
    <t>15.04.1984</t>
  </si>
  <si>
    <t>volova@gmail</t>
  </si>
  <si>
    <t>10.06.2046</t>
  </si>
  <si>
    <t xml:space="preserve">Мезенцев Андрей Олегович</t>
  </si>
  <si>
    <t>mezencev@mail</t>
  </si>
  <si>
    <t>01.07.2046</t>
  </si>
  <si>
    <t xml:space="preserve">Аксенова Ольга Сергеевна</t>
  </si>
  <si>
    <t>07.12.1973</t>
  </si>
  <si>
    <t>aksenova@yandex</t>
  </si>
  <si>
    <t>2046-07-15</t>
  </si>
  <si>
    <t xml:space="preserve">Смолин Денис Павлович</t>
  </si>
  <si>
    <t>19.05.1986</t>
  </si>
  <si>
    <t>smolin@gmail</t>
  </si>
  <si>
    <t>15.07.2046</t>
  </si>
  <si>
    <t xml:space="preserve">Сергиенко Екатерина Владимировна</t>
  </si>
  <si>
    <t>04.11.1990</t>
  </si>
  <si>
    <t>sergienko@mail</t>
  </si>
  <si>
    <t>01.08.2046</t>
  </si>
  <si>
    <t xml:space="preserve">Брусницын Илья Александрович</t>
  </si>
  <si>
    <t>08.10.1981</t>
  </si>
  <si>
    <t>brusnitsyn@yandex</t>
  </si>
  <si>
    <t>2046-08-10</t>
  </si>
  <si>
    <t xml:space="preserve">Виноградова Мария Павловна</t>
  </si>
  <si>
    <t>17.03.1975</t>
  </si>
  <si>
    <t>vinogradova@gmail</t>
  </si>
  <si>
    <t>10.08.2046</t>
  </si>
  <si>
    <t xml:space="preserve">Грачев Андрей Олегович</t>
  </si>
  <si>
    <t>23.07.1988</t>
  </si>
  <si>
    <t>grachev@mail</t>
  </si>
  <si>
    <t>01.09.2046</t>
  </si>
  <si>
    <t xml:space="preserve">Тимофеева Ольга Сергеевна</t>
  </si>
  <si>
    <t>21.01.1983</t>
  </si>
  <si>
    <t>timofeeva@yandex</t>
  </si>
  <si>
    <t>2046-09-15</t>
  </si>
  <si>
    <t xml:space="preserve">Смирнов Денис Викторович</t>
  </si>
  <si>
    <t>14.12.1976</t>
  </si>
  <si>
    <t>smirnov@gmail</t>
  </si>
  <si>
    <t>15.09.2046</t>
  </si>
  <si>
    <t xml:space="preserve">Ерохина Екатерина Владимировна</t>
  </si>
  <si>
    <t>03.04.1984</t>
  </si>
  <si>
    <t>erohina@mail</t>
  </si>
  <si>
    <t>01.10.2046</t>
  </si>
  <si>
    <t xml:space="preserve">Пелевин Илья Александрович</t>
  </si>
  <si>
    <t>06.08.1991</t>
  </si>
  <si>
    <t>pelevin@yandex</t>
  </si>
  <si>
    <t>2046-10-10</t>
  </si>
  <si>
    <t xml:space="preserve">Кирсанова Мария Павловна</t>
  </si>
  <si>
    <t>kirsanova@gmail</t>
  </si>
  <si>
    <t>10.10.2046</t>
  </si>
  <si>
    <t xml:space="preserve">Белозеров Андрей Олегович</t>
  </si>
  <si>
    <t>16.09.1986</t>
  </si>
  <si>
    <t>belozerov@mail</t>
  </si>
  <si>
    <t>01.11.2046</t>
  </si>
  <si>
    <t xml:space="preserve">Пучкова Ольга Сергеевна</t>
  </si>
  <si>
    <t>29.11.1992</t>
  </si>
  <si>
    <t>puchkova@yandex</t>
  </si>
  <si>
    <t>2046-11-15</t>
  </si>
  <si>
    <t xml:space="preserve">Костин Денис Павлович</t>
  </si>
  <si>
    <t>12.10.1978</t>
  </si>
  <si>
    <t>15.11.2046</t>
  </si>
  <si>
    <t xml:space="preserve">Попова Екатерина Владимировна</t>
  </si>
  <si>
    <t>24.08.1982</t>
  </si>
  <si>
    <t>01.12.2046</t>
  </si>
  <si>
    <t xml:space="preserve">Сазонов Илья Александрович</t>
  </si>
  <si>
    <t>07.12.1989</t>
  </si>
  <si>
    <t>sazonov@yandex</t>
  </si>
  <si>
    <t>2046-12-10</t>
  </si>
  <si>
    <t xml:space="preserve">Кузьменко Андрей Олегович</t>
  </si>
  <si>
    <t>05.05.1977</t>
  </si>
  <si>
    <t>kuzmenko@gmail</t>
  </si>
  <si>
    <t>10.12.2046</t>
  </si>
  <si>
    <t xml:space="preserve">Герасимов Денис Викторович</t>
  </si>
  <si>
    <t>gerasimov@mail</t>
  </si>
  <si>
    <t>01.01.2047</t>
  </si>
  <si>
    <t xml:space="preserve">Михайлова Ольга Сергеевна</t>
  </si>
  <si>
    <t>27.03.1990</t>
  </si>
  <si>
    <t>mihaylova@yandex</t>
  </si>
  <si>
    <t>2047-01-15</t>
  </si>
  <si>
    <t xml:space="preserve">Чеботарева Мария Павловна</t>
  </si>
  <si>
    <t>03.08.1974</t>
  </si>
  <si>
    <t>chebotareva@gmail</t>
  </si>
  <si>
    <t>15.01.2047</t>
  </si>
  <si>
    <t xml:space="preserve">Стрелков Андрей Олегович</t>
  </si>
  <si>
    <t>12.06.1983</t>
  </si>
  <si>
    <t>01.02.2047</t>
  </si>
  <si>
    <t xml:space="preserve">Доброва Екатерина Владимировна</t>
  </si>
  <si>
    <t>19.10.1988</t>
  </si>
  <si>
    <t>dobrova@yandex</t>
  </si>
  <si>
    <t>2047-02-10</t>
  </si>
  <si>
    <t xml:space="preserve">Калачев Илья Александрович</t>
  </si>
  <si>
    <t>04.07.1973</t>
  </si>
  <si>
    <t>kalachev@gmail</t>
  </si>
  <si>
    <t>10.02.2047</t>
  </si>
  <si>
    <t xml:space="preserve">Пахомова Мария Павловна</t>
  </si>
  <si>
    <t>23.12.1980</t>
  </si>
  <si>
    <t>pahomova@mail</t>
  </si>
  <si>
    <t>01.03.2047</t>
  </si>
  <si>
    <t xml:space="preserve">Усков Денис Сергеевич</t>
  </si>
  <si>
    <t>09.05.1986</t>
  </si>
  <si>
    <t>uskov@yandex</t>
  </si>
  <si>
    <t>2047-03-15</t>
  </si>
  <si>
    <t xml:space="preserve">Кудрявцева Ольга Владимировна</t>
  </si>
  <si>
    <t>11.09.1991</t>
  </si>
  <si>
    <t>kudryavtseva@gmail</t>
  </si>
  <si>
    <t>15.03.2047</t>
  </si>
  <si>
    <t xml:space="preserve">Миллер Андрей Олегович</t>
  </si>
  <si>
    <t>18.01.1976</t>
  </si>
  <si>
    <t>miller@mail</t>
  </si>
  <si>
    <t>01.04.2047</t>
  </si>
  <si>
    <t xml:space="preserve">Степанова Екатерина Сергеевна</t>
  </si>
  <si>
    <t>06.07.1984</t>
  </si>
  <si>
    <t>2047-04-10</t>
  </si>
  <si>
    <t xml:space="preserve">Прокопьев Илья Александрович</t>
  </si>
  <si>
    <t>01.03.1982</t>
  </si>
  <si>
    <t>prokopyev@gmail</t>
  </si>
  <si>
    <t>10.04.2047</t>
  </si>
  <si>
    <t xml:space="preserve">Игнатьева Мария Павловна</t>
  </si>
  <si>
    <t>24.08.1978</t>
  </si>
  <si>
    <t>ignatieva@mail</t>
  </si>
  <si>
    <t>01.05.2047</t>
  </si>
  <si>
    <t xml:space="preserve">Сидоров Денис Викторович</t>
  </si>
  <si>
    <t>17.12.1987</t>
  </si>
  <si>
    <t>sidorov@yandex</t>
  </si>
  <si>
    <t>2047-05-15</t>
  </si>
  <si>
    <t xml:space="preserve">Петрова Ольга Сергеевна</t>
  </si>
  <si>
    <t>28.11.1972</t>
  </si>
  <si>
    <t>15.05.2047</t>
  </si>
  <si>
    <t xml:space="preserve">Ларионов Андрей Олегович</t>
  </si>
  <si>
    <t>22.05.1983</t>
  </si>
  <si>
    <t>larionov@mail</t>
  </si>
  <si>
    <t>01.06.2047</t>
  </si>
  <si>
    <t xml:space="preserve">Зубова Екатерина Владимировна</t>
  </si>
  <si>
    <t>14.07.1990</t>
  </si>
  <si>
    <t>zubova@yandex</t>
  </si>
  <si>
    <t>2047-06-10</t>
  </si>
  <si>
    <t xml:space="preserve">Киреев Денис Сергеевич</t>
  </si>
  <si>
    <t>08.09.1975</t>
  </si>
  <si>
    <t>kireev@gmail</t>
  </si>
  <si>
    <t>10.06.2047</t>
  </si>
  <si>
    <t xml:space="preserve">Крупнова Мария Павловна</t>
  </si>
  <si>
    <t>26.03.1981</t>
  </si>
  <si>
    <t>krupnova@mail</t>
  </si>
  <si>
    <t>01.07.2047</t>
  </si>
  <si>
    <t xml:space="preserve">Масленников Илья Александрович</t>
  </si>
  <si>
    <t>30.10.1986</t>
  </si>
  <si>
    <t>maslennikov@yandex</t>
  </si>
  <si>
    <t>2047-07-15</t>
  </si>
  <si>
    <t xml:space="preserve">Широкова Ольга Сергеевна</t>
  </si>
  <si>
    <t>17.12.1991</t>
  </si>
  <si>
    <t>15.07.2047</t>
  </si>
  <si>
    <t xml:space="preserve">Рубцов Андрей Олегович</t>
  </si>
  <si>
    <t>11.08.1976</t>
  </si>
  <si>
    <t>rubtsov@mail</t>
  </si>
  <si>
    <t>01.08.2047</t>
  </si>
  <si>
    <t xml:space="preserve">Ковалева Екатерина Владимировна</t>
  </si>
  <si>
    <t>02.06.1984</t>
  </si>
  <si>
    <t>kovaleva@yandex</t>
  </si>
  <si>
    <t>2047-08-10</t>
  </si>
  <si>
    <t xml:space="preserve">Чижиков Илья Александрович</t>
  </si>
  <si>
    <t>19.11.1988</t>
  </si>
  <si>
    <t>chizhikov@gmail</t>
  </si>
  <si>
    <t>10.08.2047</t>
  </si>
  <si>
    <t xml:space="preserve">Борзова Мария Павловна</t>
  </si>
  <si>
    <t>borzova@mail</t>
  </si>
  <si>
    <t>01.09.2047</t>
  </si>
  <si>
    <t xml:space="preserve">Трофимов Денис Викторович</t>
  </si>
  <si>
    <t>27.03.1985</t>
  </si>
  <si>
    <t>trofimov@yandex</t>
  </si>
  <si>
    <t>2047-09-15</t>
  </si>
  <si>
    <t xml:space="preserve">Кузьмичева Ольга Сергеевна</t>
  </si>
  <si>
    <t>05.07.1992</t>
  </si>
  <si>
    <t>kuzmicheva@gmail</t>
  </si>
  <si>
    <t>15.09.2047</t>
  </si>
  <si>
    <t xml:space="preserve">Голованов Андрей Олегович</t>
  </si>
  <si>
    <t>24.02.1973</t>
  </si>
  <si>
    <t>golovanov@mail</t>
  </si>
  <si>
    <t>01.10.2047</t>
  </si>
  <si>
    <t xml:space="preserve">Гущин Илья Александрович</t>
  </si>
  <si>
    <t>15.12.1981</t>
  </si>
  <si>
    <t>guschin@yandex</t>
  </si>
  <si>
    <t>2047-10-10</t>
  </si>
  <si>
    <t xml:space="preserve">Кашкаева Екатерина Владимировна</t>
  </si>
  <si>
    <t>21.08.1987</t>
  </si>
  <si>
    <t>kashkaeva@gmail</t>
  </si>
  <si>
    <t>10.10.2047</t>
  </si>
  <si>
    <t xml:space="preserve">Лобачева Мария Павловна</t>
  </si>
  <si>
    <t>07.10.1977</t>
  </si>
  <si>
    <t>lobacheva@mail</t>
  </si>
  <si>
    <t>01.11.2047</t>
  </si>
  <si>
    <t xml:space="preserve">Ершов Денис Сергеевич</t>
  </si>
  <si>
    <t>30.11.1990</t>
  </si>
  <si>
    <t>ershov@yandex</t>
  </si>
  <si>
    <t>2047-11-15</t>
  </si>
  <si>
    <t xml:space="preserve">Петухова Ольга Сергеевна</t>
  </si>
  <si>
    <t>16.05.1983</t>
  </si>
  <si>
    <t>petuhova@gmail</t>
  </si>
  <si>
    <t>15.11.2047</t>
  </si>
  <si>
    <t xml:space="preserve">Козлов Андрей Олегович</t>
  </si>
  <si>
    <t>09.01.1978</t>
  </si>
  <si>
    <t>kozlov@mail</t>
  </si>
  <si>
    <t>01.12.2047</t>
  </si>
  <si>
    <t xml:space="preserve">Волкова Екатерина Владимировна</t>
  </si>
  <si>
    <t>24.07.1985</t>
  </si>
  <si>
    <t>2047-12-10</t>
  </si>
  <si>
    <t xml:space="preserve">Коробков Илья Александрович</t>
  </si>
  <si>
    <t>12.09.1992</t>
  </si>
  <si>
    <t>korobkov@gmail</t>
  </si>
  <si>
    <t>10.12.2047</t>
  </si>
  <si>
    <t xml:space="preserve">Родионова Мария Павловна</t>
  </si>
  <si>
    <t>18.12.1976</t>
  </si>
  <si>
    <t>rodionova@mail</t>
  </si>
  <si>
    <t>01.01.2048</t>
  </si>
  <si>
    <t xml:space="preserve">Кириллов Денис Викторович</t>
  </si>
  <si>
    <t>03.11.1981</t>
  </si>
  <si>
    <t>kirillov@yandex</t>
  </si>
  <si>
    <t>2048-01-15</t>
  </si>
  <si>
    <t xml:space="preserve">Жукова Ольга Сергеевна</t>
  </si>
  <si>
    <t>25.06.1989</t>
  </si>
  <si>
    <t>zhukova@gmail</t>
  </si>
  <si>
    <t>15.01.2048</t>
  </si>
  <si>
    <t xml:space="preserve">Чесноков Андрей Олегович</t>
  </si>
  <si>
    <t>15.03.1975</t>
  </si>
  <si>
    <t>chesnokov@mail</t>
  </si>
  <si>
    <t>01.02.2048</t>
  </si>
  <si>
    <t xml:space="preserve">Дьякова Екатерина Владимировна</t>
  </si>
  <si>
    <t>05.07.1982</t>
  </si>
  <si>
    <t>dyakova@yandex</t>
  </si>
  <si>
    <t>2048-02-10</t>
  </si>
  <si>
    <t xml:space="preserve">Лесин Илья Александрович</t>
  </si>
  <si>
    <t>27.10.1990</t>
  </si>
  <si>
    <t>lesin@gmail</t>
  </si>
  <si>
    <t>10.02.2048</t>
  </si>
  <si>
    <t xml:space="preserve">Матвеева Мария Павловна</t>
  </si>
  <si>
    <t>matveeva@mail</t>
  </si>
  <si>
    <t>01.03.2048</t>
  </si>
  <si>
    <t xml:space="preserve">Смирнова Ольга Сергеевна</t>
  </si>
  <si>
    <t>22.04.1973</t>
  </si>
  <si>
    <t>smirnova@yandex</t>
  </si>
  <si>
    <t>2048-03-15</t>
  </si>
  <si>
    <t xml:space="preserve">Букин Денис Викторович</t>
  </si>
  <si>
    <t>bukin@gmail</t>
  </si>
  <si>
    <t>15.03.2048</t>
  </si>
  <si>
    <t xml:space="preserve">Стрельцова Екатерина Владимировна</t>
  </si>
  <si>
    <t>02.02.1991</t>
  </si>
  <si>
    <t>streltsova@mail</t>
  </si>
  <si>
    <t>01.04.2048</t>
  </si>
  <si>
    <t xml:space="preserve">Марков Андрей Олегович</t>
  </si>
  <si>
    <t>28.05.1987</t>
  </si>
  <si>
    <t>markov@yandex</t>
  </si>
  <si>
    <t>2048-04-10</t>
  </si>
  <si>
    <t xml:space="preserve">Позднякова Мария Павловна</t>
  </si>
  <si>
    <t>19.06.1975</t>
  </si>
  <si>
    <t>pozdnyakova@gmail</t>
  </si>
  <si>
    <t>10.04.2048</t>
  </si>
  <si>
    <t xml:space="preserve">Левченко Денис Сергеевич</t>
  </si>
  <si>
    <t>levchenko@mail</t>
  </si>
  <si>
    <t>01.05.2048</t>
  </si>
  <si>
    <t>15.11.1989</t>
  </si>
  <si>
    <t>2048-05-15</t>
  </si>
  <si>
    <t xml:space="preserve">Севастьянов Илья Александрович</t>
  </si>
  <si>
    <t>22.03.1976</t>
  </si>
  <si>
    <t>sevastyanov@gmail</t>
  </si>
  <si>
    <t>15.05.2048</t>
  </si>
  <si>
    <t xml:space="preserve">Кузьмина Екатерина Сергеевна</t>
  </si>
  <si>
    <t>12.09.1984</t>
  </si>
  <si>
    <t>kuzmina@mail</t>
  </si>
  <si>
    <t>01.06.2048</t>
  </si>
  <si>
    <t xml:space="preserve">Матвеев Андрей Олегович</t>
  </si>
  <si>
    <t>27.06.1991</t>
  </si>
  <si>
    <t>matveev@yandex</t>
  </si>
  <si>
    <t>2048-06-10</t>
  </si>
  <si>
    <t xml:space="preserve">Удальцова Мария Павловна</t>
  </si>
  <si>
    <t>20.01.1977</t>
  </si>
  <si>
    <t>udaltsova@gmail</t>
  </si>
  <si>
    <t>10.06.2048</t>
  </si>
  <si>
    <t xml:space="preserve">Хабаров Денис Викторович</t>
  </si>
  <si>
    <t>16.12.1985</t>
  </si>
  <si>
    <t>01.07.2048</t>
  </si>
  <si>
    <t xml:space="preserve">Гуренкова Ольга Сергеевна</t>
  </si>
  <si>
    <t>28.05.1980</t>
  </si>
  <si>
    <t>gurenkova@yandex</t>
  </si>
  <si>
    <t>2048-07-15</t>
  </si>
  <si>
    <t xml:space="preserve">Щепин Илья Александрович</t>
  </si>
  <si>
    <t>02.10.1974</t>
  </si>
  <si>
    <t>schepin@gmail</t>
  </si>
  <si>
    <t>15.07.2048</t>
  </si>
  <si>
    <t xml:space="preserve">Ахметова Екатерина Владимировна</t>
  </si>
  <si>
    <t>11.07.1986</t>
  </si>
  <si>
    <t>ahmetova@mail</t>
  </si>
  <si>
    <t>01.08.2048</t>
  </si>
  <si>
    <t xml:space="preserve">Кузьмин Денис Павлович</t>
  </si>
  <si>
    <t>18.08.1992</t>
  </si>
  <si>
    <t>kuzmin@yandex</t>
  </si>
  <si>
    <t>2048-08-10</t>
  </si>
  <si>
    <t xml:space="preserve">Кирпичева Ольга Сергеевна</t>
  </si>
  <si>
    <t>04.03.1978</t>
  </si>
  <si>
    <t>kirpicheva@gmail</t>
  </si>
  <si>
    <t>10.08.2048</t>
  </si>
  <si>
    <t xml:space="preserve">Ефимов Андрей Олегович</t>
  </si>
  <si>
    <t>24.11.1983</t>
  </si>
  <si>
    <t>efimov@mail</t>
  </si>
  <si>
    <t>01.09.2048</t>
  </si>
  <si>
    <t xml:space="preserve">Светлова Мария Павловна</t>
  </si>
  <si>
    <t>08.12.1989</t>
  </si>
  <si>
    <t>svetlova@yandex</t>
  </si>
  <si>
    <t>2048-09-15</t>
  </si>
  <si>
    <t xml:space="preserve">Тихомиров Денис Сергеевич</t>
  </si>
  <si>
    <t>17.09.1975</t>
  </si>
  <si>
    <t>tihomirov@gmail</t>
  </si>
  <si>
    <t>15.09.2048</t>
  </si>
  <si>
    <t xml:space="preserve">Козыренко Ольга Владимировна</t>
  </si>
  <si>
    <t>28.04.1984</t>
  </si>
  <si>
    <t>kozyrenko@mail</t>
  </si>
  <si>
    <t>01.10.2048</t>
  </si>
  <si>
    <t xml:space="preserve">Чистякова Екатерина Сергеевна</t>
  </si>
  <si>
    <t>14.10.1991</t>
  </si>
  <si>
    <t>chistyakova@yandex</t>
  </si>
  <si>
    <t>2048-10-10</t>
  </si>
  <si>
    <t xml:space="preserve">Караваев Илья Александрович</t>
  </si>
  <si>
    <t>03.02.1976</t>
  </si>
  <si>
    <t>karavaev@gmail</t>
  </si>
  <si>
    <t>10.10.2048</t>
  </si>
  <si>
    <t xml:space="preserve">Бородина Мария Павловна</t>
  </si>
  <si>
    <t>25.07.1982</t>
  </si>
  <si>
    <t>borodina@mail</t>
  </si>
  <si>
    <t>01.11.2048</t>
  </si>
  <si>
    <t xml:space="preserve">Стрелков Денис Викторович</t>
  </si>
  <si>
    <t>05.01.1987</t>
  </si>
  <si>
    <t>strelkov@yandex</t>
  </si>
  <si>
    <t>2048-11-15</t>
  </si>
  <si>
    <t xml:space="preserve">Киселева Ольга Сергеевна</t>
  </si>
  <si>
    <t>12.08.1972</t>
  </si>
  <si>
    <t>15.11.2048</t>
  </si>
  <si>
    <t>09.12.1985</t>
  </si>
  <si>
    <t>gusev@mail</t>
  </si>
  <si>
    <t>01.12.2048</t>
  </si>
  <si>
    <t xml:space="preserve">Федосеева Екатерина Владимировна</t>
  </si>
  <si>
    <t>16.04.1990</t>
  </si>
  <si>
    <t>fedoseeva@yandex</t>
  </si>
  <si>
    <t>2048-12-10</t>
  </si>
  <si>
    <t xml:space="preserve">Балашов Илья Александрович</t>
  </si>
  <si>
    <t>06.06.1974</t>
  </si>
  <si>
    <t>balashov@gmail</t>
  </si>
  <si>
    <t>10.12.2048</t>
  </si>
  <si>
    <t xml:space="preserve">Панова Мария Павловна</t>
  </si>
  <si>
    <t>30.10.1981</t>
  </si>
  <si>
    <t>panova@mail</t>
  </si>
  <si>
    <t>01.01.2049</t>
  </si>
  <si>
    <t xml:space="preserve">Сафонов Денис Сергеевич</t>
  </si>
  <si>
    <t>21.09.1988</t>
  </si>
  <si>
    <t>safonov@yandex</t>
  </si>
  <si>
    <t>2049-01-15</t>
  </si>
  <si>
    <t xml:space="preserve">Кузьмина Ольга Владимировна</t>
  </si>
  <si>
    <t>15.01.2049</t>
  </si>
  <si>
    <t xml:space="preserve">Мандрыка Андрей Олегович</t>
  </si>
  <si>
    <t>09.02.1985</t>
  </si>
  <si>
    <t>mandryka@mail</t>
  </si>
  <si>
    <t>01.02.2049</t>
  </si>
  <si>
    <t xml:space="preserve">Варламова Екатерина Сергеевна</t>
  </si>
  <si>
    <t>01.05.1992</t>
  </si>
  <si>
    <t>varlamova@yandex</t>
  </si>
  <si>
    <t>2049-02-10</t>
  </si>
  <si>
    <t xml:space="preserve">Просвирнин Илья Александрович</t>
  </si>
  <si>
    <t>19.11.1973</t>
  </si>
  <si>
    <t>prosvirnin@gmail</t>
  </si>
  <si>
    <t>10.02.2049</t>
  </si>
  <si>
    <t xml:space="preserve">Анищенко Мария Павловна</t>
  </si>
  <si>
    <t>01.03.2049</t>
  </si>
  <si>
    <t xml:space="preserve">Романенко Денис Викторович</t>
  </si>
  <si>
    <t>07.03.1983</t>
  </si>
  <si>
    <t>romanenko@yandex</t>
  </si>
  <si>
    <t>2049-03-15</t>
  </si>
  <si>
    <t xml:space="preserve">Сергеева Ольга Сергеевна</t>
  </si>
  <si>
    <t>11.12.1991</t>
  </si>
  <si>
    <t>sergeeva@gmail</t>
  </si>
  <si>
    <t>15.03.2049</t>
  </si>
  <si>
    <t xml:space="preserve">Долгов Андрей Олегович</t>
  </si>
  <si>
    <t>29.04.1976</t>
  </si>
  <si>
    <t>dolgov@mail</t>
  </si>
  <si>
    <t>01.04.2049</t>
  </si>
  <si>
    <t xml:space="preserve">Костина Екатерина Владимировна</t>
  </si>
  <si>
    <t>2049-04-10</t>
  </si>
  <si>
    <t xml:space="preserve">Скворцов Илья Александрович</t>
  </si>
  <si>
    <t>08.08.1989</t>
  </si>
  <si>
    <t>skvortsov@gmail</t>
  </si>
  <si>
    <t>10.04.2049</t>
  </si>
  <si>
    <t xml:space="preserve">Копылова Мария Павловна</t>
  </si>
  <si>
    <t>24.06.1975</t>
  </si>
  <si>
    <t>kopylova@mail</t>
  </si>
  <si>
    <t>01.05.2049</t>
  </si>
  <si>
    <t xml:space="preserve">Харитонов Денис Сергеевич</t>
  </si>
  <si>
    <t>13.01.1986</t>
  </si>
  <si>
    <t>haritonov@yandex</t>
  </si>
  <si>
    <t>2049-05-15</t>
  </si>
  <si>
    <t xml:space="preserve">Александрова Ольга Владимировна</t>
  </si>
  <si>
    <t>27.05.1990</t>
  </si>
  <si>
    <t>15.05.2049</t>
  </si>
  <si>
    <t xml:space="preserve">Стрельцов Андрей Олегович</t>
  </si>
  <si>
    <t>19.09.1981</t>
  </si>
  <si>
    <t>streltsov@mail</t>
  </si>
  <si>
    <t>01.06.2049</t>
  </si>
  <si>
    <t xml:space="preserve">Бугрова Екатерина Сергеевна</t>
  </si>
  <si>
    <t>04.07.1987</t>
  </si>
  <si>
    <t>bugrova@yandex</t>
  </si>
  <si>
    <t>2049-06-10</t>
  </si>
  <si>
    <t xml:space="preserve">Чумак Илья Александрович</t>
  </si>
  <si>
    <t>12.11.1972</t>
  </si>
  <si>
    <t>chumak@gmail</t>
  </si>
  <si>
    <t>10.06.2049</t>
  </si>
  <si>
    <t>21.03.1984</t>
  </si>
  <si>
    <t>mayorova@mail</t>
  </si>
  <si>
    <t>01.07.2049</t>
  </si>
  <si>
    <t xml:space="preserve">Крылов Денис Викторович</t>
  </si>
  <si>
    <t>20.12.1992</t>
  </si>
  <si>
    <t>krylov@yandex</t>
  </si>
  <si>
    <t>2049-07-15</t>
  </si>
  <si>
    <t xml:space="preserve">Королева Ольга Сергеевна</t>
  </si>
  <si>
    <t>28.08.1978</t>
  </si>
  <si>
    <t>koroleva@gmail</t>
  </si>
  <si>
    <t>15.07.2049</t>
  </si>
  <si>
    <t xml:space="preserve">Кузьмин Андрей Олегович</t>
  </si>
  <si>
    <t>17.10.1985</t>
  </si>
  <si>
    <t>01.08.2049</t>
  </si>
  <si>
    <t xml:space="preserve">Егорова Екатерина Владимировна</t>
  </si>
  <si>
    <t>06.12.1991</t>
  </si>
  <si>
    <t>egorova@yandex</t>
  </si>
  <si>
    <t>2049-08-10</t>
  </si>
  <si>
    <t xml:space="preserve">Пешехонов Илья Александрович</t>
  </si>
  <si>
    <t>15.07.1973</t>
  </si>
  <si>
    <t>peshehonov@gmail</t>
  </si>
  <si>
    <t>10.08.2049</t>
  </si>
  <si>
    <t xml:space="preserve">Терёхина Мария Павловна</t>
  </si>
  <si>
    <t>23.04.1980</t>
  </si>
  <si>
    <t>teryohina@mail</t>
  </si>
  <si>
    <t>01.09.2049</t>
  </si>
  <si>
    <t xml:space="preserve">Белоусов Денис Сергеевич</t>
  </si>
  <si>
    <t>14.09.1989</t>
  </si>
  <si>
    <t>belousov@yandex</t>
  </si>
  <si>
    <t>2049-09-15</t>
  </si>
  <si>
    <t xml:space="preserve">Бабушкина Ольга Владимировна</t>
  </si>
  <si>
    <t>31.05.1976</t>
  </si>
  <si>
    <t>babushkina@gmail</t>
  </si>
  <si>
    <t>15.09.2049</t>
  </si>
  <si>
    <t xml:space="preserve">Толстых Андрей Олегович</t>
  </si>
  <si>
    <t>10.08.1984</t>
  </si>
  <si>
    <t>tolstyh@mail</t>
  </si>
  <si>
    <t>01.10.2049</t>
  </si>
  <si>
    <t>Категории</t>
  </si>
  <si>
    <t xml:space="preserve">Статусы заказов</t>
  </si>
  <si>
    <t xml:space="preserve">Валюты (курс к рублю)</t>
  </si>
  <si>
    <t>Города</t>
  </si>
  <si>
    <t>Месяцы</t>
  </si>
  <si>
    <t xml:space="preserve">Единицы измерения</t>
  </si>
  <si>
    <t xml:space="preserve">Исходная категория</t>
  </si>
  <si>
    <t xml:space="preserve">Единая категория</t>
  </si>
  <si>
    <t xml:space="preserve">Исходный статус</t>
  </si>
  <si>
    <t xml:space="preserve">Единый статус</t>
  </si>
  <si>
    <t>Валюта</t>
  </si>
  <si>
    <t xml:space="preserve">Курс, руб.</t>
  </si>
  <si>
    <t xml:space="preserve">Как записано</t>
  </si>
  <si>
    <t>Правильно</t>
  </si>
  <si>
    <t>Месяц</t>
  </si>
  <si>
    <t>Номер</t>
  </si>
  <si>
    <t>$</t>
  </si>
  <si>
    <t>МСК</t>
  </si>
  <si>
    <t>января</t>
  </si>
  <si>
    <t>€</t>
  </si>
  <si>
    <t>Мск</t>
  </si>
  <si>
    <t>февраля</t>
  </si>
  <si>
    <t>₽</t>
  </si>
  <si>
    <t>СПб</t>
  </si>
  <si>
    <t>марта</t>
  </si>
  <si>
    <t>выполнен</t>
  </si>
  <si>
    <t>СПБ</t>
  </si>
  <si>
    <t>апреля</t>
  </si>
  <si>
    <t>Питер</t>
  </si>
  <si>
    <t>мая</t>
  </si>
  <si>
    <t>штук</t>
  </si>
  <si>
    <t xml:space="preserve">Курсы взяты из задания: 1$ = 95 руб., 1€ = 100 руб.</t>
  </si>
  <si>
    <t>С-Петербург</t>
  </si>
  <si>
    <t>июня</t>
  </si>
  <si>
    <t>С.-Петербург</t>
  </si>
  <si>
    <t>июля</t>
  </si>
  <si>
    <t>cancelled</t>
  </si>
  <si>
    <t xml:space="preserve">Санкт Петербург</t>
  </si>
  <si>
    <t>августа</t>
  </si>
  <si>
    <t>Возврат</t>
  </si>
  <si>
    <t>Екб</t>
  </si>
  <si>
    <t>сентября</t>
  </si>
  <si>
    <t>Н.Новгород</t>
  </si>
  <si>
    <t>октября</t>
  </si>
  <si>
    <t>returned</t>
  </si>
  <si>
    <t xml:space="preserve">Н. Новгород</t>
  </si>
  <si>
    <t>ноября</t>
  </si>
  <si>
    <t>Нск</t>
  </si>
  <si>
    <t>декабря</t>
  </si>
  <si>
    <t xml:space="preserve">Итоговый отчет по очистке данных</t>
  </si>
  <si>
    <t xml:space="preserve">1. Количество строк до и после очистки</t>
  </si>
  <si>
    <t>Файл</t>
  </si>
  <si>
    <t xml:space="preserve">Строк до очистки</t>
  </si>
  <si>
    <t xml:space="preserve">Удалено дубликатов</t>
  </si>
  <si>
    <t xml:space="preserve">Строк после очистки</t>
  </si>
  <si>
    <t>Товары_каталог</t>
  </si>
  <si>
    <t>Поставщики</t>
  </si>
  <si>
    <t>Продажи</t>
  </si>
  <si>
    <t>Клиенты</t>
  </si>
  <si>
    <t>Итого</t>
  </si>
  <si>
    <t xml:space="preserve">2. Выявленные ошибки по типам</t>
  </si>
  <si>
    <t xml:space="preserve">Тип ошибки</t>
  </si>
  <si>
    <t>Лист</t>
  </si>
  <si>
    <t xml:space="preserve">Некорректный ИНН</t>
  </si>
  <si>
    <t xml:space="preserve">Email поставщиков</t>
  </si>
  <si>
    <t xml:space="preserve">Телефон поставщиков</t>
  </si>
  <si>
    <t xml:space="preserve">Email клиентов</t>
  </si>
  <si>
    <t xml:space="preserve">Телефон клиентов</t>
  </si>
  <si>
    <t xml:space="preserve">Розница ниже закупки</t>
  </si>
  <si>
    <t>Товары</t>
  </si>
  <si>
    <t xml:space="preserve">Категория не найдена</t>
  </si>
  <si>
    <t xml:space="preserve">Артикула нет в каталоге</t>
  </si>
  <si>
    <t xml:space="preserve">Цена продажи не как в каталоге</t>
  </si>
  <si>
    <t xml:space="preserve">Всего ошибок</t>
  </si>
  <si>
    <t xml:space="preserve">3. Продажи по статусам (после нормализации)</t>
  </si>
  <si>
    <t xml:space="preserve">Количество заказов</t>
  </si>
  <si>
    <t xml:space="preserve">Строк с отрицательным количеством</t>
  </si>
  <si>
    <t xml:space="preserve">Описание выполненных действий</t>
  </si>
  <si>
    <t>Этап</t>
  </si>
  <si>
    <t xml:space="preserve">Что сделал</t>
  </si>
  <si>
    <t xml:space="preserve">Чем делал</t>
  </si>
  <si>
    <t xml:space="preserve">0. Загрузка</t>
  </si>
  <si>
    <t xml:space="preserve">4 txt-файла (разделитель ;) загружены на отдельные листы. Исходные данные слева без изменений (пометка исх.), очищенные столбцы справа, на формулах.</t>
  </si>
  <si>
    <t xml:space="preserve">Открытие CSV, разделитель ;, формат столбцов Текст</t>
  </si>
  <si>
    <t xml:space="preserve">1. Товары</t>
  </si>
  <si>
    <t xml:space="preserve">Артикулы приведены к виду АРТ-XXX: удалены №, АРТ-, АРТ_ и хвост /24, оставлены 3 цифры.</t>
  </si>
  <si>
    <t xml:space="preserve">ПОДСТАВИТЬ, СЖПРОБЕЛЫ, ЛЕВСИМВ, ЗНАЧЕН, ТЕКСТ</t>
  </si>
  <si>
    <t xml:space="preserve">Наименования: удалён текст в скобках и лишние пробелы, каждое слово с заглавной буквы.</t>
  </si>
  <si>
    <t xml:space="preserve">НАЙТИ, ЛЕВСИМВ, СЖПРОБЕЛЫ, ПРОПНАЧ</t>
  </si>
  <si>
    <t xml:space="preserve">Категории: составлен справочник (Телефоны, Мобильные телефоны = Смартфоны, Лэптопы = Ноутбуки), подстановка через ВПР.</t>
  </si>
  <si>
    <t xml:space="preserve">ВПР, лист Справочники</t>
  </si>
  <si>
    <t xml:space="preserve">Цены: удалены пробелы, руб., ₽, значения переведены в число, формат с двумя знаками после запятой.</t>
  </si>
  <si>
    <t xml:space="preserve">ПОДСТАВИТЬ, ЗНАЧЕН, ОКРУГЛ, формат ячеек</t>
  </si>
  <si>
    <t xml:space="preserve">Единицы измерения: шт, штука, штуки, шт. приведены к шт.</t>
  </si>
  <si>
    <t xml:space="preserve">ВПР по справочнику</t>
  </si>
  <si>
    <t xml:space="preserve">Проверка: розница не меньше закупки, артикулы не повторяются.</t>
  </si>
  <si>
    <t xml:space="preserve">ЕСЛИ, СЧЁТЕСЛИ</t>
  </si>
  <si>
    <t xml:space="preserve">2. Поставщики</t>
  </si>
  <si>
    <t xml:space="preserve">ИНН: удалены пробелы, проверка на цифры и длину 10 или 12, иначе Ошибка ИНН.</t>
  </si>
  <si>
    <t xml:space="preserve">ПОДСТАВИТЬ, ДЛСТР, ЕЧИСЛО</t>
  </si>
  <si>
    <t xml:space="preserve">Телефоны: удалено всё кроме цифр, взяты последние 10, формат +7 (XXX) XXX-XX-XX.</t>
  </si>
  <si>
    <t xml:space="preserve">ПОДСТАВИТЬ, ПРАВСИМВ, ПСТР</t>
  </si>
  <si>
    <t xml:space="preserve">Email: удалены пробелы, проверка наличия @ и домена, иначе Ошибка Email.</t>
  </si>
  <si>
    <t xml:space="preserve">СЖПРОБЕЛЫ, СТРОЧН, НАЙТИ</t>
  </si>
  <si>
    <t xml:space="preserve">Адрес: индекс (первые 6 цифр) вынесен в отдельный столбец, остаток приведён к виду г. Город, ул. Улица, д. XX.</t>
  </si>
  <si>
    <t xml:space="preserve">ЛЕВСИМВ, ПСТР, ПОДСТАВИТЬ</t>
  </si>
  <si>
    <t xml:space="preserve">3. Продажи</t>
  </si>
  <si>
    <t xml:space="preserve">Даты из MM/DD/YYYY собраны через ДАТА, формат ячеек ДД.ММ.ГГГГ.</t>
  </si>
  <si>
    <t xml:space="preserve">ДАТА, ПРАВСИМВ, ЛЕВСИМВ, ПСТР</t>
  </si>
  <si>
    <t xml:space="preserve">Количество: удалены шт./шт, отрицательные значения сохранены (возвраты).</t>
  </si>
  <si>
    <t xml:space="preserve">ПОДСТАВИТЬ, ЗНАЧЕН</t>
  </si>
  <si>
    <t xml:space="preserve">Цена пересчитана в рубли: $ = 95, € = 100 (курсы на листе Справочники), без знака валюты - рубли.</t>
  </si>
  <si>
    <t xml:space="preserve">НАЙТИ, ЕСЛИ</t>
  </si>
  <si>
    <t xml:space="preserve">Статусы через справочник приведены к Завершен / Отменен / Возврат.</t>
  </si>
  <si>
    <t>ВПР</t>
  </si>
  <si>
    <t xml:space="preserve">Дубликаты по Дата+Артикул+ID_клиента: поиск формулой и через Данные - Удалить дубликаты. Дубликатов не найдено.</t>
  </si>
  <si>
    <t xml:space="preserve">СЧЁТЕСЛИМН, Удалить дубликаты</t>
  </si>
  <si>
    <t xml:space="preserve">Из каталога подставлены категория и розничная цена, выполнено сравнение с ценой продажи.</t>
  </si>
  <si>
    <t xml:space="preserve">ВПР, ЕСЛИ, ABS</t>
  </si>
  <si>
    <t xml:space="preserve">4. Клиенты</t>
  </si>
  <si>
    <t xml:space="preserve">ФИО: удалены лишние пробелы, каждое слово с заглавной буквы. Все ФИО в файле полные и на кириллице, расшифровка инициалов и транслитерация не потребовались.</t>
  </si>
  <si>
    <t xml:space="preserve">СЖПРОБЕЛЫ, ПРОПНАЧ</t>
  </si>
  <si>
    <t xml:space="preserve">Даты рождения и регистрации в разных форматах (15.05.1990, 1990-05-15, 15 мая 1990) приведены к ДД.ММ.ГГГГ.</t>
  </si>
  <si>
    <t xml:space="preserve">ДАТА, НАЙТИ, ПСТР, ВПР (месяцы)</t>
  </si>
  <si>
    <t xml:space="preserve">Рассчитан возраст, при значении меньше 18 или больше 120 - Ошибка даты рождения.</t>
  </si>
  <si>
    <t xml:space="preserve">РАЗНДАТ, СЕГОДНЯ</t>
  </si>
  <si>
    <t xml:space="preserve">Телефоны и Email обработаны по тем же правилам, что у поставщиков.</t>
  </si>
  <si>
    <t xml:space="preserve">Города: удалено г., названия приведены через справочник городов (МСК = Москва, СПб = Санкт-Петербург).</t>
  </si>
  <si>
    <t xml:space="preserve">ПОДСТАВИТЬ, ВПР</t>
  </si>
  <si>
    <t xml:space="preserve">5. Отчет</t>
  </si>
  <si>
    <t xml:space="preserve">Лист Итоговый_отчет: строки до и после очистки, дубликаты, ошибки по типам, статусы заказов, 3 диаграммы.</t>
  </si>
  <si>
    <t xml:space="preserve">СЧЁТЗ, СЧЁТЕСЛИ, СУММ, Вставка - Диаграмма</t>
  </si>
  <si>
    <t xml:space="preserve">К столбцам со сложными формулами добавлены примечания.</t>
  </si>
  <si>
    <t>Примечания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</si>
</sst>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.mm.yyyy"/>
  </numFmts>
  <fonts count="5">
    <font>
      <sz val="11.000000"/>
      <color theme="1"/>
      <name val="Calibri"/>
      <scheme val="minor"/>
    </font>
    <font>
      <b/>
      <sz val="11.000000"/>
      <name val="Calibri"/>
    </font>
    <font>
      <b/>
      <sz val="12.000000"/>
      <name val="Calibri"/>
    </font>
    <font>
      <i/>
      <sz val="11.000000"/>
      <name val="Calibri"/>
    </font>
    <font>
      <b/>
      <sz val="14.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E2EFDA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1" fillId="2" borderId="0" numFmtId="0" xfId="0" applyFont="1" applyFill="1" applyAlignment="1" quotePrefix="0" pivotButton="0">
      <alignment vertical="center" wrapText="1"/>
    </xf>
    <xf fontId="1" fillId="3" borderId="0" numFmtId="0" xfId="0" applyFont="1" applyFill="1" applyAlignment="1" quotePrefix="0" pivotButton="0">
      <alignment vertical="center" wrapText="1"/>
    </xf>
    <xf fontId="0" fillId="0" borderId="0" numFmtId="49" xfId="0" applyNumberFormat="1" quotePrefix="0" pivotButton="0"/>
    <xf fontId="0" fillId="0" borderId="0" numFmtId="4" xfId="0" applyNumberFormat="1" quotePrefix="0" pivotButton="0"/>
    <xf fontId="0" fillId="0" borderId="0" numFmtId="160" xfId="0" applyNumberFormat="1" quotePrefix="0" pivotButton="0"/>
    <xf fontId="0" fillId="0" borderId="0" numFmtId="1" xfId="0" applyNumberFormat="1" quotePrefix="0" pivotButton="0"/>
    <xf fontId="2" fillId="0" borderId="0" numFmtId="0" xfId="0" applyFont="1" quotePrefix="0" pivotButton="0"/>
    <xf fontId="1" fillId="3" borderId="0" numFmtId="0" xfId="0" applyFont="1" applyFill="1" quotePrefix="0" pivotButton="0"/>
    <xf fontId="3" fillId="0" borderId="0" numFmtId="0" xfId="0" applyFont="1" quotePrefix="0" pivotButton="0"/>
    <xf fontId="4" fillId="0" borderId="0" numFmtId="0" xfId="0" applyFont="1" quotePrefix="0" pivotButton="0"/>
    <xf fontId="1" fillId="0" borderId="0" numFmtId="0" xfId="0" applyFont="1" quotePrefix="0" pivotButton="0"/>
    <xf fontId="1" fillId="3" borderId="0" numFmtId="0" xfId="0" applyFont="1" applyFill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tyles" Target="styles.xml"/><Relationship  Id="rId10" Type="http://schemas.openxmlformats.org/officeDocument/2006/relationships/sharedStrings" Target="sharedStrings.xml"/><Relationship  Id="rId7" Type="http://schemas.openxmlformats.org/officeDocument/2006/relationships/worksheet" Target="worksheets/sheet6.xml"/><Relationship  Id="rId6" Type="http://schemas.openxmlformats.org/officeDocument/2006/relationships/worksheet" Target="worksheets/sheet5.xml"/><Relationship  Id="rId9" Type="http://schemas.openxmlformats.org/officeDocument/2006/relationships/theme" Target="theme/theme1.xml"/><Relationship  Id="rId5" Type="http://schemas.openxmlformats.org/officeDocument/2006/relationships/worksheet" Target="worksheets/sheet4.xml"/><Relationship  Id="rId8" Type="http://schemas.openxmlformats.org/officeDocument/2006/relationships/worksheet" Target="worksheets/sheet7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Строки до и после очистки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'Итоговый_отчет'!B4</c:f>
            </c:strRef>
          </c:tx>
          <c:spPr bwMode="auto">
            <a:ln>
              <a:prstDash val="solid"/>
            </a:ln>
          </c:spPr>
          <c:cat>
            <c:strRef>
              <c:f>'Итоговый_отчет'!$A$5:$A$8</c:f>
            </c:strRef>
          </c:cat>
          <c:val>
            <c:numRef>
              <c:f>'Итоговый_отчет'!$B$5:$B$8</c:f>
            </c:numRef>
          </c:val>
        </c:ser>
        <c:ser>
          <c:idx val="1"/>
          <c:order val="1"/>
          <c:tx>
            <c:strRef>
              <c:f>'Итоговый_отчет'!D4</c:f>
            </c:strRef>
          </c:tx>
          <c:spPr bwMode="auto">
            <a:ln>
              <a:prstDash val="solid"/>
            </a:ln>
          </c:spPr>
          <c:cat>
            <c:strRef>
              <c:f>'Итоговый_отчет'!$A$5:$A$8</c:f>
            </c:strRef>
          </c:cat>
          <c:val>
            <c:numRef>
              <c:f>'Итоговый_отчет'!$D$5:$D$8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numFmt formatCode="0" sourceLinked="0"/>
        <c:majorTickMark val="none"/>
        <c:minorTickMark val="none"/>
        <c:crossAx val="1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 bwMode="auto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Ошибки по типам</a:t>
            </a:r>
            <a:endParaRPr/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'Итоговый_отчет'!C12</c:f>
            </c:strRef>
          </c:tx>
          <c:spPr bwMode="auto">
            <a:ln>
              <a:prstDash val="solid"/>
            </a:ln>
          </c:spPr>
          <c:cat>
            <c:strRef>
              <c:f>'Итоговый_отчет'!$A$13:$A$22</c:f>
            </c:strRef>
          </c:cat>
          <c:val>
            <c:numRef>
              <c:f>'Итоговый_отчет'!$C$13:$C$22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 bwMode="auto"/>
        </c:majorGridlines>
        <c:numFmt formatCode="0" sourceLinked="0"/>
        <c:majorTickMark val="none"/>
        <c:minorTickMark val="none"/>
        <c:crossAx val="10"/>
        <c:crosses val="autoZero"/>
        <c:crossBetween val="between"/>
      </c:valAx>
    </c:plotArea>
    <c:plotVisOnly val="1"/>
    <c:dispBlanksAs val="gap"/>
    <c:showDLblsOverMax val="0"/>
  </c:chart>
  <c:spPr bwMode="auto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Заказы по статусам</a:t>
            </a:r>
            <a:endParaRPr/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'Итоговый_отчет'!B26</c:f>
            </c:strRef>
          </c:tx>
          <c:spPr bwMode="auto">
            <a:ln>
              <a:prstDash val="solid"/>
            </a:ln>
          </c:spPr>
          <c:cat>
            <c:strRef>
              <c:f>'Итоговый_отчет'!$A$27:$A$29</c:f>
            </c:strRef>
          </c:cat>
          <c:val>
            <c:numRef>
              <c:f>'Итоговый_отчет'!$B$27:$B$29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numFmt formatCode="0" sourceLinked="0"/>
        <c:majorTickMark val="none"/>
        <c:minorTickMark val="none"/>
        <c:crossAx val="10"/>
        <c:crosses val="autoZero"/>
        <c:crossBetween val="between"/>
      </c:valAx>
    </c:plotArea>
    <c:plotVisOnly val="1"/>
    <c:dispBlanksAs val="gap"/>
    <c:showDLblsOverMax val="0"/>
  </c:chart>
  <c:spPr bwMode="auto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0</xdr:colOff>
      <xdr:row>1</xdr:row>
      <xdr:rowOff>0</xdr:rowOff>
    </xdr:from>
    <xdr:ext cx="6120000" cy="288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6840000" cy="3600000"/>
    <xdr:graphicFrame>
      <xdr:nvGraphicFramePr>
        <xdr:cNvPr id="2" name="Chart 2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39</xdr:row>
      <xdr:rowOff>0</xdr:rowOff>
    </xdr:from>
    <xdr:ext cx="6120000" cy="2880000"/>
    <xdr:graphicFrame>
      <xdr:nvGraphicFramePr>
        <xdr:cNvPr id="3" name="Chart 3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dmin" id="{262F8150-C77D-3A1D-468C-F3EDCBFBD4E8}"/>
  <person displayName="tc={00B000A1-00A4-4895-B6A8-001F009F00CD}" id="{3F1616C6-F425-883B-8EC7-2FD3F7089B03}"/>
  <person displayName="tc={0073004C-009E-4D7F-98DD-006500F900D1}" id="{A421AB27-96CD-0225-8591-1D8910A6FD3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personId="{262F8150-C77D-3A1D-468C-F3EDCBFBD4E8}" id="{0002004C-00CC-40FA-B357-00A300F20038}" done="0">
    <text xml:space="preserve">Удаляются пробелы, руб. и ₽, затем запятая/точка. Если разделитель был - число делится на 100 (копейки)
</text>
  </threadedComment>
  <threadedComment ref="M1" personId="{262F8150-C77D-3A1D-468C-F3EDCBFBD4E8}" id="{00B100A0-000F-450A-9068-00DF00620018}" done="0">
    <text xml:space="preserve">Аналогично цене закупки
</text>
  </threadedComment>
  <threadedComment ref="H1" personId="{262F8150-C77D-3A1D-468C-F3EDCBFBD4E8}" id="{00A500B7-00D1-4BBC-BB91-009200D000BB}" done="0">
    <text xml:space="preserve">Удаляются №, АРТ-, АРТ_, берутся первые 3 цифры, номер собирается в формат АРТ-XXX. ТЕКСТ(...;"000") добавляет нули слева
</text>
  </threadedComment>
  <threadedComment ref="I1" personId="{262F8150-C77D-3A1D-468C-F3EDCBFBD4E8}" id="{009400D0-00CB-418F-A511-0017007000CE}" done="0">
    <text xml:space="preserve">Текст в скобках отрезается, лишние пробелы удаляются, каждое слово с заглавной буквы
</text>
  </threadedComment>
  <threadedComment ref="J1" personId="{262F8150-C77D-3A1D-468C-F3EDCBFBD4E8}" id="{0031009F-0078-4195-AECA-0049001E00B3}" done="0">
    <text xml:space="preserve">ВПР по справочнику категорий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personId="{262F8150-C77D-3A1D-468C-F3EDCBFBD4E8}" id="{00D900CF-0093-4B3F-A93E-00700093009E}" done="0">
    <text xml:space="preserve">Должна быть @ и после неё точка (домен)
</text>
  </threadedComment>
  <threadedComment ref="N1" personId="{262F8150-C77D-3A1D-468C-F3EDCBFBD4E8}" id="{009B00DD-0002-4DDA-9F0F-0090004C008C}" done="0">
    <text xml:space="preserve">Индекс отрезается, через ПОДСТАВИТЬ расставляются пробелы и запятые: г. Город, ул. Улица, д. XX
</text>
  </threadedComment>
  <threadedComment ref="I1" personId="{262F8150-C77D-3A1D-468C-F3EDCBFBD4E8}" id="{008F00F2-00AF-4661-B4AF-00D3009900CF}" done="0">
    <text xml:space="preserve">Только цифры, длина 10 или 12
</text>
  </threadedComment>
  <threadedComment ref="J1" personId="{262F8150-C77D-3A1D-468C-F3EDCBFBD4E8}" id="{001B0080-005B-4780-A381-00E600D40033}" done="0">
    <text xml:space="preserve">Удаляются +, -, пробелы и скобки, берутся последние 10 цифр, номер собирается в формат +7 (XXX) XXX-XX-XX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" personId="{262F8150-C77D-3A1D-468C-F3EDCBFBD4E8}" id="{004B0019-003C-4934-8117-005800660088}" done="0">
    <text xml:space="preserve">Число умножается на курс из справочника. Без $ и € - рубли
</text>
  </threadedComment>
  <threadedComment ref="L1" personId="{262F8150-C77D-3A1D-468C-F3EDCBFBD4E8}" id="{004900B5-0088-4828-87A1-006E004200BE}" done="0">
    <text xml:space="preserve">ВПР по справочнику статусов
</text>
  </threadedComment>
  <threadedComment ref="M1" personId="{262F8150-C77D-3A1D-468C-F3EDCBFBD4E8}" id="{00580056-0030-4CB7-A33B-00BD000A007F}" done="0">
    <text xml:space="preserve">Если Дата+Артикул+Клиент уже встречались выше - дубликат
</text>
  </threadedComment>
  <threadedComment ref="N1" personId="{262F8150-C77D-3A1D-468C-F3EDCBFBD4E8}" id="{003400F6-004C-4914-9F4F-004400BC0078}" done="0">
    <text xml:space="preserve">ВПР из очищенного каталога
</text>
  </threadedComment>
  <threadedComment ref="P1" personId="{262F8150-C77D-3A1D-468C-F3EDCBFBD4E8}" id="{001F002D-0068-46FC-99D3-00610037006A}" done="0">
    <text xml:space="preserve">Отличие от розничной цены больше 20% - пометка
</text>
  </threadedComment>
  <threadedComment ref="H1" personId="{262F8150-C77D-3A1D-468C-F3EDCBFBD4E8}" id="{00F800C9-0046-4327-81E2-0019006000F0}" done="0">
    <text xml:space="preserve">Исходный формат MM/DD/YYYY, дата собирается через ДАТА(год;месяц;день)
</text>
  </threadedComment>
  <threadedComment ref="I1" personId="{262F8150-C77D-3A1D-468C-F3EDCBFBD4E8}" id="{00CD003F-0022-4493-B3F6-00E5005500C3}" done="0">
    <text xml:space="preserve">Как в каталоге товаров
</text>
  </threadedComment>
  <threadedComment ref="J1" personId="{262F8150-C77D-3A1D-468C-F3EDCBFBD4E8}" id="{00CB00BC-0010-41E5-A6F7-0084004E00DA}" done="0">
    <text xml:space="preserve">Отрицательные значения сохранены (возвраты)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1" personId="{262F8150-C77D-3A1D-468C-F3EDCBFBD4E8}" id="{009E0007-004C-4C0E-8577-001B00970096}" done="0">
    <text xml:space="preserve">Возраст от 18 до 120
</text>
  </threadedComment>
  <threadedComment ref="L1" personId="{262F8150-C77D-3A1D-468C-F3EDCBFBD4E8}" id="{007D001D-0098-4162-9490-0048008B004E}" done="0">
    <text xml:space="preserve">Аналогично дате рождения
</text>
  </threadedComment>
  <threadedComment ref="M1" personId="{262F8150-C77D-3A1D-468C-F3EDCBFBD4E8}" id="{00C20075-005E-4137-91B4-0065005800E4}" done="0">
    <text xml:space="preserve">Аналогично поставщикам
</text>
  </threadedComment>
  <threadedComment ref="P1" personId="{262F8150-C77D-3A1D-468C-F3EDCBFBD4E8}" id="{00AB0069-008D-493A-AAE0-008600820015}" done="0">
    <text xml:space="preserve">Удаляется г., город ищется в справочнике городов (МСК - Москва)
</text>
  </threadedComment>
  <threadedComment ref="I1" personId="{262F8150-C77D-3A1D-468C-F3EDCBFBD4E8}" id="{00320000-00C1-4915-AE92-0064006300E1}" done="0">
    <text xml:space="preserve">Распознаются форматы 15.05.1990, 1990-05-15 и 15 мая 1990 (месяц - по справочнику месяцев)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" personId="{3F1616C6-F425-883B-8EC7-2FD3F7089B03}" id="{006000CF-00C7-4C9B-9182-007A0089002C}" done="0">
    <text xml:space="preserve">admin:
У товаров дубликатом считаю повтор артикула
</text>
  </threadedComment>
  <threadedComment ref="C7" personId="{A421AB27-96CD-0225-8591-1D8910A6FD3C}" id="{00B700FC-00EA-41B5-A08D-00E5000E0040}" done="0">
    <text xml:space="preserve">admin:
Дубликаты продаж ищу по Дата + Артикул + ID_клиента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_rels/sheet4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4.vml"/><Relationship  Id="rId2" Type="http://schemas.openxmlformats.org/officeDocument/2006/relationships/comments" Target="../comments4.xml"/><Relationship  Id="rId1" Type="http://schemas.microsoft.com/office/2017/10/relationships/threadedComment" Target="../threadedComments/threadedComment4.xml"/></Relationships>
</file>

<file path=xl/worksheets/_rels/sheet6.xml.rels><?xml version="1.0" encoding="UTF-8" standalone="yes"?><Relationships xmlns="http://schemas.openxmlformats.org/package/2006/relationships"><Relationship  Id="rId4" Type="http://schemas.openxmlformats.org/officeDocument/2006/relationships/vmlDrawing" Target="../drawings/vmlDrawing5.vml"/><Relationship  Id="rId3" Type="http://schemas.openxmlformats.org/officeDocument/2006/relationships/drawing" Target="../drawings/drawing1.xml"/><Relationship  Id="rId2" Type="http://schemas.openxmlformats.org/officeDocument/2006/relationships/comments" Target="../comments5.xml"/><Relationship  Id="rId1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H1" zoomScale="10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4.25"/>
  <cols>
    <col customWidth="1" min="1" max="1" width="16"/>
    <col customWidth="1" min="2" max="2" width="34"/>
    <col customWidth="1" min="3" max="7" width="16"/>
    <col customWidth="1" min="8" max="8" width="14"/>
    <col customWidth="1" min="9" max="9" width="16"/>
    <col customWidth="1" min="10" max="10" width="14"/>
    <col customWidth="1" min="11" max="11" width="17"/>
    <col customWidth="1" min="12" max="13" width="16"/>
    <col customWidth="1" min="14" max="14" width="14"/>
    <col customWidth="1" min="15" max="15" width="17"/>
    <col customWidth="1" min="16" max="16" width="21"/>
    <col customWidth="1" min="17" max="39" width="9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t="str">
        <f t="shared" ref="H2:H9" si="0">"АРТ-"&amp;TEXT(VALUE(LEFT(SUBSTITUTE(SUBSTITUTE(SUBSTITUTE(SUBSTITUTE(TRIM(A2),"№",""),"АРТ-",""),"АРТ_",""),"АРТ",""),3)),"000")</f>
        <v>АРТ-001</v>
      </c>
      <c r="I2" t="str">
        <f t="shared" ref="I2:I9" si="1">PROPER(TRIM(IFERROR(LEFT(B2,FIND("(",B2)-1),B2)))</f>
        <v xml:space="preserve">Смартфон Apple Iphone 15</v>
      </c>
      <c r="J2" t="str">
        <f>IFERROR(VLOOKUP(TRIM(C2),Справочники!$A$3:$B$13,2,0),"Нет в справочнике")</f>
        <v>Смартфоны</v>
      </c>
      <c r="K2" t="str">
        <f t="shared" ref="K2:K9" si="2">IF(LEN(TRIM(D2))&lt;=3,UPPER(TRIM(D2)),PROPER(TRIM(D2)))</f>
        <v>Apple</v>
      </c>
      <c r="L2" s="4">
        <f t="shared" ref="L2:L9" si="3">ROUND(VALUE(SUBSTITUTE(SUBSTITUTE(SUBSTITUTE(SUBSTITUTE(SUBSTITUTE(TRIM(E2)," ",""),"руб.",""),"₽",""),",",""),".",""))/IF(OR(ISNUMBER(FIND(",",SUBSTITUTE(SUBSTITUTE(SUBSTITUTE(TRIM(E2)," ",""),"руб.",""),"₽",""))),ISNUMBER(FIND(".",SUBSTITUTE(SUBSTITUTE(SUBSTITUTE(TRIM(E2)," ",""),"руб.",""),"₽","")))),100,1),2)</f>
        <v>45000.5</v>
      </c>
      <c r="M2" s="4">
        <f t="shared" ref="M2:M9" si="4">ROUND(VALUE(SUBSTITUTE(SUBSTITUTE(SUBSTITUTE(SUBSTITUTE(SUBSTITUTE(TRIM(F2)," ",""),"руб.",""),"₽",""),",",""),".",""))/IF(OR(ISNUMBER(FIND(",",SUBSTITUTE(SUBSTITUTE(SUBSTITUTE(TRIM(F2)," ",""),"руб.",""),"₽",""))),ISNUMBER(FIND(".",SUBSTITUTE(SUBSTITUTE(SUBSTITUTE(TRIM(F2)," ",""),"руб.",""),"₽","")))),100,1),2)</f>
        <v>79990</v>
      </c>
      <c r="N2" t="str">
        <f>IFERROR(VLOOKUP(TRIM(G2),Справочники!$P$3:$Q$7,2,0),"Нет в справочнике")</f>
        <v>шт.</v>
      </c>
      <c r="O2" t="str">
        <f t="shared" ref="O2:O9" si="5">IF(M2&gt;=L2,"ОК","Розница ниже закупки")</f>
        <v>ОК</v>
      </c>
      <c r="P2" t="str">
        <f t="shared" ref="P2:P9" si="6">IF(COUNTIF($H$2:$H$502,H2)&gt;1,"Повтор артикула","Уникальный")</f>
        <v>Уникальный</v>
      </c>
    </row>
    <row r="3">
      <c r="A3" s="3" t="s">
        <v>23</v>
      </c>
      <c r="B3" s="3" t="s">
        <v>24</v>
      </c>
      <c r="C3" s="3" t="s">
        <v>25</v>
      </c>
      <c r="D3" s="3" t="s">
        <v>19</v>
      </c>
      <c r="E3" s="3" t="s">
        <v>26</v>
      </c>
      <c r="F3" s="3" t="s">
        <v>27</v>
      </c>
      <c r="G3" s="3" t="s">
        <v>28</v>
      </c>
      <c r="H3" t="str">
        <f t="shared" si="0"/>
        <v>АРТ-002</v>
      </c>
      <c r="I3" t="str">
        <f t="shared" si="1"/>
        <v xml:space="preserve">Смартфон Apple Iphone 15</v>
      </c>
      <c r="J3" t="str">
        <f>IFERROR(VLOOKUP(TRIM(C3),Справочники!$A$3:$B$13,2,0),"Нет в справочнике")</f>
        <v>Смартфоны</v>
      </c>
      <c r="K3" t="str">
        <f t="shared" si="2"/>
        <v>Apple</v>
      </c>
      <c r="L3" s="4">
        <f t="shared" si="3"/>
        <v>44500</v>
      </c>
      <c r="M3" s="4">
        <f t="shared" si="4"/>
        <v>78500</v>
      </c>
      <c r="N3" t="str">
        <f>IFERROR(VLOOKUP(TRIM(G3),Справочники!$P$3:$Q$7,2,0),"Нет в справочнике")</f>
        <v>шт.</v>
      </c>
      <c r="O3" t="str">
        <f t="shared" si="5"/>
        <v>ОК</v>
      </c>
      <c r="P3" t="str">
        <f t="shared" si="6"/>
        <v>Уникальный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t="str">
        <f t="shared" si="0"/>
        <v>АРТ-003</v>
      </c>
      <c r="I4" t="str">
        <f t="shared" si="1"/>
        <v xml:space="preserve">Смартфон Apple Iphone 15</v>
      </c>
      <c r="J4" t="str">
        <f>IFERROR(VLOOKUP(TRIM(C4),Справочники!$A$3:$B$13,2,0),"Нет в справочнике")</f>
        <v>Смартфоны</v>
      </c>
      <c r="K4" t="str">
        <f t="shared" si="2"/>
        <v>Apple</v>
      </c>
      <c r="L4" s="4">
        <f t="shared" si="3"/>
        <v>43800</v>
      </c>
      <c r="M4" s="4">
        <f t="shared" si="4"/>
        <v>77700</v>
      </c>
      <c r="N4" t="str">
        <f>IFERROR(VLOOKUP(TRIM(G4),Справочники!$P$3:$Q$7,2,0),"Нет в справочнике")</f>
        <v>шт.</v>
      </c>
      <c r="O4" t="str">
        <f t="shared" si="5"/>
        <v>ОК</v>
      </c>
      <c r="P4" t="str">
        <f t="shared" si="6"/>
        <v>Уникальный</v>
      </c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t="str">
        <f t="shared" si="0"/>
        <v>АРТ-004</v>
      </c>
      <c r="I5" t="str">
        <f t="shared" si="1"/>
        <v xml:space="preserve">Ноутбук Asus Rog Zephyrus</v>
      </c>
      <c r="J5" t="str">
        <f>IFERROR(VLOOKUP(TRIM(C5),Справочники!$A$3:$B$13,2,0),"Нет в справочнике")</f>
        <v>Ноутбуки</v>
      </c>
      <c r="K5" t="str">
        <f t="shared" si="2"/>
        <v>Asus</v>
      </c>
      <c r="L5" s="4">
        <f t="shared" si="3"/>
        <v>85000</v>
      </c>
      <c r="M5" s="4">
        <f t="shared" si="4"/>
        <v>129999.99000000001</v>
      </c>
      <c r="N5" t="str">
        <f>IFERROR(VLOOKUP(TRIM(G5),Справочники!$P$3:$Q$7,2,0),"Нет в справочнике")</f>
        <v>шт.</v>
      </c>
      <c r="O5" t="str">
        <f t="shared" si="5"/>
        <v>ОК</v>
      </c>
      <c r="P5" t="str">
        <f t="shared" si="6"/>
        <v>Уникальный</v>
      </c>
    </row>
    <row r="6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22</v>
      </c>
      <c r="H6" t="str">
        <f t="shared" si="0"/>
        <v>АРТ-005</v>
      </c>
      <c r="I6" t="str">
        <f t="shared" si="1"/>
        <v xml:space="preserve">Ноутбук Asus Rog Zephyrus</v>
      </c>
      <c r="J6" t="str">
        <f>IFERROR(VLOOKUP(TRIM(C6),Справочники!$A$3:$B$13,2,0),"Нет в справочнике")</f>
        <v>Ноутбуки</v>
      </c>
      <c r="K6" t="str">
        <f t="shared" si="2"/>
        <v>Asus</v>
      </c>
      <c r="L6" s="4">
        <f t="shared" si="3"/>
        <v>84500.5</v>
      </c>
      <c r="M6" s="4">
        <f t="shared" si="4"/>
        <v>128500</v>
      </c>
      <c r="N6" t="str">
        <f>IFERROR(VLOOKUP(TRIM(G6),Справочники!$P$3:$Q$7,2,0),"Нет в справочнике")</f>
        <v>шт.</v>
      </c>
      <c r="O6" t="str">
        <f t="shared" si="5"/>
        <v>ОК</v>
      </c>
      <c r="P6" t="str">
        <f t="shared" si="6"/>
        <v>Уникальный</v>
      </c>
    </row>
    <row r="7">
      <c r="A7" s="3" t="s">
        <v>49</v>
      </c>
      <c r="B7" s="3" t="s">
        <v>50</v>
      </c>
      <c r="C7" s="3" t="s">
        <v>38</v>
      </c>
      <c r="D7" s="3" t="s">
        <v>39</v>
      </c>
      <c r="E7" s="3" t="s">
        <v>51</v>
      </c>
      <c r="F7" s="3" t="s">
        <v>52</v>
      </c>
      <c r="G7" s="3" t="s">
        <v>28</v>
      </c>
      <c r="H7" t="str">
        <f t="shared" si="0"/>
        <v>АРТ-006</v>
      </c>
      <c r="I7" t="str">
        <f t="shared" si="1"/>
        <v xml:space="preserve">Ноутбук Asus Rog Zephyrus</v>
      </c>
      <c r="J7" t="str">
        <f>IFERROR(VLOOKUP(TRIM(C7),Справочники!$A$3:$B$13,2,0),"Нет в справочнике")</f>
        <v>Ноутбуки</v>
      </c>
      <c r="K7" t="str">
        <f t="shared" si="2"/>
        <v>Asus</v>
      </c>
      <c r="L7" s="4">
        <f t="shared" si="3"/>
        <v>86000</v>
      </c>
      <c r="M7" s="4">
        <f t="shared" si="4"/>
        <v>131000</v>
      </c>
      <c r="N7" t="str">
        <f>IFERROR(VLOOKUP(TRIM(G7),Справочники!$P$3:$Q$7,2,0),"Нет в справочнике")</f>
        <v>шт.</v>
      </c>
      <c r="O7" t="str">
        <f t="shared" si="5"/>
        <v>ОК</v>
      </c>
      <c r="P7" t="str">
        <f t="shared" si="6"/>
        <v>Уникальный</v>
      </c>
    </row>
    <row r="8">
      <c r="A8" s="3" t="s">
        <v>53</v>
      </c>
      <c r="B8" s="3" t="s">
        <v>54</v>
      </c>
      <c r="C8" s="3" t="s">
        <v>18</v>
      </c>
      <c r="D8" s="3" t="s">
        <v>55</v>
      </c>
      <c r="E8" s="3" t="s">
        <v>56</v>
      </c>
      <c r="F8" s="3" t="s">
        <v>57</v>
      </c>
      <c r="G8" s="3" t="s">
        <v>42</v>
      </c>
      <c r="H8" t="str">
        <f t="shared" si="0"/>
        <v>АРТ-007</v>
      </c>
      <c r="I8" t="str">
        <f t="shared" si="1"/>
        <v xml:space="preserve">Смартфон Samsung Galaxy S24</v>
      </c>
      <c r="J8" t="str">
        <f>IFERROR(VLOOKUP(TRIM(C8),Справочники!$A$3:$B$13,2,0),"Нет в справочнике")</f>
        <v>Смартфоны</v>
      </c>
      <c r="K8" t="str">
        <f t="shared" si="2"/>
        <v>Samsung</v>
      </c>
      <c r="L8" s="4">
        <f t="shared" si="3"/>
        <v>39999.989999999998</v>
      </c>
      <c r="M8" s="4">
        <f t="shared" si="4"/>
        <v>69999</v>
      </c>
      <c r="N8" t="str">
        <f>IFERROR(VLOOKUP(TRIM(G8),Справочники!$P$3:$Q$7,2,0),"Нет в справочнике")</f>
        <v>шт.</v>
      </c>
      <c r="O8" t="str">
        <f t="shared" si="5"/>
        <v>ОК</v>
      </c>
      <c r="P8" t="str">
        <f t="shared" si="6"/>
        <v>Уникальный</v>
      </c>
    </row>
    <row r="9">
      <c r="A9" s="3" t="s">
        <v>58</v>
      </c>
      <c r="B9" s="3" t="s">
        <v>59</v>
      </c>
      <c r="C9" s="3" t="s">
        <v>25</v>
      </c>
      <c r="D9" s="3" t="s">
        <v>60</v>
      </c>
      <c r="E9" s="3" t="s">
        <v>61</v>
      </c>
      <c r="F9" s="3" t="s">
        <v>62</v>
      </c>
      <c r="G9" s="3" t="s">
        <v>35</v>
      </c>
      <c r="H9" t="str">
        <f t="shared" si="0"/>
        <v>АРТ-008</v>
      </c>
      <c r="I9" t="str">
        <f t="shared" si="1"/>
        <v xml:space="preserve">Смартфон Samsung Galaxy S24</v>
      </c>
      <c r="J9" t="str">
        <f>IFERROR(VLOOKUP(TRIM(C9),Справочники!$A$3:$B$13,2,0),"Нет в справочнике")</f>
        <v>Смартфоны</v>
      </c>
      <c r="K9" t="str">
        <f t="shared" si="2"/>
        <v>Samsung</v>
      </c>
      <c r="L9" s="4">
        <f t="shared" si="3"/>
        <v>39500</v>
      </c>
      <c r="M9" s="4">
        <f t="shared" si="4"/>
        <v>68900</v>
      </c>
      <c r="N9" t="str">
        <f>IFERROR(VLOOKUP(TRIM(G9),Справочники!$P$3:$Q$7,2,0),"Нет в справочнике")</f>
        <v>шт.</v>
      </c>
      <c r="O9" t="str">
        <f t="shared" si="5"/>
        <v>ОК</v>
      </c>
      <c r="P9" t="str">
        <f t="shared" si="6"/>
        <v>Уникальный</v>
      </c>
    </row>
    <row r="10">
      <c r="A10" s="3" t="s">
        <v>63</v>
      </c>
      <c r="B10" s="3" t="s">
        <v>64</v>
      </c>
      <c r="C10" s="3" t="s">
        <v>31</v>
      </c>
      <c r="D10" s="3" t="s">
        <v>55</v>
      </c>
      <c r="E10" s="3" t="s">
        <v>65</v>
      </c>
      <c r="F10" s="3" t="s">
        <v>66</v>
      </c>
      <c r="G10" s="3" t="s">
        <v>22</v>
      </c>
      <c r="H10" t="str">
        <f t="shared" ref="H10:H73" si="7">"АРТ-"&amp;TEXT(VALUE(LEFT(SUBSTITUTE(SUBSTITUTE(SUBSTITUTE(SUBSTITUTE(TRIM(A10),"№",""),"АРТ-",""),"АРТ_",""),"АРТ",""),3)),"000")</f>
        <v>АРТ-009</v>
      </c>
      <c r="I10" t="str">
        <f t="shared" ref="I10:I73" si="8">PROPER(TRIM(IFERROR(LEFT(B10,FIND("(",B10)-1),B10)))</f>
        <v xml:space="preserve">Смартфон Samsung Galaxy S24</v>
      </c>
      <c r="J10" t="str">
        <f>IFERROR(VLOOKUP(TRIM(C10),Справочники!$A$3:$B$13,2,0),"Нет в справочнике")</f>
        <v>Смартфоны</v>
      </c>
      <c r="K10" t="str">
        <f t="shared" ref="K10:K73" si="9">IF(LEN(TRIM(D10))&lt;=3,UPPER(TRIM(D10)),PROPER(TRIM(D10)))</f>
        <v>Samsung</v>
      </c>
      <c r="L10" s="4">
        <f t="shared" ref="L10:L73" si="10">ROUND(VALUE(SUBSTITUTE(SUBSTITUTE(SUBSTITUTE(SUBSTITUTE(SUBSTITUTE(TRIM(E10)," ",""),"руб.",""),"₽",""),",",""),".",""))/IF(OR(ISNUMBER(FIND(",",SUBSTITUTE(SUBSTITUTE(SUBSTITUTE(TRIM(E10)," ",""),"руб.",""),"₽",""))),ISNUMBER(FIND(".",SUBSTITUTE(SUBSTITUTE(SUBSTITUTE(TRIM(E10)," ",""),"руб.",""),"₽","")))),100,1),2)</f>
        <v>40200</v>
      </c>
      <c r="M10" s="4">
        <f t="shared" ref="M10:M73" si="11">ROUND(VALUE(SUBSTITUTE(SUBSTITUTE(SUBSTITUTE(SUBSTITUTE(SUBSTITUTE(TRIM(F10)," ",""),"руб.",""),"₽",""),",",""),".",""))/IF(OR(ISNUMBER(FIND(",",SUBSTITUTE(SUBSTITUTE(SUBSTITUTE(TRIM(F10)," ",""),"руб.",""),"₽",""))),ISNUMBER(FIND(".",SUBSTITUTE(SUBSTITUTE(SUBSTITUTE(TRIM(F10)," ",""),"руб.",""),"₽","")))),100,1),2)</f>
        <v>70500</v>
      </c>
      <c r="N10" t="str">
        <f>IFERROR(VLOOKUP(TRIM(G10),Справочники!$P$3:$Q$7,2,0),"Нет в справочнике")</f>
        <v>шт.</v>
      </c>
      <c r="O10" t="str">
        <f t="shared" ref="O10:O73" si="12">IF(M10&gt;=L10,"ОК","Розница ниже закупки")</f>
        <v>ОК</v>
      </c>
      <c r="P10" t="str">
        <f t="shared" ref="P10:P73" si="13">IF(COUNTIF($H$2:$H$502,H10)&gt;1,"Повтор артикула","Уникальный")</f>
        <v>Уникальный</v>
      </c>
    </row>
    <row r="11">
      <c r="A11" s="3" t="s">
        <v>67</v>
      </c>
      <c r="B11" s="3" t="s">
        <v>68</v>
      </c>
      <c r="C11" s="3" t="s">
        <v>69</v>
      </c>
      <c r="D11" s="3" t="s">
        <v>19</v>
      </c>
      <c r="E11" s="3" t="s">
        <v>70</v>
      </c>
      <c r="F11" s="3" t="s">
        <v>71</v>
      </c>
      <c r="G11" s="3" t="s">
        <v>42</v>
      </c>
      <c r="H11" t="str">
        <f t="shared" si="7"/>
        <v>АРТ-010</v>
      </c>
      <c r="I11" t="str">
        <f t="shared" si="8"/>
        <v xml:space="preserve">Планшет Ipad Pro 12.9</v>
      </c>
      <c r="J11" t="str">
        <f>IFERROR(VLOOKUP(TRIM(C11),Справочники!$A$3:$B$13,2,0),"Нет в справочнике")</f>
        <v>Планшеты</v>
      </c>
      <c r="K11" t="str">
        <f t="shared" si="9"/>
        <v>Apple</v>
      </c>
      <c r="L11" s="4">
        <f t="shared" si="10"/>
        <v>55000</v>
      </c>
      <c r="M11" s="4">
        <f t="shared" si="11"/>
        <v>89900</v>
      </c>
      <c r="N11" t="str">
        <f>IFERROR(VLOOKUP(TRIM(G11),Справочники!$P$3:$Q$7,2,0),"Нет в справочнике")</f>
        <v>шт.</v>
      </c>
      <c r="O11" t="str">
        <f t="shared" si="12"/>
        <v>ОК</v>
      </c>
      <c r="P11" t="str">
        <f t="shared" si="13"/>
        <v>Уникальный</v>
      </c>
    </row>
    <row r="12">
      <c r="A12" s="3" t="s">
        <v>72</v>
      </c>
      <c r="B12" s="3" t="s">
        <v>73</v>
      </c>
      <c r="C12" s="3" t="s">
        <v>69</v>
      </c>
      <c r="D12" s="3" t="s">
        <v>74</v>
      </c>
      <c r="E12" s="3" t="s">
        <v>75</v>
      </c>
      <c r="F12" s="3" t="s">
        <v>76</v>
      </c>
      <c r="G12" s="3" t="s">
        <v>28</v>
      </c>
      <c r="H12" t="str">
        <f t="shared" si="7"/>
        <v>АРТ-011</v>
      </c>
      <c r="I12" t="str">
        <f t="shared" si="8"/>
        <v xml:space="preserve">Планшет Apple Ipad Pro 12.9</v>
      </c>
      <c r="J12" t="str">
        <f>IFERROR(VLOOKUP(TRIM(C12),Справочники!$A$3:$B$13,2,0),"Нет в справочнике")</f>
        <v>Планшеты</v>
      </c>
      <c r="K12" t="str">
        <f t="shared" si="9"/>
        <v>Apple</v>
      </c>
      <c r="L12" s="4">
        <f t="shared" si="10"/>
        <v>54500</v>
      </c>
      <c r="M12" s="4">
        <f t="shared" si="11"/>
        <v>88500</v>
      </c>
      <c r="N12" t="str">
        <f>IFERROR(VLOOKUP(TRIM(G12),Справочники!$P$3:$Q$7,2,0),"Нет в справочнике")</f>
        <v>шт.</v>
      </c>
      <c r="O12" t="str">
        <f t="shared" si="12"/>
        <v>ОК</v>
      </c>
      <c r="P12" t="str">
        <f t="shared" si="13"/>
        <v>Уникальный</v>
      </c>
    </row>
    <row r="13">
      <c r="A13" s="3" t="s">
        <v>77</v>
      </c>
      <c r="B13" s="3" t="s">
        <v>78</v>
      </c>
      <c r="C13" s="3" t="s">
        <v>69</v>
      </c>
      <c r="D13" s="3" t="s">
        <v>19</v>
      </c>
      <c r="E13" s="3" t="s">
        <v>79</v>
      </c>
      <c r="F13" s="3" t="s">
        <v>80</v>
      </c>
      <c r="G13" s="3" t="s">
        <v>22</v>
      </c>
      <c r="H13" t="str">
        <f t="shared" si="7"/>
        <v>АРТ-012</v>
      </c>
      <c r="I13" t="str">
        <f t="shared" si="8"/>
        <v xml:space="preserve">Планшет Apple Ipad Pro 12.9</v>
      </c>
      <c r="J13" t="str">
        <f>IFERROR(VLOOKUP(TRIM(C13),Справочники!$A$3:$B$13,2,0),"Нет в справочнике")</f>
        <v>Планшеты</v>
      </c>
      <c r="K13" t="str">
        <f t="shared" si="9"/>
        <v>Apple</v>
      </c>
      <c r="L13" s="4">
        <f t="shared" si="10"/>
        <v>56000</v>
      </c>
      <c r="M13" s="4">
        <f t="shared" si="11"/>
        <v>91000</v>
      </c>
      <c r="N13" t="str">
        <f>IFERROR(VLOOKUP(TRIM(G13),Справочники!$P$3:$Q$7,2,0),"Нет в справочнике")</f>
        <v>шт.</v>
      </c>
      <c r="O13" t="str">
        <f t="shared" si="12"/>
        <v>ОК</v>
      </c>
      <c r="P13" t="str">
        <f t="shared" si="13"/>
        <v>Уникальный</v>
      </c>
    </row>
    <row r="14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42</v>
      </c>
      <c r="H14" t="str">
        <f t="shared" si="7"/>
        <v>АРТ-013</v>
      </c>
      <c r="I14" t="str">
        <f t="shared" si="8"/>
        <v xml:space="preserve">Телевизор Lg Oled65C3</v>
      </c>
      <c r="J14" t="str">
        <f>IFERROR(VLOOKUP(TRIM(C14),Справочники!$A$3:$B$13,2,0),"Нет в справочнике")</f>
        <v>Телевизоры</v>
      </c>
      <c r="K14" t="str">
        <f t="shared" si="9"/>
        <v>LG</v>
      </c>
      <c r="L14" s="4">
        <f t="shared" si="10"/>
        <v>95000</v>
      </c>
      <c r="M14" s="4">
        <f t="shared" si="11"/>
        <v>149999</v>
      </c>
      <c r="N14" t="str">
        <f>IFERROR(VLOOKUP(TRIM(G14),Справочники!$P$3:$Q$7,2,0),"Нет в справочнике")</f>
        <v>шт.</v>
      </c>
      <c r="O14" t="str">
        <f t="shared" si="12"/>
        <v>ОК</v>
      </c>
      <c r="P14" t="str">
        <f t="shared" si="13"/>
        <v>Уникальный</v>
      </c>
    </row>
    <row r="15">
      <c r="A15" s="3" t="s">
        <v>87</v>
      </c>
      <c r="B15" s="3" t="s">
        <v>88</v>
      </c>
      <c r="C15" s="3" t="s">
        <v>83</v>
      </c>
      <c r="D15" s="3" t="s">
        <v>89</v>
      </c>
      <c r="E15" s="3" t="s">
        <v>90</v>
      </c>
      <c r="F15" s="3" t="s">
        <v>91</v>
      </c>
      <c r="G15" s="3" t="s">
        <v>35</v>
      </c>
      <c r="H15" t="str">
        <f t="shared" si="7"/>
        <v>АРТ-014</v>
      </c>
      <c r="I15" t="str">
        <f t="shared" si="8"/>
        <v xml:space="preserve">Телевизор Lg Oled65C3</v>
      </c>
      <c r="J15" t="str">
        <f>IFERROR(VLOOKUP(TRIM(C15),Справочники!$A$3:$B$13,2,0),"Нет в справочнике")</f>
        <v>Телевизоры</v>
      </c>
      <c r="K15" t="str">
        <f t="shared" si="9"/>
        <v>LG</v>
      </c>
      <c r="L15" s="4">
        <f t="shared" si="10"/>
        <v>93500</v>
      </c>
      <c r="M15" s="4">
        <f t="shared" si="11"/>
        <v>147500</v>
      </c>
      <c r="N15" t="str">
        <f>IFERROR(VLOOKUP(TRIM(G15),Справочники!$P$3:$Q$7,2,0),"Нет в справочнике")</f>
        <v>шт.</v>
      </c>
      <c r="O15" t="str">
        <f t="shared" si="12"/>
        <v>ОК</v>
      </c>
      <c r="P15" t="str">
        <f t="shared" si="13"/>
        <v>Уникальный</v>
      </c>
    </row>
    <row r="16">
      <c r="A16" s="3" t="s">
        <v>92</v>
      </c>
      <c r="B16" s="3" t="s">
        <v>93</v>
      </c>
      <c r="C16" s="3" t="s">
        <v>83</v>
      </c>
      <c r="D16" s="3" t="s">
        <v>84</v>
      </c>
      <c r="E16" s="3" t="s">
        <v>94</v>
      </c>
      <c r="F16" s="3" t="s">
        <v>95</v>
      </c>
      <c r="G16" s="3" t="s">
        <v>22</v>
      </c>
      <c r="H16" t="str">
        <f t="shared" si="7"/>
        <v>АРТ-015</v>
      </c>
      <c r="I16" t="str">
        <f t="shared" si="8"/>
        <v xml:space="preserve">Телевизор Lg Oled65C3</v>
      </c>
      <c r="J16" t="str">
        <f>IFERROR(VLOOKUP(TRIM(C16),Справочники!$A$3:$B$13,2,0),"Нет в справочнике")</f>
        <v>Телевизоры</v>
      </c>
      <c r="K16" t="str">
        <f t="shared" si="9"/>
        <v>LG</v>
      </c>
      <c r="L16" s="4">
        <f t="shared" si="10"/>
        <v>96500</v>
      </c>
      <c r="M16" s="4">
        <f t="shared" si="11"/>
        <v>151000</v>
      </c>
      <c r="N16" t="str">
        <f>IFERROR(VLOOKUP(TRIM(G16),Справочники!$P$3:$Q$7,2,0),"Нет в справочнике")</f>
        <v>шт.</v>
      </c>
      <c r="O16" t="str">
        <f t="shared" si="12"/>
        <v>ОК</v>
      </c>
      <c r="P16" t="str">
        <f t="shared" si="13"/>
        <v>Уникальный</v>
      </c>
    </row>
    <row r="17">
      <c r="A17" s="3" t="s">
        <v>96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42</v>
      </c>
      <c r="H17" t="str">
        <f t="shared" si="7"/>
        <v>АРТ-016</v>
      </c>
      <c r="I17" t="str">
        <f t="shared" si="8"/>
        <v xml:space="preserve">Наушники Sony Wh-1000Xm5</v>
      </c>
      <c r="J17" t="str">
        <f>IFERROR(VLOOKUP(TRIM(C17),Справочники!$A$3:$B$13,2,0),"Нет в справочнике")</f>
        <v>Наушники</v>
      </c>
      <c r="K17" t="str">
        <f t="shared" si="9"/>
        <v>Sony</v>
      </c>
      <c r="L17" s="4">
        <f t="shared" si="10"/>
        <v>18000</v>
      </c>
      <c r="M17" s="4">
        <f t="shared" si="11"/>
        <v>29990</v>
      </c>
      <c r="N17" t="str">
        <f>IFERROR(VLOOKUP(TRIM(G17),Справочники!$P$3:$Q$7,2,0),"Нет в справочнике")</f>
        <v>шт.</v>
      </c>
      <c r="O17" t="str">
        <f t="shared" si="12"/>
        <v>ОК</v>
      </c>
      <c r="P17" t="str">
        <f t="shared" si="13"/>
        <v>Уникальный</v>
      </c>
    </row>
    <row r="18">
      <c r="A18" s="3" t="s">
        <v>102</v>
      </c>
      <c r="B18" s="3" t="s">
        <v>103</v>
      </c>
      <c r="C18" s="3" t="s">
        <v>98</v>
      </c>
      <c r="D18" s="3" t="s">
        <v>104</v>
      </c>
      <c r="E18" s="3" t="s">
        <v>105</v>
      </c>
      <c r="F18" s="3" t="s">
        <v>106</v>
      </c>
      <c r="G18" s="3" t="s">
        <v>28</v>
      </c>
      <c r="H18" t="str">
        <f t="shared" si="7"/>
        <v>АРТ-017</v>
      </c>
      <c r="I18" t="str">
        <f t="shared" si="8"/>
        <v xml:space="preserve">Наушники Sony Wh-1000Xm5</v>
      </c>
      <c r="J18" t="str">
        <f>IFERROR(VLOOKUP(TRIM(C18),Справочники!$A$3:$B$13,2,0),"Нет в справочнике")</f>
        <v>Наушники</v>
      </c>
      <c r="K18" t="str">
        <f t="shared" si="9"/>
        <v>Sony</v>
      </c>
      <c r="L18" s="4">
        <f t="shared" si="10"/>
        <v>17500</v>
      </c>
      <c r="M18" s="4">
        <f t="shared" si="11"/>
        <v>28900</v>
      </c>
      <c r="N18" t="str">
        <f>IFERROR(VLOOKUP(TRIM(G18),Справочники!$P$3:$Q$7,2,0),"Нет в справочнике")</f>
        <v>шт.</v>
      </c>
      <c r="O18" t="str">
        <f t="shared" si="12"/>
        <v>ОК</v>
      </c>
      <c r="P18" t="str">
        <f t="shared" si="13"/>
        <v>Уникальный</v>
      </c>
    </row>
    <row r="19">
      <c r="A19" s="3" t="s">
        <v>107</v>
      </c>
      <c r="B19" s="3" t="s">
        <v>108</v>
      </c>
      <c r="C19" s="3" t="s">
        <v>98</v>
      </c>
      <c r="D19" s="3" t="s">
        <v>99</v>
      </c>
      <c r="E19" s="3" t="s">
        <v>109</v>
      </c>
      <c r="F19" s="3" t="s">
        <v>110</v>
      </c>
      <c r="G19" s="3" t="s">
        <v>22</v>
      </c>
      <c r="H19" t="str">
        <f t="shared" si="7"/>
        <v>АРТ-018</v>
      </c>
      <c r="I19" t="str">
        <f t="shared" si="8"/>
        <v xml:space="preserve">Наушники Sony Wh-1000Xm5</v>
      </c>
      <c r="J19" t="str">
        <f>IFERROR(VLOOKUP(TRIM(C19),Справочники!$A$3:$B$13,2,0),"Нет в справочнике")</f>
        <v>Наушники</v>
      </c>
      <c r="K19" t="str">
        <f t="shared" si="9"/>
        <v>Sony</v>
      </c>
      <c r="L19" s="4">
        <f t="shared" si="10"/>
        <v>18500</v>
      </c>
      <c r="M19" s="4">
        <f t="shared" si="11"/>
        <v>30500</v>
      </c>
      <c r="N19" t="str">
        <f>IFERROR(VLOOKUP(TRIM(G19),Справочники!$P$3:$Q$7,2,0),"Нет в справочнике")</f>
        <v>шт.</v>
      </c>
      <c r="O19" t="str">
        <f t="shared" si="12"/>
        <v>ОК</v>
      </c>
      <c r="P19" t="str">
        <f t="shared" si="13"/>
        <v>Уникальный</v>
      </c>
    </row>
    <row r="20">
      <c r="A20" s="3" t="s">
        <v>111</v>
      </c>
      <c r="B20" s="3" t="s">
        <v>112</v>
      </c>
      <c r="C20" s="3" t="s">
        <v>38</v>
      </c>
      <c r="D20" s="3" t="s">
        <v>113</v>
      </c>
      <c r="E20" s="3" t="s">
        <v>114</v>
      </c>
      <c r="F20" s="3" t="s">
        <v>115</v>
      </c>
      <c r="G20" s="3" t="s">
        <v>42</v>
      </c>
      <c r="H20" t="str">
        <f t="shared" si="7"/>
        <v>АРТ-019</v>
      </c>
      <c r="I20" t="str">
        <f t="shared" si="8"/>
        <v xml:space="preserve">Ноутбук Lenovo Thinkpad X1</v>
      </c>
      <c r="J20" t="str">
        <f>IFERROR(VLOOKUP(TRIM(C20),Справочники!$A$3:$B$13,2,0),"Нет в справочнике")</f>
        <v>Ноутбуки</v>
      </c>
      <c r="K20" t="str">
        <f t="shared" si="9"/>
        <v>Lenovo</v>
      </c>
      <c r="L20" s="4">
        <f t="shared" si="10"/>
        <v>90000</v>
      </c>
      <c r="M20" s="4">
        <f t="shared" si="11"/>
        <v>135000</v>
      </c>
      <c r="N20" t="str">
        <f>IFERROR(VLOOKUP(TRIM(G20),Справочники!$P$3:$Q$7,2,0),"Нет в справочнике")</f>
        <v>шт.</v>
      </c>
      <c r="O20" t="str">
        <f t="shared" si="12"/>
        <v>ОК</v>
      </c>
      <c r="P20" t="str">
        <f t="shared" si="13"/>
        <v>Уникальный</v>
      </c>
    </row>
    <row r="21">
      <c r="A21" s="3" t="s">
        <v>116</v>
      </c>
      <c r="B21" s="3" t="s">
        <v>117</v>
      </c>
      <c r="C21" s="3" t="s">
        <v>45</v>
      </c>
      <c r="D21" s="3" t="s">
        <v>118</v>
      </c>
      <c r="E21" s="3" t="s">
        <v>119</v>
      </c>
      <c r="F21" s="3" t="s">
        <v>120</v>
      </c>
      <c r="G21" s="3" t="s">
        <v>35</v>
      </c>
      <c r="H21" t="str">
        <f t="shared" si="7"/>
        <v>АРТ-020</v>
      </c>
      <c r="I21" t="str">
        <f t="shared" si="8"/>
        <v xml:space="preserve">Ноутбук Lenovo Thinkpad X1</v>
      </c>
      <c r="J21" t="str">
        <f>IFERROR(VLOOKUP(TRIM(C21),Справочники!$A$3:$B$13,2,0),"Нет в справочнике")</f>
        <v>Ноутбуки</v>
      </c>
      <c r="K21" t="str">
        <f t="shared" si="9"/>
        <v>Lenovo</v>
      </c>
      <c r="L21" s="4">
        <f t="shared" si="10"/>
        <v>89000</v>
      </c>
      <c r="M21" s="4">
        <f t="shared" si="11"/>
        <v>133500</v>
      </c>
      <c r="N21" t="str">
        <f>IFERROR(VLOOKUP(TRIM(G21),Справочники!$P$3:$Q$7,2,0),"Нет в справочнике")</f>
        <v>шт.</v>
      </c>
      <c r="O21" t="str">
        <f t="shared" si="12"/>
        <v>ОК</v>
      </c>
      <c r="P21" t="str">
        <f t="shared" si="13"/>
        <v>Уникальный</v>
      </c>
    </row>
    <row r="22">
      <c r="A22" s="3" t="s">
        <v>121</v>
      </c>
      <c r="B22" s="3" t="s">
        <v>122</v>
      </c>
      <c r="C22" s="3" t="s">
        <v>38</v>
      </c>
      <c r="D22" s="3" t="s">
        <v>123</v>
      </c>
      <c r="E22" s="3" t="s">
        <v>124</v>
      </c>
      <c r="F22" s="3" t="s">
        <v>125</v>
      </c>
      <c r="G22" s="3" t="s">
        <v>22</v>
      </c>
      <c r="H22" t="str">
        <f t="shared" si="7"/>
        <v>АРТ-021</v>
      </c>
      <c r="I22" t="str">
        <f t="shared" si="8"/>
        <v xml:space="preserve">Ноутбук Lenovo Thinkpad X1</v>
      </c>
      <c r="J22" t="str">
        <f>IFERROR(VLOOKUP(TRIM(C22),Справочники!$A$3:$B$13,2,0),"Нет в справочнике")</f>
        <v>Ноутбуки</v>
      </c>
      <c r="K22" t="str">
        <f t="shared" si="9"/>
        <v>Lenovo</v>
      </c>
      <c r="L22" s="4">
        <f t="shared" si="10"/>
        <v>91500</v>
      </c>
      <c r="M22" s="4">
        <f t="shared" si="11"/>
        <v>137000</v>
      </c>
      <c r="N22" t="str">
        <f>IFERROR(VLOOKUP(TRIM(G22),Справочники!$P$3:$Q$7,2,0),"Нет в справочнике")</f>
        <v>шт.</v>
      </c>
      <c r="O22" t="str">
        <f t="shared" si="12"/>
        <v>ОК</v>
      </c>
      <c r="P22" t="str">
        <f t="shared" si="13"/>
        <v>Уникальный</v>
      </c>
    </row>
    <row r="23">
      <c r="A23" s="3" t="s">
        <v>126</v>
      </c>
      <c r="B23" s="3" t="s">
        <v>127</v>
      </c>
      <c r="C23" s="3" t="s">
        <v>18</v>
      </c>
      <c r="D23" s="3" t="s">
        <v>128</v>
      </c>
      <c r="E23" s="3" t="s">
        <v>129</v>
      </c>
      <c r="F23" s="3" t="s">
        <v>130</v>
      </c>
      <c r="G23" s="3" t="s">
        <v>42</v>
      </c>
      <c r="H23" t="str">
        <f t="shared" si="7"/>
        <v>АРТ-022</v>
      </c>
      <c r="I23" t="str">
        <f t="shared" si="8"/>
        <v xml:space="preserve">Смартфон Xiaomi 14 Pro</v>
      </c>
      <c r="J23" t="str">
        <f>IFERROR(VLOOKUP(TRIM(C23),Справочники!$A$3:$B$13,2,0),"Нет в справочнике")</f>
        <v>Смартфоны</v>
      </c>
      <c r="K23" t="str">
        <f t="shared" si="9"/>
        <v>Xiaomi</v>
      </c>
      <c r="L23" s="4">
        <f t="shared" si="10"/>
        <v>35000</v>
      </c>
      <c r="M23" s="4">
        <f t="shared" si="11"/>
        <v>59999</v>
      </c>
      <c r="N23" t="str">
        <f>IFERROR(VLOOKUP(TRIM(G23),Справочники!$P$3:$Q$7,2,0),"Нет в справочнике")</f>
        <v>шт.</v>
      </c>
      <c r="O23" t="str">
        <f t="shared" si="12"/>
        <v>ОК</v>
      </c>
      <c r="P23" t="str">
        <f t="shared" si="13"/>
        <v>Уникальный</v>
      </c>
    </row>
    <row r="24">
      <c r="A24" s="3" t="s">
        <v>131</v>
      </c>
      <c r="B24" s="3" t="s">
        <v>132</v>
      </c>
      <c r="C24" s="3" t="s">
        <v>25</v>
      </c>
      <c r="D24" s="3" t="s">
        <v>133</v>
      </c>
      <c r="E24" s="3" t="s">
        <v>134</v>
      </c>
      <c r="F24" s="3" t="s">
        <v>135</v>
      </c>
      <c r="G24" s="3" t="s">
        <v>28</v>
      </c>
      <c r="H24" t="str">
        <f t="shared" si="7"/>
        <v>АРТ-023</v>
      </c>
      <c r="I24" t="str">
        <f t="shared" si="8"/>
        <v xml:space="preserve">Смартфон Xiaomi 14 Pro</v>
      </c>
      <c r="J24" t="str">
        <f>IFERROR(VLOOKUP(TRIM(C24),Справочники!$A$3:$B$13,2,0),"Нет в справочнике")</f>
        <v>Смартфоны</v>
      </c>
      <c r="K24" t="str">
        <f t="shared" si="9"/>
        <v>Xiaomi</v>
      </c>
      <c r="L24" s="4">
        <f t="shared" si="10"/>
        <v>34500</v>
      </c>
      <c r="M24" s="4">
        <f t="shared" si="11"/>
        <v>58500</v>
      </c>
      <c r="N24" t="str">
        <f>IFERROR(VLOOKUP(TRIM(G24),Справочники!$P$3:$Q$7,2,0),"Нет в справочнике")</f>
        <v>шт.</v>
      </c>
      <c r="O24" t="str">
        <f t="shared" si="12"/>
        <v>ОК</v>
      </c>
      <c r="P24" t="str">
        <f t="shared" si="13"/>
        <v>Уникальный</v>
      </c>
    </row>
    <row r="25">
      <c r="A25" s="3" t="s">
        <v>136</v>
      </c>
      <c r="B25" s="3" t="s">
        <v>137</v>
      </c>
      <c r="C25" s="3" t="s">
        <v>31</v>
      </c>
      <c r="D25" s="3" t="s">
        <v>138</v>
      </c>
      <c r="E25" s="3" t="s">
        <v>139</v>
      </c>
      <c r="F25" s="3" t="s">
        <v>140</v>
      </c>
      <c r="G25" s="3" t="s">
        <v>22</v>
      </c>
      <c r="H25" t="str">
        <f t="shared" si="7"/>
        <v>АРТ-024</v>
      </c>
      <c r="I25" t="str">
        <f t="shared" si="8"/>
        <v xml:space="preserve">Смартфон Xiaomi 14 Pro</v>
      </c>
      <c r="J25" t="str">
        <f>IFERROR(VLOOKUP(TRIM(C25),Справочники!$A$3:$B$13,2,0),"Нет в справочнике")</f>
        <v>Смартфоны</v>
      </c>
      <c r="K25" t="str">
        <f t="shared" si="9"/>
        <v>Xiaomi</v>
      </c>
      <c r="L25" s="4">
        <f t="shared" si="10"/>
        <v>35800</v>
      </c>
      <c r="M25" s="4">
        <f t="shared" si="11"/>
        <v>60800</v>
      </c>
      <c r="N25" t="str">
        <f>IFERROR(VLOOKUP(TRIM(G25),Справочники!$P$3:$Q$7,2,0),"Нет в справочнике")</f>
        <v>шт.</v>
      </c>
      <c r="O25" t="str">
        <f t="shared" si="12"/>
        <v>ОК</v>
      </c>
      <c r="P25" t="str">
        <f t="shared" si="13"/>
        <v>Уникальный</v>
      </c>
    </row>
    <row r="26">
      <c r="A26" s="3" t="s">
        <v>141</v>
      </c>
      <c r="B26" s="3" t="s">
        <v>142</v>
      </c>
      <c r="C26" s="3" t="s">
        <v>143</v>
      </c>
      <c r="D26" s="3" t="s">
        <v>55</v>
      </c>
      <c r="E26" s="3" t="s">
        <v>144</v>
      </c>
      <c r="F26" s="3" t="s">
        <v>145</v>
      </c>
      <c r="G26" s="3" t="s">
        <v>42</v>
      </c>
      <c r="H26" t="str">
        <f t="shared" si="7"/>
        <v>АРТ-025</v>
      </c>
      <c r="I26" t="str">
        <f t="shared" si="8"/>
        <v xml:space="preserve">Монитор Samsung Odyssey G9</v>
      </c>
      <c r="J26" t="str">
        <f>IFERROR(VLOOKUP(TRIM(C26),Справочники!$A$3:$B$13,2,0),"Нет в справочнике")</f>
        <v>Мониторы</v>
      </c>
      <c r="K26" t="str">
        <f t="shared" si="9"/>
        <v>Samsung</v>
      </c>
      <c r="L26" s="4">
        <f t="shared" si="10"/>
        <v>65000</v>
      </c>
      <c r="M26" s="4">
        <f t="shared" si="11"/>
        <v>99900</v>
      </c>
      <c r="N26" t="str">
        <f>IFERROR(VLOOKUP(TRIM(G26),Справочники!$P$3:$Q$7,2,0),"Нет в справочнике")</f>
        <v>шт.</v>
      </c>
      <c r="O26" t="str">
        <f t="shared" si="12"/>
        <v>ОК</v>
      </c>
      <c r="P26" t="str">
        <f t="shared" si="13"/>
        <v>Уникальный</v>
      </c>
    </row>
    <row r="27">
      <c r="A27" s="3" t="s">
        <v>146</v>
      </c>
      <c r="B27" s="3" t="s">
        <v>147</v>
      </c>
      <c r="C27" s="3" t="s">
        <v>143</v>
      </c>
      <c r="D27" s="3" t="s">
        <v>148</v>
      </c>
      <c r="E27" s="3" t="s">
        <v>149</v>
      </c>
      <c r="F27" s="3" t="s">
        <v>150</v>
      </c>
      <c r="G27" s="3" t="s">
        <v>35</v>
      </c>
      <c r="H27" t="str">
        <f t="shared" si="7"/>
        <v>АРТ-026</v>
      </c>
      <c r="I27" t="str">
        <f t="shared" si="8"/>
        <v xml:space="preserve">Монитор Samsung Odyssey G9</v>
      </c>
      <c r="J27" t="str">
        <f>IFERROR(VLOOKUP(TRIM(C27),Справочники!$A$3:$B$13,2,0),"Нет в справочнике")</f>
        <v>Мониторы</v>
      </c>
      <c r="K27" t="str">
        <f t="shared" si="9"/>
        <v>Samsung</v>
      </c>
      <c r="L27" s="4">
        <f t="shared" si="10"/>
        <v>64000</v>
      </c>
      <c r="M27" s="4">
        <f t="shared" si="11"/>
        <v>98000</v>
      </c>
      <c r="N27" t="str">
        <f>IFERROR(VLOOKUP(TRIM(G27),Справочники!$P$3:$Q$7,2,0),"Нет в справочнике")</f>
        <v>шт.</v>
      </c>
      <c r="O27" t="str">
        <f t="shared" si="12"/>
        <v>ОК</v>
      </c>
      <c r="P27" t="str">
        <f t="shared" si="13"/>
        <v>Уникальный</v>
      </c>
    </row>
    <row r="28">
      <c r="A28" s="3" t="s">
        <v>151</v>
      </c>
      <c r="B28" s="3" t="s">
        <v>152</v>
      </c>
      <c r="C28" s="3" t="s">
        <v>143</v>
      </c>
      <c r="D28" s="3" t="s">
        <v>55</v>
      </c>
      <c r="E28" s="3" t="s">
        <v>153</v>
      </c>
      <c r="F28" s="3" t="s">
        <v>154</v>
      </c>
      <c r="G28" s="3" t="s">
        <v>22</v>
      </c>
      <c r="H28" t="str">
        <f t="shared" si="7"/>
        <v>АРТ-027</v>
      </c>
      <c r="I28" t="str">
        <f t="shared" si="8"/>
        <v xml:space="preserve">Монитор Samsung Odyssey G9</v>
      </c>
      <c r="J28" t="str">
        <f>IFERROR(VLOOKUP(TRIM(C28),Справочники!$A$3:$B$13,2,0),"Нет в справочнике")</f>
        <v>Мониторы</v>
      </c>
      <c r="K28" t="str">
        <f t="shared" si="9"/>
        <v>Samsung</v>
      </c>
      <c r="L28" s="4">
        <f t="shared" si="10"/>
        <v>66500</v>
      </c>
      <c r="M28" s="4">
        <f t="shared" si="11"/>
        <v>101500</v>
      </c>
      <c r="N28" t="str">
        <f>IFERROR(VLOOKUP(TRIM(G28),Справочники!$P$3:$Q$7,2,0),"Нет в справочнике")</f>
        <v>шт.</v>
      </c>
      <c r="O28" t="str">
        <f t="shared" si="12"/>
        <v>ОК</v>
      </c>
      <c r="P28" t="str">
        <f t="shared" si="13"/>
        <v>Уникальный</v>
      </c>
    </row>
    <row r="29">
      <c r="A29" s="3" t="s">
        <v>155</v>
      </c>
      <c r="B29" s="3" t="s">
        <v>156</v>
      </c>
      <c r="C29" s="3" t="s">
        <v>157</v>
      </c>
      <c r="D29" s="3" t="s">
        <v>158</v>
      </c>
      <c r="E29" s="3" t="s">
        <v>159</v>
      </c>
      <c r="F29" s="3" t="s">
        <v>160</v>
      </c>
      <c r="G29" s="3" t="s">
        <v>42</v>
      </c>
      <c r="H29" t="str">
        <f t="shared" si="7"/>
        <v>АРТ-028</v>
      </c>
      <c r="I29" t="str">
        <f t="shared" si="8"/>
        <v xml:space="preserve">Клавиатура Logitech Mx Keys</v>
      </c>
      <c r="J29" t="str">
        <f>IFERROR(VLOOKUP(TRIM(C29),Справочники!$A$3:$B$13,2,0),"Нет в справочнике")</f>
        <v>Аксессуары</v>
      </c>
      <c r="K29" t="str">
        <f t="shared" si="9"/>
        <v>Logitech</v>
      </c>
      <c r="L29" s="4">
        <f t="shared" si="10"/>
        <v>5500</v>
      </c>
      <c r="M29" s="4">
        <f t="shared" si="11"/>
        <v>9990</v>
      </c>
      <c r="N29" t="str">
        <f>IFERROR(VLOOKUP(TRIM(G29),Справочники!$P$3:$Q$7,2,0),"Нет в справочнике")</f>
        <v>шт.</v>
      </c>
      <c r="O29" t="str">
        <f t="shared" si="12"/>
        <v>ОК</v>
      </c>
      <c r="P29" t="str">
        <f t="shared" si="13"/>
        <v>Уникальный</v>
      </c>
    </row>
    <row r="30">
      <c r="A30" s="3" t="s">
        <v>161</v>
      </c>
      <c r="B30" s="3" t="s">
        <v>162</v>
      </c>
      <c r="C30" s="3" t="s">
        <v>157</v>
      </c>
      <c r="D30" s="3" t="s">
        <v>163</v>
      </c>
      <c r="E30" s="3" t="s">
        <v>164</v>
      </c>
      <c r="F30" s="3" t="s">
        <v>165</v>
      </c>
      <c r="G30" s="3" t="s">
        <v>28</v>
      </c>
      <c r="H30" t="str">
        <f t="shared" si="7"/>
        <v>АРТ-029</v>
      </c>
      <c r="I30" t="str">
        <f t="shared" si="8"/>
        <v xml:space="preserve">Клавиатура Logitech Mx Keys</v>
      </c>
      <c r="J30" t="str">
        <f>IFERROR(VLOOKUP(TRIM(C30),Справочники!$A$3:$B$13,2,0),"Нет в справочнике")</f>
        <v>Аксессуары</v>
      </c>
      <c r="K30" t="str">
        <f t="shared" si="9"/>
        <v>Logitech</v>
      </c>
      <c r="L30" s="4">
        <f t="shared" si="10"/>
        <v>5200</v>
      </c>
      <c r="M30" s="4">
        <f t="shared" si="11"/>
        <v>9500</v>
      </c>
      <c r="N30" t="str">
        <f>IFERROR(VLOOKUP(TRIM(G30),Справочники!$P$3:$Q$7,2,0),"Нет в справочнике")</f>
        <v>шт.</v>
      </c>
      <c r="O30" t="str">
        <f t="shared" si="12"/>
        <v>ОК</v>
      </c>
      <c r="P30" t="str">
        <f t="shared" si="13"/>
        <v>Уникальный</v>
      </c>
    </row>
    <row r="31">
      <c r="A31" s="3" t="s">
        <v>166</v>
      </c>
      <c r="B31" s="3" t="s">
        <v>167</v>
      </c>
      <c r="C31" s="3" t="s">
        <v>157</v>
      </c>
      <c r="D31" s="3" t="s">
        <v>168</v>
      </c>
      <c r="E31" s="3" t="s">
        <v>169</v>
      </c>
      <c r="F31" s="3" t="s">
        <v>170</v>
      </c>
      <c r="G31" s="3" t="s">
        <v>22</v>
      </c>
      <c r="H31" t="str">
        <f t="shared" si="7"/>
        <v>АРТ-030</v>
      </c>
      <c r="I31" t="str">
        <f t="shared" si="8"/>
        <v xml:space="preserve">Клавиатура Logitech Mx Keys</v>
      </c>
      <c r="J31" t="str">
        <f>IFERROR(VLOOKUP(TRIM(C31),Справочники!$A$3:$B$13,2,0),"Нет в справочнике")</f>
        <v>Аксессуары</v>
      </c>
      <c r="K31" t="str">
        <f t="shared" si="9"/>
        <v>Logitech</v>
      </c>
      <c r="L31" s="4">
        <f t="shared" si="10"/>
        <v>5800</v>
      </c>
      <c r="M31" s="4">
        <f t="shared" si="11"/>
        <v>10500</v>
      </c>
      <c r="N31" t="str">
        <f>IFERROR(VLOOKUP(TRIM(G31),Справочники!$P$3:$Q$7,2,0),"Нет в справочнике")</f>
        <v>шт.</v>
      </c>
      <c r="O31" t="str">
        <f t="shared" si="12"/>
        <v>ОК</v>
      </c>
      <c r="P31" t="str">
        <f t="shared" si="13"/>
        <v>Уникальный</v>
      </c>
    </row>
    <row r="32">
      <c r="A32" s="3" t="s">
        <v>171</v>
      </c>
      <c r="B32" s="3" t="s">
        <v>172</v>
      </c>
      <c r="C32" s="3" t="s">
        <v>157</v>
      </c>
      <c r="D32" s="3" t="s">
        <v>158</v>
      </c>
      <c r="E32" s="3" t="s">
        <v>173</v>
      </c>
      <c r="F32" s="3" t="s">
        <v>174</v>
      </c>
      <c r="G32" s="3" t="s">
        <v>42</v>
      </c>
      <c r="H32" t="str">
        <f t="shared" si="7"/>
        <v>АРТ-031</v>
      </c>
      <c r="I32" t="str">
        <f t="shared" si="8"/>
        <v xml:space="preserve">Мышь Logitech Mx Master 3S</v>
      </c>
      <c r="J32" t="str">
        <f>IFERROR(VLOOKUP(TRIM(C32),Справочники!$A$3:$B$13,2,0),"Нет в справочнике")</f>
        <v>Аксессуары</v>
      </c>
      <c r="K32" t="str">
        <f t="shared" si="9"/>
        <v>Logitech</v>
      </c>
      <c r="L32" s="4">
        <f t="shared" si="10"/>
        <v>4500</v>
      </c>
      <c r="M32" s="4">
        <f t="shared" si="11"/>
        <v>8990</v>
      </c>
      <c r="N32" t="str">
        <f>IFERROR(VLOOKUP(TRIM(G32),Справочники!$P$3:$Q$7,2,0),"Нет в справочнике")</f>
        <v>шт.</v>
      </c>
      <c r="O32" t="str">
        <f t="shared" si="12"/>
        <v>ОК</v>
      </c>
      <c r="P32" t="str">
        <f t="shared" si="13"/>
        <v>Уникальный</v>
      </c>
    </row>
    <row r="33">
      <c r="A33" s="3" t="s">
        <v>175</v>
      </c>
      <c r="B33" s="3" t="s">
        <v>176</v>
      </c>
      <c r="C33" s="3" t="s">
        <v>157</v>
      </c>
      <c r="D33" s="3" t="s">
        <v>163</v>
      </c>
      <c r="E33" s="3" t="s">
        <v>177</v>
      </c>
      <c r="F33" s="3" t="s">
        <v>178</v>
      </c>
      <c r="G33" s="3" t="s">
        <v>35</v>
      </c>
      <c r="H33" t="str">
        <f t="shared" si="7"/>
        <v>АРТ-032</v>
      </c>
      <c r="I33" t="str">
        <f t="shared" si="8"/>
        <v xml:space="preserve">Мышь Logitech Mx Master 3S</v>
      </c>
      <c r="J33" t="str">
        <f>IFERROR(VLOOKUP(TRIM(C33),Справочники!$A$3:$B$13,2,0),"Нет в справочнике")</f>
        <v>Аксессуары</v>
      </c>
      <c r="K33" t="str">
        <f t="shared" si="9"/>
        <v>Logitech</v>
      </c>
      <c r="L33" s="4">
        <f t="shared" si="10"/>
        <v>4200</v>
      </c>
      <c r="M33" s="4">
        <f t="shared" si="11"/>
        <v>8500</v>
      </c>
      <c r="N33" t="str">
        <f>IFERROR(VLOOKUP(TRIM(G33),Справочники!$P$3:$Q$7,2,0),"Нет в справочнике")</f>
        <v>шт.</v>
      </c>
      <c r="O33" t="str">
        <f t="shared" si="12"/>
        <v>ОК</v>
      </c>
      <c r="P33" t="str">
        <f t="shared" si="13"/>
        <v>Уникальный</v>
      </c>
    </row>
    <row r="34">
      <c r="A34" s="3" t="s">
        <v>179</v>
      </c>
      <c r="B34" s="3" t="s">
        <v>180</v>
      </c>
      <c r="C34" s="3" t="s">
        <v>157</v>
      </c>
      <c r="D34" s="3" t="s">
        <v>168</v>
      </c>
      <c r="E34" s="3" t="s">
        <v>181</v>
      </c>
      <c r="F34" s="3" t="s">
        <v>182</v>
      </c>
      <c r="G34" s="3" t="s">
        <v>22</v>
      </c>
      <c r="H34" t="str">
        <f t="shared" si="7"/>
        <v>АРТ-033</v>
      </c>
      <c r="I34" t="str">
        <f t="shared" si="8"/>
        <v xml:space="preserve">Мышь Logitech Mx Master 3S</v>
      </c>
      <c r="J34" t="str">
        <f>IFERROR(VLOOKUP(TRIM(C34),Справочники!$A$3:$B$13,2,0),"Нет в справочнике")</f>
        <v>Аксессуары</v>
      </c>
      <c r="K34" t="str">
        <f t="shared" si="9"/>
        <v>Logitech</v>
      </c>
      <c r="L34" s="4">
        <f t="shared" si="10"/>
        <v>4800</v>
      </c>
      <c r="M34" s="4">
        <f t="shared" si="11"/>
        <v>9200</v>
      </c>
      <c r="N34" t="str">
        <f>IFERROR(VLOOKUP(TRIM(G34),Справочники!$P$3:$Q$7,2,0),"Нет в справочнике")</f>
        <v>шт.</v>
      </c>
      <c r="O34" t="str">
        <f t="shared" si="12"/>
        <v>ОК</v>
      </c>
      <c r="P34" t="str">
        <f t="shared" si="13"/>
        <v>Уникальный</v>
      </c>
    </row>
    <row r="35">
      <c r="A35" s="3" t="s">
        <v>183</v>
      </c>
      <c r="B35" s="3" t="s">
        <v>184</v>
      </c>
      <c r="C35" s="3" t="s">
        <v>69</v>
      </c>
      <c r="D35" s="3" t="s">
        <v>185</v>
      </c>
      <c r="E35" s="3" t="s">
        <v>186</v>
      </c>
      <c r="F35" s="3" t="s">
        <v>187</v>
      </c>
      <c r="G35" s="3" t="s">
        <v>42</v>
      </c>
      <c r="H35" t="str">
        <f t="shared" si="7"/>
        <v>АРТ-034</v>
      </c>
      <c r="I35" t="str">
        <f t="shared" si="8"/>
        <v xml:space="preserve">Планшет Huawei Matepad Pro</v>
      </c>
      <c r="J35" t="str">
        <f>IFERROR(VLOOKUP(TRIM(C35),Справочники!$A$3:$B$13,2,0),"Нет в справочнике")</f>
        <v>Планшеты</v>
      </c>
      <c r="K35" t="str">
        <f t="shared" si="9"/>
        <v>Huawei</v>
      </c>
      <c r="L35" s="4">
        <f t="shared" si="10"/>
        <v>40000</v>
      </c>
      <c r="M35" s="4">
        <f t="shared" si="11"/>
        <v>64999</v>
      </c>
      <c r="N35" t="str">
        <f>IFERROR(VLOOKUP(TRIM(G35),Справочники!$P$3:$Q$7,2,0),"Нет в справочнике")</f>
        <v>шт.</v>
      </c>
      <c r="O35" t="str">
        <f t="shared" si="12"/>
        <v>ОК</v>
      </c>
      <c r="P35" t="str">
        <f t="shared" si="13"/>
        <v>Уникальный</v>
      </c>
    </row>
    <row r="36">
      <c r="A36" s="3" t="s">
        <v>188</v>
      </c>
      <c r="B36" s="3" t="s">
        <v>189</v>
      </c>
      <c r="C36" s="3" t="s">
        <v>69</v>
      </c>
      <c r="D36" s="3" t="s">
        <v>190</v>
      </c>
      <c r="E36" s="3" t="s">
        <v>191</v>
      </c>
      <c r="F36" s="3" t="s">
        <v>192</v>
      </c>
      <c r="G36" s="3" t="s">
        <v>28</v>
      </c>
      <c r="H36" t="str">
        <f t="shared" si="7"/>
        <v>АРТ-035</v>
      </c>
      <c r="I36" t="str">
        <f t="shared" si="8"/>
        <v xml:space="preserve">Планшет Huawei Matepad Pro</v>
      </c>
      <c r="J36" t="str">
        <f>IFERROR(VLOOKUP(TRIM(C36),Справочники!$A$3:$B$13,2,0),"Нет в справочнике")</f>
        <v>Планшеты</v>
      </c>
      <c r="K36" t="str">
        <f t="shared" si="9"/>
        <v>Huawei</v>
      </c>
      <c r="L36" s="4">
        <f t="shared" si="10"/>
        <v>39000</v>
      </c>
      <c r="M36" s="4">
        <f t="shared" si="11"/>
        <v>63500</v>
      </c>
      <c r="N36" t="str">
        <f>IFERROR(VLOOKUP(TRIM(G36),Справочники!$P$3:$Q$7,2,0),"Нет в справочнике")</f>
        <v>шт.</v>
      </c>
      <c r="O36" t="str">
        <f t="shared" si="12"/>
        <v>ОК</v>
      </c>
      <c r="P36" t="str">
        <f t="shared" si="13"/>
        <v>Уникальный</v>
      </c>
    </row>
    <row r="37">
      <c r="A37" s="3" t="s">
        <v>193</v>
      </c>
      <c r="B37" s="3" t="s">
        <v>194</v>
      </c>
      <c r="C37" s="3" t="s">
        <v>69</v>
      </c>
      <c r="D37" s="3" t="s">
        <v>195</v>
      </c>
      <c r="E37" s="3" t="s">
        <v>196</v>
      </c>
      <c r="F37" s="3" t="s">
        <v>153</v>
      </c>
      <c r="G37" s="3" t="s">
        <v>22</v>
      </c>
      <c r="H37" t="str">
        <f t="shared" si="7"/>
        <v>АРТ-036</v>
      </c>
      <c r="I37" t="str">
        <f t="shared" si="8"/>
        <v xml:space="preserve">Планшет Huawei Matepad Pro</v>
      </c>
      <c r="J37" t="str">
        <f>IFERROR(VLOOKUP(TRIM(C37),Справочники!$A$3:$B$13,2,0),"Нет в справочнике")</f>
        <v>Планшеты</v>
      </c>
      <c r="K37" t="str">
        <f t="shared" si="9"/>
        <v>Huawei</v>
      </c>
      <c r="L37" s="4">
        <f t="shared" si="10"/>
        <v>41000</v>
      </c>
      <c r="M37" s="4">
        <f t="shared" si="11"/>
        <v>66500</v>
      </c>
      <c r="N37" t="str">
        <f>IFERROR(VLOOKUP(TRIM(G37),Справочники!$P$3:$Q$7,2,0),"Нет в справочнике")</f>
        <v>шт.</v>
      </c>
      <c r="O37" t="str">
        <f t="shared" si="12"/>
        <v>ОК</v>
      </c>
      <c r="P37" t="str">
        <f t="shared" si="13"/>
        <v>Уникальный</v>
      </c>
    </row>
    <row r="38">
      <c r="A38" s="3" t="s">
        <v>197</v>
      </c>
      <c r="B38" s="3" t="s">
        <v>198</v>
      </c>
      <c r="C38" s="3" t="s">
        <v>199</v>
      </c>
      <c r="D38" s="3" t="s">
        <v>19</v>
      </c>
      <c r="E38" s="3" t="s">
        <v>200</v>
      </c>
      <c r="F38" s="3" t="s">
        <v>201</v>
      </c>
      <c r="G38" s="3" t="s">
        <v>42</v>
      </c>
      <c r="H38" t="str">
        <f t="shared" si="7"/>
        <v>АРТ-037</v>
      </c>
      <c r="I38" t="str">
        <f t="shared" si="8"/>
        <v xml:space="preserve">Смарт-Часы Apple Watch Ultra</v>
      </c>
      <c r="J38" t="str">
        <f>IFERROR(VLOOKUP(TRIM(C38),Справочники!$A$3:$B$13,2,0),"Нет в справочнике")</f>
        <v>Часы</v>
      </c>
      <c r="K38" t="str">
        <f t="shared" si="9"/>
        <v>Apple</v>
      </c>
      <c r="L38" s="4">
        <f t="shared" si="10"/>
        <v>45000</v>
      </c>
      <c r="M38" s="4">
        <f t="shared" si="11"/>
        <v>69990</v>
      </c>
      <c r="N38" t="str">
        <f>IFERROR(VLOOKUP(TRIM(G38),Справочники!$P$3:$Q$7,2,0),"Нет в справочнике")</f>
        <v>шт.</v>
      </c>
      <c r="O38" t="str">
        <f t="shared" si="12"/>
        <v>ОК</v>
      </c>
      <c r="P38" t="str">
        <f t="shared" si="13"/>
        <v>Уникальный</v>
      </c>
    </row>
    <row r="39">
      <c r="A39" s="3" t="s">
        <v>202</v>
      </c>
      <c r="B39" s="3" t="s">
        <v>203</v>
      </c>
      <c r="C39" s="3" t="s">
        <v>199</v>
      </c>
      <c r="D39" s="3" t="s">
        <v>74</v>
      </c>
      <c r="E39" s="3" t="s">
        <v>204</v>
      </c>
      <c r="F39" s="3" t="s">
        <v>205</v>
      </c>
      <c r="G39" s="3" t="s">
        <v>35</v>
      </c>
      <c r="H39" t="str">
        <f t="shared" si="7"/>
        <v>АРТ-038</v>
      </c>
      <c r="I39" t="str">
        <f t="shared" si="8"/>
        <v xml:space="preserve">Смарт-Часы Apple Watch Ultra</v>
      </c>
      <c r="J39" t="str">
        <f>IFERROR(VLOOKUP(TRIM(C39),Справочники!$A$3:$B$13,2,0),"Нет в справочнике")</f>
        <v>Часы</v>
      </c>
      <c r="K39" t="str">
        <f t="shared" si="9"/>
        <v>Apple</v>
      </c>
      <c r="L39" s="4">
        <f t="shared" si="10"/>
        <v>44000</v>
      </c>
      <c r="M39" s="4">
        <f t="shared" si="11"/>
        <v>68500</v>
      </c>
      <c r="N39" t="str">
        <f>IFERROR(VLOOKUP(TRIM(G39),Справочники!$P$3:$Q$7,2,0),"Нет в справочнике")</f>
        <v>шт.</v>
      </c>
      <c r="O39" t="str">
        <f t="shared" si="12"/>
        <v>ОК</v>
      </c>
      <c r="P39" t="str">
        <f t="shared" si="13"/>
        <v>Уникальный</v>
      </c>
    </row>
    <row r="40">
      <c r="A40" s="3" t="s">
        <v>206</v>
      </c>
      <c r="B40" s="3" t="s">
        <v>207</v>
      </c>
      <c r="C40" s="3" t="s">
        <v>199</v>
      </c>
      <c r="D40" s="3" t="s">
        <v>32</v>
      </c>
      <c r="E40" s="3" t="s">
        <v>208</v>
      </c>
      <c r="F40" s="3" t="s">
        <v>209</v>
      </c>
      <c r="G40" s="3" t="s">
        <v>22</v>
      </c>
      <c r="H40" t="str">
        <f t="shared" si="7"/>
        <v>АРТ-039</v>
      </c>
      <c r="I40" t="str">
        <f t="shared" si="8"/>
        <v xml:space="preserve">Смарт-Часы Apple Watch Ultra</v>
      </c>
      <c r="J40" t="str">
        <f>IFERROR(VLOOKUP(TRIM(C40),Справочники!$A$3:$B$13,2,0),"Нет в справочнике")</f>
        <v>Часы</v>
      </c>
      <c r="K40" t="str">
        <f t="shared" si="9"/>
        <v>Apple</v>
      </c>
      <c r="L40" s="4">
        <f t="shared" si="10"/>
        <v>46000</v>
      </c>
      <c r="M40" s="4">
        <f t="shared" si="11"/>
        <v>71000</v>
      </c>
      <c r="N40" t="str">
        <f>IFERROR(VLOOKUP(TRIM(G40),Справочники!$P$3:$Q$7,2,0),"Нет в справочнике")</f>
        <v>шт.</v>
      </c>
      <c r="O40" t="str">
        <f t="shared" si="12"/>
        <v>ОК</v>
      </c>
      <c r="P40" t="str">
        <f t="shared" si="13"/>
        <v>Уникальный</v>
      </c>
    </row>
    <row r="41">
      <c r="A41" s="3" t="s">
        <v>210</v>
      </c>
      <c r="B41" s="3" t="s">
        <v>211</v>
      </c>
      <c r="C41" s="3" t="s">
        <v>38</v>
      </c>
      <c r="D41" s="3" t="s">
        <v>212</v>
      </c>
      <c r="E41" s="3" t="s">
        <v>85</v>
      </c>
      <c r="F41" s="3" t="s">
        <v>213</v>
      </c>
      <c r="G41" s="3" t="s">
        <v>42</v>
      </c>
      <c r="H41" t="str">
        <f t="shared" si="7"/>
        <v>АРТ-040</v>
      </c>
      <c r="I41" t="str">
        <f t="shared" si="8"/>
        <v xml:space="preserve">Ноутбук Dell Xps 15</v>
      </c>
      <c r="J41" t="str">
        <f>IFERROR(VLOOKUP(TRIM(C41),Справочники!$A$3:$B$13,2,0),"Нет в справочнике")</f>
        <v>Ноутбуки</v>
      </c>
      <c r="K41" t="str">
        <f t="shared" si="9"/>
        <v>Dell</v>
      </c>
      <c r="L41" s="4">
        <f t="shared" si="10"/>
        <v>95000</v>
      </c>
      <c r="M41" s="4">
        <f t="shared" si="11"/>
        <v>142000</v>
      </c>
      <c r="N41" t="str">
        <f>IFERROR(VLOOKUP(TRIM(G41),Справочники!$P$3:$Q$7,2,0),"Нет в справочнике")</f>
        <v>шт.</v>
      </c>
      <c r="O41" t="str">
        <f t="shared" si="12"/>
        <v>ОК</v>
      </c>
      <c r="P41" t="str">
        <f t="shared" si="13"/>
        <v>Уникальный</v>
      </c>
    </row>
    <row r="42">
      <c r="A42" s="3" t="s">
        <v>214</v>
      </c>
      <c r="B42" s="3" t="s">
        <v>215</v>
      </c>
      <c r="C42" s="3" t="s">
        <v>45</v>
      </c>
      <c r="D42" s="3" t="s">
        <v>216</v>
      </c>
      <c r="E42" s="3" t="s">
        <v>90</v>
      </c>
      <c r="F42" s="3" t="s">
        <v>217</v>
      </c>
      <c r="G42" s="3" t="s">
        <v>28</v>
      </c>
      <c r="H42" t="str">
        <f t="shared" si="7"/>
        <v>АРТ-041</v>
      </c>
      <c r="I42" t="str">
        <f t="shared" si="8"/>
        <v xml:space="preserve">Ноутбук Dell Xps 15</v>
      </c>
      <c r="J42" t="str">
        <f>IFERROR(VLOOKUP(TRIM(C42),Справочники!$A$3:$B$13,2,0),"Нет в справочнике")</f>
        <v>Ноутбуки</v>
      </c>
      <c r="K42" t="str">
        <f t="shared" si="9"/>
        <v>Dell</v>
      </c>
      <c r="L42" s="4">
        <f t="shared" si="10"/>
        <v>93500</v>
      </c>
      <c r="M42" s="4">
        <f t="shared" si="11"/>
        <v>140500</v>
      </c>
      <c r="N42" t="str">
        <f>IFERROR(VLOOKUP(TRIM(G42),Справочники!$P$3:$Q$7,2,0),"Нет в справочнике")</f>
        <v>шт.</v>
      </c>
      <c r="O42" t="str">
        <f t="shared" si="12"/>
        <v>ОК</v>
      </c>
      <c r="P42" t="str">
        <f t="shared" si="13"/>
        <v>Уникальный</v>
      </c>
    </row>
    <row r="43">
      <c r="A43" s="3" t="s">
        <v>218</v>
      </c>
      <c r="B43" s="3" t="s">
        <v>219</v>
      </c>
      <c r="C43" s="3" t="s">
        <v>38</v>
      </c>
      <c r="D43" s="3" t="s">
        <v>220</v>
      </c>
      <c r="E43" s="3" t="s">
        <v>94</v>
      </c>
      <c r="F43" s="3" t="s">
        <v>221</v>
      </c>
      <c r="G43" s="3" t="s">
        <v>22</v>
      </c>
      <c r="H43" t="str">
        <f t="shared" si="7"/>
        <v>АРТ-042</v>
      </c>
      <c r="I43" t="str">
        <f t="shared" si="8"/>
        <v xml:space="preserve">Ноутбук Dell Xps 15</v>
      </c>
      <c r="J43" t="str">
        <f>IFERROR(VLOOKUP(TRIM(C43),Справочники!$A$3:$B$13,2,0),"Нет в справочнике")</f>
        <v>Ноутбуки</v>
      </c>
      <c r="K43" t="str">
        <f t="shared" si="9"/>
        <v>Dell</v>
      </c>
      <c r="L43" s="4">
        <f t="shared" si="10"/>
        <v>96500</v>
      </c>
      <c r="M43" s="4">
        <f t="shared" si="11"/>
        <v>144000</v>
      </c>
      <c r="N43" t="str">
        <f>IFERROR(VLOOKUP(TRIM(G43),Справочники!$P$3:$Q$7,2,0),"Нет в справочнике")</f>
        <v>шт.</v>
      </c>
      <c r="O43" t="str">
        <f t="shared" si="12"/>
        <v>ОК</v>
      </c>
      <c r="P43" t="str">
        <f t="shared" si="13"/>
        <v>Уникальный</v>
      </c>
    </row>
    <row r="44">
      <c r="A44" s="3" t="s">
        <v>222</v>
      </c>
      <c r="B44" s="3" t="s">
        <v>223</v>
      </c>
      <c r="C44" s="3" t="s">
        <v>83</v>
      </c>
      <c r="D44" s="3" t="s">
        <v>224</v>
      </c>
      <c r="E44" s="3" t="s">
        <v>225</v>
      </c>
      <c r="F44" s="3" t="s">
        <v>226</v>
      </c>
      <c r="G44" s="3" t="s">
        <v>42</v>
      </c>
      <c r="H44" t="str">
        <f t="shared" si="7"/>
        <v>АРТ-043</v>
      </c>
      <c r="I44" t="str">
        <f t="shared" si="8"/>
        <v xml:space="preserve">Телевизор Sony Bravia Xr</v>
      </c>
      <c r="J44" t="str">
        <f>IFERROR(VLOOKUP(TRIM(C44),Справочники!$A$3:$B$13,2,0),"Нет в справочнике")</f>
        <v>Телевизоры</v>
      </c>
      <c r="K44" t="str">
        <f t="shared" si="9"/>
        <v>Sony</v>
      </c>
      <c r="L44" s="4">
        <f t="shared" si="10"/>
        <v>88000</v>
      </c>
      <c r="M44" s="4">
        <f t="shared" si="11"/>
        <v>134990</v>
      </c>
      <c r="N44" t="str">
        <f>IFERROR(VLOOKUP(TRIM(G44),Справочники!$P$3:$Q$7,2,0),"Нет в справочнике")</f>
        <v>шт.</v>
      </c>
      <c r="O44" t="str">
        <f t="shared" si="12"/>
        <v>ОК</v>
      </c>
      <c r="P44" t="str">
        <f t="shared" si="13"/>
        <v>Уникальный</v>
      </c>
    </row>
    <row r="45">
      <c r="A45" s="3" t="s">
        <v>227</v>
      </c>
      <c r="B45" s="3" t="s">
        <v>228</v>
      </c>
      <c r="C45" s="3" t="s">
        <v>83</v>
      </c>
      <c r="D45" s="3" t="s">
        <v>104</v>
      </c>
      <c r="E45" s="3" t="s">
        <v>229</v>
      </c>
      <c r="F45" s="3" t="s">
        <v>230</v>
      </c>
      <c r="G45" s="3" t="s">
        <v>35</v>
      </c>
      <c r="H45" t="str">
        <f t="shared" si="7"/>
        <v>АРТ-044</v>
      </c>
      <c r="I45" t="str">
        <f t="shared" si="8"/>
        <v xml:space="preserve">Телевизор Sony Bravia Xr</v>
      </c>
      <c r="J45" t="str">
        <f>IFERROR(VLOOKUP(TRIM(C45),Справочники!$A$3:$B$13,2,0),"Нет в справочнике")</f>
        <v>Телевизоры</v>
      </c>
      <c r="K45" t="str">
        <f t="shared" si="9"/>
        <v>Sony</v>
      </c>
      <c r="L45" s="4">
        <f t="shared" si="10"/>
        <v>86500</v>
      </c>
      <c r="M45" s="4">
        <f t="shared" si="11"/>
        <v>132000</v>
      </c>
      <c r="N45" t="str">
        <f>IFERROR(VLOOKUP(TRIM(G45),Справочники!$P$3:$Q$7,2,0),"Нет в справочнике")</f>
        <v>шт.</v>
      </c>
      <c r="O45" t="str">
        <f t="shared" si="12"/>
        <v>ОК</v>
      </c>
      <c r="P45" t="str">
        <f t="shared" si="13"/>
        <v>Уникальный</v>
      </c>
    </row>
    <row r="46">
      <c r="A46" s="3" t="s">
        <v>231</v>
      </c>
      <c r="B46" s="3" t="s">
        <v>232</v>
      </c>
      <c r="C46" s="3" t="s">
        <v>83</v>
      </c>
      <c r="D46" s="3" t="s">
        <v>99</v>
      </c>
      <c r="E46" s="3" t="s">
        <v>233</v>
      </c>
      <c r="F46" s="3" t="s">
        <v>125</v>
      </c>
      <c r="G46" s="3" t="s">
        <v>22</v>
      </c>
      <c r="H46" t="str">
        <f t="shared" si="7"/>
        <v>АРТ-045</v>
      </c>
      <c r="I46" t="str">
        <f t="shared" si="8"/>
        <v xml:space="preserve">Телевизор Sony Bravia Xr</v>
      </c>
      <c r="J46" t="str">
        <f>IFERROR(VLOOKUP(TRIM(C46),Справочники!$A$3:$B$13,2,0),"Нет в справочнике")</f>
        <v>Телевизоры</v>
      </c>
      <c r="K46" t="str">
        <f t="shared" si="9"/>
        <v>Sony</v>
      </c>
      <c r="L46" s="4">
        <f t="shared" si="10"/>
        <v>89500</v>
      </c>
      <c r="M46" s="4">
        <f t="shared" si="11"/>
        <v>137000</v>
      </c>
      <c r="N46" t="str">
        <f>IFERROR(VLOOKUP(TRIM(G46),Справочники!$P$3:$Q$7,2,0),"Нет в справочнике")</f>
        <v>шт.</v>
      </c>
      <c r="O46" t="str">
        <f t="shared" si="12"/>
        <v>ОК</v>
      </c>
      <c r="P46" t="str">
        <f t="shared" si="13"/>
        <v>Уникальный</v>
      </c>
    </row>
    <row r="47">
      <c r="A47" s="3" t="s">
        <v>234</v>
      </c>
      <c r="B47" s="3" t="s">
        <v>235</v>
      </c>
      <c r="C47" s="3" t="s">
        <v>98</v>
      </c>
      <c r="D47" s="3" t="s">
        <v>19</v>
      </c>
      <c r="E47" s="3" t="s">
        <v>236</v>
      </c>
      <c r="F47" s="3" t="s">
        <v>237</v>
      </c>
      <c r="G47" s="3" t="s">
        <v>42</v>
      </c>
      <c r="H47" t="str">
        <f t="shared" si="7"/>
        <v>АРТ-046</v>
      </c>
      <c r="I47" t="str">
        <f t="shared" si="8"/>
        <v xml:space="preserve">Наушники Apple Airpods Pro</v>
      </c>
      <c r="J47" t="str">
        <f>IFERROR(VLOOKUP(TRIM(C47),Справочники!$A$3:$B$13,2,0),"Нет в справочнике")</f>
        <v>Наушники</v>
      </c>
      <c r="K47" t="str">
        <f t="shared" si="9"/>
        <v>Apple</v>
      </c>
      <c r="L47" s="4">
        <f t="shared" si="10"/>
        <v>15000</v>
      </c>
      <c r="M47" s="4">
        <f t="shared" si="11"/>
        <v>24990</v>
      </c>
      <c r="N47" t="str">
        <f>IFERROR(VLOOKUP(TRIM(G47),Справочники!$P$3:$Q$7,2,0),"Нет в справочнике")</f>
        <v>шт.</v>
      </c>
      <c r="O47" t="str">
        <f t="shared" si="12"/>
        <v>ОК</v>
      </c>
      <c r="P47" t="str">
        <f t="shared" si="13"/>
        <v>Уникальный</v>
      </c>
    </row>
    <row r="48">
      <c r="A48" s="3" t="s">
        <v>238</v>
      </c>
      <c r="B48" s="3" t="s">
        <v>239</v>
      </c>
      <c r="C48" s="3" t="s">
        <v>98</v>
      </c>
      <c r="D48" s="3" t="s">
        <v>74</v>
      </c>
      <c r="E48" s="3" t="s">
        <v>240</v>
      </c>
      <c r="F48" s="3" t="s">
        <v>241</v>
      </c>
      <c r="G48" s="3" t="s">
        <v>28</v>
      </c>
      <c r="H48" t="str">
        <f t="shared" si="7"/>
        <v>АРТ-047</v>
      </c>
      <c r="I48" t="str">
        <f t="shared" si="8"/>
        <v xml:space="preserve">Наушники Apple Airpods Pro</v>
      </c>
      <c r="J48" t="str">
        <f>IFERROR(VLOOKUP(TRIM(C48),Справочники!$A$3:$B$13,2,0),"Нет в справочнике")</f>
        <v>Наушники</v>
      </c>
      <c r="K48" t="str">
        <f t="shared" si="9"/>
        <v>Apple</v>
      </c>
      <c r="L48" s="4">
        <f t="shared" si="10"/>
        <v>14500</v>
      </c>
      <c r="M48" s="4">
        <f t="shared" si="11"/>
        <v>23900</v>
      </c>
      <c r="N48" t="str">
        <f>IFERROR(VLOOKUP(TRIM(G48),Справочники!$P$3:$Q$7,2,0),"Нет в справочнике")</f>
        <v>шт.</v>
      </c>
      <c r="O48" t="str">
        <f t="shared" si="12"/>
        <v>ОК</v>
      </c>
      <c r="P48" t="str">
        <f t="shared" si="13"/>
        <v>Уникальный</v>
      </c>
    </row>
    <row r="49">
      <c r="A49" s="3" t="s">
        <v>242</v>
      </c>
      <c r="B49" s="3" t="s">
        <v>243</v>
      </c>
      <c r="C49" s="3" t="s">
        <v>98</v>
      </c>
      <c r="D49" s="3" t="s">
        <v>32</v>
      </c>
      <c r="E49" s="3" t="s">
        <v>244</v>
      </c>
      <c r="F49" s="3" t="s">
        <v>245</v>
      </c>
      <c r="G49" s="3" t="s">
        <v>22</v>
      </c>
      <c r="H49" t="str">
        <f t="shared" si="7"/>
        <v>АРТ-048</v>
      </c>
      <c r="I49" t="str">
        <f t="shared" si="8"/>
        <v xml:space="preserve">Наушники Apple Airpods Pro</v>
      </c>
      <c r="J49" t="str">
        <f>IFERROR(VLOOKUP(TRIM(C49),Справочники!$A$3:$B$13,2,0),"Нет в справочнике")</f>
        <v>Наушники</v>
      </c>
      <c r="K49" t="str">
        <f t="shared" si="9"/>
        <v>Apple</v>
      </c>
      <c r="L49" s="4">
        <f t="shared" si="10"/>
        <v>15800</v>
      </c>
      <c r="M49" s="4">
        <f t="shared" si="11"/>
        <v>25800</v>
      </c>
      <c r="N49" t="str">
        <f>IFERROR(VLOOKUP(TRIM(G49),Справочники!$P$3:$Q$7,2,0),"Нет в справочнике")</f>
        <v>шт.</v>
      </c>
      <c r="O49" t="str">
        <f t="shared" si="12"/>
        <v>ОК</v>
      </c>
      <c r="P49" t="str">
        <f t="shared" si="13"/>
        <v>Уникальный</v>
      </c>
    </row>
    <row r="50">
      <c r="A50" s="3" t="s">
        <v>246</v>
      </c>
      <c r="B50" s="3" t="s">
        <v>247</v>
      </c>
      <c r="C50" s="3" t="s">
        <v>18</v>
      </c>
      <c r="D50" s="3" t="s">
        <v>248</v>
      </c>
      <c r="E50" s="3" t="s">
        <v>249</v>
      </c>
      <c r="F50" s="3" t="s">
        <v>250</v>
      </c>
      <c r="G50" s="3" t="s">
        <v>42</v>
      </c>
      <c r="H50" t="str">
        <f t="shared" si="7"/>
        <v>АРТ-049</v>
      </c>
      <c r="I50" t="str">
        <f t="shared" si="8"/>
        <v xml:space="preserve">Смартфон Google Pixel 8</v>
      </c>
      <c r="J50" t="str">
        <f>IFERROR(VLOOKUP(TRIM(C50),Справочники!$A$3:$B$13,2,0),"Нет в справочнике")</f>
        <v>Смартфоны</v>
      </c>
      <c r="K50" t="str">
        <f t="shared" si="9"/>
        <v>Google</v>
      </c>
      <c r="L50" s="4">
        <f t="shared" si="10"/>
        <v>32000</v>
      </c>
      <c r="M50" s="4">
        <f t="shared" si="11"/>
        <v>54999</v>
      </c>
      <c r="N50" t="str">
        <f>IFERROR(VLOOKUP(TRIM(G50),Справочники!$P$3:$Q$7,2,0),"Нет в справочнике")</f>
        <v>шт.</v>
      </c>
      <c r="O50" t="str">
        <f t="shared" si="12"/>
        <v>ОК</v>
      </c>
      <c r="P50" t="str">
        <f t="shared" si="13"/>
        <v>Уникальный</v>
      </c>
    </row>
    <row r="51">
      <c r="A51" s="3" t="s">
        <v>251</v>
      </c>
      <c r="B51" s="3" t="s">
        <v>252</v>
      </c>
      <c r="C51" s="3" t="s">
        <v>25</v>
      </c>
      <c r="D51" s="3" t="s">
        <v>253</v>
      </c>
      <c r="E51" s="3" t="s">
        <v>254</v>
      </c>
      <c r="F51" s="3" t="s">
        <v>255</v>
      </c>
      <c r="G51" s="3" t="s">
        <v>35</v>
      </c>
      <c r="H51" t="str">
        <f t="shared" si="7"/>
        <v>АРТ-050</v>
      </c>
      <c r="I51" t="str">
        <f t="shared" si="8"/>
        <v xml:space="preserve">Смартфон Google Pixel 8</v>
      </c>
      <c r="J51" t="str">
        <f>IFERROR(VLOOKUP(TRIM(C51),Справочники!$A$3:$B$13,2,0),"Нет в справочнике")</f>
        <v>Смартфоны</v>
      </c>
      <c r="K51" t="str">
        <f t="shared" si="9"/>
        <v>Google</v>
      </c>
      <c r="L51" s="4">
        <f t="shared" si="10"/>
        <v>31500</v>
      </c>
      <c r="M51" s="4">
        <f t="shared" si="11"/>
        <v>53500</v>
      </c>
      <c r="N51" t="str">
        <f>IFERROR(VLOOKUP(TRIM(G51),Справочники!$P$3:$Q$7,2,0),"Нет в справочнике")</f>
        <v>шт.</v>
      </c>
      <c r="O51" t="str">
        <f t="shared" si="12"/>
        <v>ОК</v>
      </c>
      <c r="P51" t="str">
        <f t="shared" si="13"/>
        <v>Уникальный</v>
      </c>
    </row>
    <row r="52">
      <c r="A52" s="3" t="s">
        <v>256</v>
      </c>
      <c r="B52" s="3" t="s">
        <v>257</v>
      </c>
      <c r="C52" s="3" t="s">
        <v>31</v>
      </c>
      <c r="D52" s="3" t="s">
        <v>258</v>
      </c>
      <c r="E52" s="3" t="s">
        <v>259</v>
      </c>
      <c r="F52" s="3" t="s">
        <v>79</v>
      </c>
      <c r="G52" s="3" t="s">
        <v>22</v>
      </c>
      <c r="H52" t="str">
        <f t="shared" si="7"/>
        <v>АРТ-051</v>
      </c>
      <c r="I52" t="str">
        <f t="shared" si="8"/>
        <v xml:space="preserve">Смартфон Google Pixel 8</v>
      </c>
      <c r="J52" t="str">
        <f>IFERROR(VLOOKUP(TRIM(C52),Справочники!$A$3:$B$13,2,0),"Нет в справочнике")</f>
        <v>Смартфоны</v>
      </c>
      <c r="K52" t="str">
        <f t="shared" si="9"/>
        <v>Google</v>
      </c>
      <c r="L52" s="4">
        <f t="shared" si="10"/>
        <v>32800</v>
      </c>
      <c r="M52" s="4">
        <f t="shared" si="11"/>
        <v>56000</v>
      </c>
      <c r="N52" t="str">
        <f>IFERROR(VLOOKUP(TRIM(G52),Справочники!$P$3:$Q$7,2,0),"Нет в справочнике")</f>
        <v>шт.</v>
      </c>
      <c r="O52" t="str">
        <f t="shared" si="12"/>
        <v>ОК</v>
      </c>
      <c r="P52" t="str">
        <f t="shared" si="13"/>
        <v>Уникальный</v>
      </c>
    </row>
    <row r="53">
      <c r="A53" s="3" t="s">
        <v>260</v>
      </c>
      <c r="B53" s="3" t="s">
        <v>261</v>
      </c>
      <c r="C53" s="3" t="s">
        <v>143</v>
      </c>
      <c r="D53" s="3" t="s">
        <v>84</v>
      </c>
      <c r="E53" s="3" t="s">
        <v>200</v>
      </c>
      <c r="F53" s="3" t="s">
        <v>262</v>
      </c>
      <c r="G53" s="3" t="s">
        <v>42</v>
      </c>
      <c r="H53" t="str">
        <f t="shared" si="7"/>
        <v>АРТ-052</v>
      </c>
      <c r="I53" t="str">
        <f t="shared" si="8"/>
        <v xml:space="preserve">Монитор Lg Ultragear 27Gp950</v>
      </c>
      <c r="J53" t="str">
        <f>IFERROR(VLOOKUP(TRIM(C53),Справочники!$A$3:$B$13,2,0),"Нет в справочнике")</f>
        <v>Мониторы</v>
      </c>
      <c r="K53" t="str">
        <f t="shared" si="9"/>
        <v>LG</v>
      </c>
      <c r="L53" s="4">
        <f t="shared" si="10"/>
        <v>45000</v>
      </c>
      <c r="M53" s="4">
        <f t="shared" si="11"/>
        <v>69900</v>
      </c>
      <c r="N53" t="str">
        <f>IFERROR(VLOOKUP(TRIM(G53),Справочники!$P$3:$Q$7,2,0),"Нет в справочнике")</f>
        <v>шт.</v>
      </c>
      <c r="O53" t="str">
        <f t="shared" si="12"/>
        <v>ОК</v>
      </c>
      <c r="P53" t="str">
        <f t="shared" si="13"/>
        <v>Уникальный</v>
      </c>
    </row>
    <row r="54">
      <c r="A54" s="3" t="s">
        <v>263</v>
      </c>
      <c r="B54" s="3" t="s">
        <v>264</v>
      </c>
      <c r="C54" s="3" t="s">
        <v>143</v>
      </c>
      <c r="D54" s="3" t="s">
        <v>89</v>
      </c>
      <c r="E54" s="3" t="s">
        <v>204</v>
      </c>
      <c r="F54" s="3" t="s">
        <v>265</v>
      </c>
      <c r="G54" s="3" t="s">
        <v>28</v>
      </c>
      <c r="H54" t="str">
        <f t="shared" si="7"/>
        <v>АРТ-053</v>
      </c>
      <c r="I54" t="str">
        <f t="shared" si="8"/>
        <v xml:space="preserve">Монитор Lg Ultra Gear 27Gp950</v>
      </c>
      <c r="J54" t="str">
        <f>IFERROR(VLOOKUP(TRIM(C54),Справочники!$A$3:$B$13,2,0),"Нет в справочнике")</f>
        <v>Мониторы</v>
      </c>
      <c r="K54" t="str">
        <f t="shared" si="9"/>
        <v>LG</v>
      </c>
      <c r="L54" s="4">
        <f t="shared" si="10"/>
        <v>44000</v>
      </c>
      <c r="M54" s="4">
        <f t="shared" si="11"/>
        <v>68000</v>
      </c>
      <c r="N54" t="str">
        <f>IFERROR(VLOOKUP(TRIM(G54),Справочники!$P$3:$Q$7,2,0),"Нет в справочнике")</f>
        <v>шт.</v>
      </c>
      <c r="O54" t="str">
        <f t="shared" si="12"/>
        <v>ОК</v>
      </c>
      <c r="P54" t="str">
        <f t="shared" si="13"/>
        <v>Уникальный</v>
      </c>
    </row>
    <row r="55">
      <c r="A55" s="3" t="s">
        <v>266</v>
      </c>
      <c r="B55" s="3" t="s">
        <v>267</v>
      </c>
      <c r="C55" s="3" t="s">
        <v>143</v>
      </c>
      <c r="D55" s="3" t="s">
        <v>84</v>
      </c>
      <c r="E55" s="3" t="s">
        <v>268</v>
      </c>
      <c r="F55" s="3" t="s">
        <v>269</v>
      </c>
      <c r="G55" s="3" t="s">
        <v>22</v>
      </c>
      <c r="H55" t="str">
        <f t="shared" si="7"/>
        <v>АРТ-054</v>
      </c>
      <c r="I55" t="str">
        <f t="shared" si="8"/>
        <v xml:space="preserve">Монитор Lg Ultragear 27Gp950</v>
      </c>
      <c r="J55" t="str">
        <f>IFERROR(VLOOKUP(TRIM(C55),Справочники!$A$3:$B$13,2,0),"Нет в справочнике")</f>
        <v>Мониторы</v>
      </c>
      <c r="K55" t="str">
        <f t="shared" si="9"/>
        <v>LG</v>
      </c>
      <c r="L55" s="4">
        <f t="shared" si="10"/>
        <v>46500</v>
      </c>
      <c r="M55" s="4">
        <f t="shared" si="11"/>
        <v>71500</v>
      </c>
      <c r="N55" t="str">
        <f>IFERROR(VLOOKUP(TRIM(G55),Справочники!$P$3:$Q$7,2,0),"Нет в справочнике")</f>
        <v>шт.</v>
      </c>
      <c r="O55" t="str">
        <f t="shared" si="12"/>
        <v>ОК</v>
      </c>
      <c r="P55" t="str">
        <f t="shared" si="13"/>
        <v>Уникальный</v>
      </c>
    </row>
    <row r="56">
      <c r="A56" s="3" t="s">
        <v>270</v>
      </c>
      <c r="B56" s="3" t="s">
        <v>271</v>
      </c>
      <c r="C56" s="3" t="s">
        <v>157</v>
      </c>
      <c r="D56" s="3" t="s">
        <v>272</v>
      </c>
      <c r="E56" s="3" t="s">
        <v>273</v>
      </c>
      <c r="F56" s="3" t="s">
        <v>274</v>
      </c>
      <c r="G56" s="3" t="s">
        <v>42</v>
      </c>
      <c r="H56" t="str">
        <f t="shared" si="7"/>
        <v>АРТ-055</v>
      </c>
      <c r="I56" t="str">
        <f t="shared" si="8"/>
        <v xml:space="preserve">Колонка Jbl Charge 5</v>
      </c>
      <c r="J56" t="str">
        <f>IFERROR(VLOOKUP(TRIM(C56),Справочники!$A$3:$B$13,2,0),"Нет в справочнике")</f>
        <v>Аксессуары</v>
      </c>
      <c r="K56" t="str">
        <f t="shared" si="9"/>
        <v>JBL</v>
      </c>
      <c r="L56" s="4">
        <f t="shared" si="10"/>
        <v>6500</v>
      </c>
      <c r="M56" s="4">
        <f t="shared" si="11"/>
        <v>10990</v>
      </c>
      <c r="N56" t="str">
        <f>IFERROR(VLOOKUP(TRIM(G56),Справочники!$P$3:$Q$7,2,0),"Нет в справочнике")</f>
        <v>шт.</v>
      </c>
      <c r="O56" t="str">
        <f t="shared" si="12"/>
        <v>ОК</v>
      </c>
      <c r="P56" t="str">
        <f t="shared" si="13"/>
        <v>Уникальный</v>
      </c>
    </row>
    <row r="57">
      <c r="A57" s="3" t="s">
        <v>275</v>
      </c>
      <c r="B57" s="3" t="s">
        <v>276</v>
      </c>
      <c r="C57" s="3" t="s">
        <v>157</v>
      </c>
      <c r="D57" s="3" t="s">
        <v>277</v>
      </c>
      <c r="E57" s="3" t="s">
        <v>278</v>
      </c>
      <c r="F57" s="3" t="s">
        <v>170</v>
      </c>
      <c r="G57" s="3" t="s">
        <v>35</v>
      </c>
      <c r="H57" t="str">
        <f t="shared" si="7"/>
        <v>АРТ-056</v>
      </c>
      <c r="I57" t="str">
        <f t="shared" si="8"/>
        <v xml:space="preserve">Колонка Jbl Charge 5</v>
      </c>
      <c r="J57" t="str">
        <f>IFERROR(VLOOKUP(TRIM(C57),Справочники!$A$3:$B$13,2,0),"Нет в справочнике")</f>
        <v>Аксессуары</v>
      </c>
      <c r="K57" t="str">
        <f t="shared" si="9"/>
        <v>JBL</v>
      </c>
      <c r="L57" s="4">
        <f t="shared" si="10"/>
        <v>6200</v>
      </c>
      <c r="M57" s="4">
        <f t="shared" si="11"/>
        <v>10500</v>
      </c>
      <c r="N57" t="str">
        <f>IFERROR(VLOOKUP(TRIM(G57),Справочники!$P$3:$Q$7,2,0),"Нет в справочнике")</f>
        <v>шт.</v>
      </c>
      <c r="O57" t="str">
        <f t="shared" si="12"/>
        <v>ОК</v>
      </c>
      <c r="P57" t="str">
        <f t="shared" si="13"/>
        <v>Уникальный</v>
      </c>
    </row>
    <row r="58">
      <c r="A58" s="3" t="s">
        <v>279</v>
      </c>
      <c r="B58" s="3" t="s">
        <v>280</v>
      </c>
      <c r="C58" s="3" t="s">
        <v>157</v>
      </c>
      <c r="D58" s="3" t="s">
        <v>272</v>
      </c>
      <c r="E58" s="3" t="s">
        <v>281</v>
      </c>
      <c r="F58" s="3" t="s">
        <v>282</v>
      </c>
      <c r="G58" s="3" t="s">
        <v>22</v>
      </c>
      <c r="H58" t="str">
        <f t="shared" si="7"/>
        <v>АРТ-057</v>
      </c>
      <c r="I58" t="str">
        <f t="shared" si="8"/>
        <v xml:space="preserve">Колонка Jbl Charge 5</v>
      </c>
      <c r="J58" t="str">
        <f>IFERROR(VLOOKUP(TRIM(C58),Справочники!$A$3:$B$13,2,0),"Нет в справочнике")</f>
        <v>Аксессуары</v>
      </c>
      <c r="K58" t="str">
        <f t="shared" si="9"/>
        <v>JBL</v>
      </c>
      <c r="L58" s="4">
        <f t="shared" si="10"/>
        <v>6800</v>
      </c>
      <c r="M58" s="4">
        <f t="shared" si="11"/>
        <v>11200</v>
      </c>
      <c r="N58" t="str">
        <f>IFERROR(VLOOKUP(TRIM(G58),Справочники!$P$3:$Q$7,2,0),"Нет в справочнике")</f>
        <v>шт.</v>
      </c>
      <c r="O58" t="str">
        <f t="shared" si="12"/>
        <v>ОК</v>
      </c>
      <c r="P58" t="str">
        <f t="shared" si="13"/>
        <v>Уникальный</v>
      </c>
    </row>
    <row r="59">
      <c r="A59" s="3" t="s">
        <v>283</v>
      </c>
      <c r="B59" s="3" t="s">
        <v>284</v>
      </c>
      <c r="C59" s="3" t="s">
        <v>69</v>
      </c>
      <c r="D59" s="3" t="s">
        <v>55</v>
      </c>
      <c r="E59" s="3" t="s">
        <v>285</v>
      </c>
      <c r="F59" s="3" t="s">
        <v>286</v>
      </c>
      <c r="G59" s="3" t="s">
        <v>42</v>
      </c>
      <c r="H59" t="str">
        <f t="shared" si="7"/>
        <v>АРТ-058</v>
      </c>
      <c r="I59" t="str">
        <f t="shared" si="8"/>
        <v xml:space="preserve">Планшет Samsung Galaxy Tab S9</v>
      </c>
      <c r="J59" t="str">
        <f>IFERROR(VLOOKUP(TRIM(C59),Справочники!$A$3:$B$13,2,0),"Нет в справочнике")</f>
        <v>Планшеты</v>
      </c>
      <c r="K59" t="str">
        <f t="shared" si="9"/>
        <v>Samsung</v>
      </c>
      <c r="L59" s="4">
        <f t="shared" si="10"/>
        <v>42000</v>
      </c>
      <c r="M59" s="4">
        <f t="shared" si="11"/>
        <v>67900</v>
      </c>
      <c r="N59" t="str">
        <f>IFERROR(VLOOKUP(TRIM(G59),Справочники!$P$3:$Q$7,2,0),"Нет в справочнике")</f>
        <v>шт.</v>
      </c>
      <c r="O59" t="str">
        <f t="shared" si="12"/>
        <v>ОК</v>
      </c>
      <c r="P59" t="str">
        <f t="shared" si="13"/>
        <v>Уникальный</v>
      </c>
    </row>
    <row r="60">
      <c r="A60" s="3" t="s">
        <v>287</v>
      </c>
      <c r="B60" s="3" t="s">
        <v>288</v>
      </c>
      <c r="C60" s="3" t="s">
        <v>69</v>
      </c>
      <c r="D60" s="3" t="s">
        <v>148</v>
      </c>
      <c r="E60" s="3" t="s">
        <v>196</v>
      </c>
      <c r="F60" s="3" t="s">
        <v>289</v>
      </c>
      <c r="G60" s="3" t="s">
        <v>28</v>
      </c>
      <c r="H60" t="str">
        <f t="shared" si="7"/>
        <v>АРТ-059</v>
      </c>
      <c r="I60" t="str">
        <f t="shared" si="8"/>
        <v xml:space="preserve">Планшет Samsung Galaxy Tab S9</v>
      </c>
      <c r="J60" t="str">
        <f>IFERROR(VLOOKUP(TRIM(C60),Справочники!$A$3:$B$13,2,0),"Нет в справочнике")</f>
        <v>Планшеты</v>
      </c>
      <c r="K60" t="str">
        <f t="shared" si="9"/>
        <v>Samsung</v>
      </c>
      <c r="L60" s="4">
        <f t="shared" si="10"/>
        <v>41000</v>
      </c>
      <c r="M60" s="4">
        <f t="shared" si="11"/>
        <v>66000</v>
      </c>
      <c r="N60" t="str">
        <f>IFERROR(VLOOKUP(TRIM(G60),Справочники!$P$3:$Q$7,2,0),"Нет в справочнике")</f>
        <v>шт.</v>
      </c>
      <c r="O60" t="str">
        <f t="shared" si="12"/>
        <v>ОК</v>
      </c>
      <c r="P60" t="str">
        <f t="shared" si="13"/>
        <v>Уникальный</v>
      </c>
    </row>
    <row r="61">
      <c r="A61" s="3" t="s">
        <v>290</v>
      </c>
      <c r="B61" s="3" t="s">
        <v>291</v>
      </c>
      <c r="C61" s="3" t="s">
        <v>69</v>
      </c>
      <c r="D61" s="3" t="s">
        <v>60</v>
      </c>
      <c r="E61" s="3" t="s">
        <v>292</v>
      </c>
      <c r="F61" s="3" t="s">
        <v>293</v>
      </c>
      <c r="G61" s="3" t="s">
        <v>22</v>
      </c>
      <c r="H61" t="str">
        <f t="shared" si="7"/>
        <v>АРТ-060</v>
      </c>
      <c r="I61" t="str">
        <f t="shared" si="8"/>
        <v xml:space="preserve">Планшет Samsung Galaxy Tab S9</v>
      </c>
      <c r="J61" t="str">
        <f>IFERROR(VLOOKUP(TRIM(C61),Справочники!$A$3:$B$13,2,0),"Нет в справочнике")</f>
        <v>Планшеты</v>
      </c>
      <c r="K61" t="str">
        <f t="shared" si="9"/>
        <v>Samsung</v>
      </c>
      <c r="L61" s="4">
        <f t="shared" si="10"/>
        <v>43500</v>
      </c>
      <c r="M61" s="4">
        <f t="shared" si="11"/>
        <v>69500</v>
      </c>
      <c r="N61" t="str">
        <f>IFERROR(VLOOKUP(TRIM(G61),Справочники!$P$3:$Q$7,2,0),"Нет в справочнике")</f>
        <v>шт.</v>
      </c>
      <c r="O61" t="str">
        <f t="shared" si="12"/>
        <v>ОК</v>
      </c>
      <c r="P61" t="str">
        <f t="shared" si="13"/>
        <v>Уникальный</v>
      </c>
    </row>
    <row r="62">
      <c r="A62" s="3" t="s">
        <v>294</v>
      </c>
      <c r="B62" s="3" t="s">
        <v>295</v>
      </c>
      <c r="C62" s="3" t="s">
        <v>38</v>
      </c>
      <c r="D62" s="3" t="s">
        <v>296</v>
      </c>
      <c r="E62" s="3" t="s">
        <v>297</v>
      </c>
      <c r="F62" s="3" t="s">
        <v>298</v>
      </c>
      <c r="G62" s="3" t="s">
        <v>42</v>
      </c>
      <c r="H62" t="str">
        <f t="shared" si="7"/>
        <v>АРТ-061</v>
      </c>
      <c r="I62" t="str">
        <f t="shared" si="8"/>
        <v xml:space="preserve">Ноутбук Hp Spectre X360</v>
      </c>
      <c r="J62" t="str">
        <f>IFERROR(VLOOKUP(TRIM(C62),Справочники!$A$3:$B$13,2,0),"Нет в справочнике")</f>
        <v>Ноутбуки</v>
      </c>
      <c r="K62" t="str">
        <f t="shared" si="9"/>
        <v>HP</v>
      </c>
      <c r="L62" s="4">
        <f t="shared" si="10"/>
        <v>82000</v>
      </c>
      <c r="M62" s="4">
        <f t="shared" si="11"/>
        <v>124999</v>
      </c>
      <c r="N62" t="str">
        <f>IFERROR(VLOOKUP(TRIM(G62),Справочники!$P$3:$Q$7,2,0),"Нет в справочнике")</f>
        <v>шт.</v>
      </c>
      <c r="O62" t="str">
        <f t="shared" si="12"/>
        <v>ОК</v>
      </c>
      <c r="P62" t="str">
        <f t="shared" si="13"/>
        <v>Уникальный</v>
      </c>
    </row>
    <row r="63">
      <c r="A63" s="3" t="s">
        <v>299</v>
      </c>
      <c r="B63" s="3" t="s">
        <v>300</v>
      </c>
      <c r="C63" s="3" t="s">
        <v>45</v>
      </c>
      <c r="D63" s="3" t="s">
        <v>301</v>
      </c>
      <c r="E63" s="3" t="s">
        <v>302</v>
      </c>
      <c r="F63" s="3" t="s">
        <v>303</v>
      </c>
      <c r="G63" s="3" t="s">
        <v>35</v>
      </c>
      <c r="H63" t="str">
        <f t="shared" si="7"/>
        <v>АРТ-062</v>
      </c>
      <c r="I63" t="str">
        <f t="shared" si="8"/>
        <v xml:space="preserve">Ноутбук Hp Spectre X360</v>
      </c>
      <c r="J63" t="str">
        <f>IFERROR(VLOOKUP(TRIM(C63),Справочники!$A$3:$B$13,2,0),"Нет в справочнике")</f>
        <v>Ноутбуки</v>
      </c>
      <c r="K63" t="str">
        <f t="shared" si="9"/>
        <v>HP</v>
      </c>
      <c r="L63" s="4">
        <f t="shared" si="10"/>
        <v>80500</v>
      </c>
      <c r="M63" s="4">
        <f t="shared" si="11"/>
        <v>122500</v>
      </c>
      <c r="N63" t="str">
        <f>IFERROR(VLOOKUP(TRIM(G63),Справочники!$P$3:$Q$7,2,0),"Нет в справочнике")</f>
        <v>шт.</v>
      </c>
      <c r="O63" t="str">
        <f t="shared" si="12"/>
        <v>ОК</v>
      </c>
      <c r="P63" t="str">
        <f t="shared" si="13"/>
        <v>Уникальный</v>
      </c>
    </row>
    <row r="64">
      <c r="A64" s="3" t="s">
        <v>304</v>
      </c>
      <c r="B64" s="3" t="s">
        <v>305</v>
      </c>
      <c r="C64" s="3" t="s">
        <v>38</v>
      </c>
      <c r="D64" s="3" t="s">
        <v>296</v>
      </c>
      <c r="E64" s="3" t="s">
        <v>306</v>
      </c>
      <c r="F64" s="3" t="s">
        <v>307</v>
      </c>
      <c r="G64" s="3" t="s">
        <v>22</v>
      </c>
      <c r="H64" t="str">
        <f t="shared" si="7"/>
        <v>АРТ-063</v>
      </c>
      <c r="I64" t="str">
        <f t="shared" si="8"/>
        <v xml:space="preserve">Ноутбук Hp Spectre X360</v>
      </c>
      <c r="J64" t="str">
        <f>IFERROR(VLOOKUP(TRIM(C64),Справочники!$A$3:$B$13,2,0),"Нет в справочнике")</f>
        <v>Ноутбуки</v>
      </c>
      <c r="K64" t="str">
        <f t="shared" si="9"/>
        <v>HP</v>
      </c>
      <c r="L64" s="4">
        <f t="shared" si="10"/>
        <v>83500</v>
      </c>
      <c r="M64" s="4">
        <f t="shared" si="11"/>
        <v>127000</v>
      </c>
      <c r="N64" t="str">
        <f>IFERROR(VLOOKUP(TRIM(G64),Справочники!$P$3:$Q$7,2,0),"Нет в справочнике")</f>
        <v>шт.</v>
      </c>
      <c r="O64" t="str">
        <f t="shared" si="12"/>
        <v>ОК</v>
      </c>
      <c r="P64" t="str">
        <f t="shared" si="13"/>
        <v>Уникальный</v>
      </c>
    </row>
    <row r="65">
      <c r="A65" s="3" t="s">
        <v>308</v>
      </c>
      <c r="B65" s="3" t="s">
        <v>309</v>
      </c>
      <c r="C65" s="3" t="s">
        <v>18</v>
      </c>
      <c r="D65" s="3" t="s">
        <v>310</v>
      </c>
      <c r="E65" s="3" t="s">
        <v>311</v>
      </c>
      <c r="F65" s="3" t="s">
        <v>312</v>
      </c>
      <c r="G65" s="3" t="s">
        <v>42</v>
      </c>
      <c r="H65" t="str">
        <f t="shared" si="7"/>
        <v>АРТ-064</v>
      </c>
      <c r="I65" t="str">
        <f t="shared" si="8"/>
        <v xml:space="preserve">Смартфон Oneplus 12</v>
      </c>
      <c r="J65" t="str">
        <f>IFERROR(VLOOKUP(TRIM(C65),Справочники!$A$3:$B$13,2,0),"Нет в справочнике")</f>
        <v>Смартфоны</v>
      </c>
      <c r="K65" t="str">
        <f t="shared" si="9"/>
        <v>Oneplus</v>
      </c>
      <c r="L65" s="4">
        <f t="shared" si="10"/>
        <v>33000</v>
      </c>
      <c r="M65" s="4">
        <f t="shared" si="11"/>
        <v>56990</v>
      </c>
      <c r="N65" t="str">
        <f>IFERROR(VLOOKUP(TRIM(G65),Справочники!$P$3:$Q$7,2,0),"Нет в справочнике")</f>
        <v>шт.</v>
      </c>
      <c r="O65" t="str">
        <f t="shared" si="12"/>
        <v>ОК</v>
      </c>
      <c r="P65" t="str">
        <f t="shared" si="13"/>
        <v>Уникальный</v>
      </c>
    </row>
    <row r="66">
      <c r="A66" s="3" t="s">
        <v>313</v>
      </c>
      <c r="B66" s="3" t="s">
        <v>314</v>
      </c>
      <c r="C66" s="3" t="s">
        <v>25</v>
      </c>
      <c r="D66" s="3" t="s">
        <v>315</v>
      </c>
      <c r="E66" s="3" t="s">
        <v>316</v>
      </c>
      <c r="F66" s="3" t="s">
        <v>317</v>
      </c>
      <c r="G66" s="3" t="s">
        <v>28</v>
      </c>
      <c r="H66" t="str">
        <f t="shared" si="7"/>
        <v>АРТ-065</v>
      </c>
      <c r="I66" t="str">
        <f t="shared" si="8"/>
        <v xml:space="preserve">Смартфон Oneplus 12</v>
      </c>
      <c r="J66" t="str">
        <f>IFERROR(VLOOKUP(TRIM(C66),Справочники!$A$3:$B$13,2,0),"Нет в справочнике")</f>
        <v>Смартфоны</v>
      </c>
      <c r="K66" t="str">
        <f t="shared" si="9"/>
        <v>Oneplus</v>
      </c>
      <c r="L66" s="4">
        <f t="shared" si="10"/>
        <v>32500</v>
      </c>
      <c r="M66" s="4">
        <f t="shared" si="11"/>
        <v>55500</v>
      </c>
      <c r="N66" t="str">
        <f>IFERROR(VLOOKUP(TRIM(G66),Справочники!$P$3:$Q$7,2,0),"Нет в справочнике")</f>
        <v>шт.</v>
      </c>
      <c r="O66" t="str">
        <f t="shared" si="12"/>
        <v>ОК</v>
      </c>
      <c r="P66" t="str">
        <f t="shared" si="13"/>
        <v>Уникальный</v>
      </c>
    </row>
    <row r="67">
      <c r="A67" s="3" t="s">
        <v>318</v>
      </c>
      <c r="B67" s="3" t="s">
        <v>319</v>
      </c>
      <c r="C67" s="3" t="s">
        <v>31</v>
      </c>
      <c r="D67" s="3" t="s">
        <v>320</v>
      </c>
      <c r="E67" s="3" t="s">
        <v>321</v>
      </c>
      <c r="F67" s="3" t="s">
        <v>322</v>
      </c>
      <c r="G67" s="3" t="s">
        <v>22</v>
      </c>
      <c r="H67" t="str">
        <f t="shared" si="7"/>
        <v>АРТ-066</v>
      </c>
      <c r="I67" t="str">
        <f t="shared" si="8"/>
        <v xml:space="preserve">Смартфон Oneplus 12</v>
      </c>
      <c r="J67" t="str">
        <f>IFERROR(VLOOKUP(TRIM(C67),Справочники!$A$3:$B$13,2,0),"Нет в справочнике")</f>
        <v>Смартфоны</v>
      </c>
      <c r="K67" t="str">
        <f t="shared" si="9"/>
        <v>Oneplus</v>
      </c>
      <c r="L67" s="4">
        <f t="shared" si="10"/>
        <v>33800</v>
      </c>
      <c r="M67" s="4">
        <f t="shared" si="11"/>
        <v>57800</v>
      </c>
      <c r="N67" t="str">
        <f>IFERROR(VLOOKUP(TRIM(G67),Справочники!$P$3:$Q$7,2,0),"Нет в справочнике")</f>
        <v>шт.</v>
      </c>
      <c r="O67" t="str">
        <f t="shared" si="12"/>
        <v>ОК</v>
      </c>
      <c r="P67" t="str">
        <f t="shared" si="13"/>
        <v>Уникальный</v>
      </c>
    </row>
    <row r="68">
      <c r="A68" s="3" t="s">
        <v>323</v>
      </c>
      <c r="B68" s="3" t="s">
        <v>324</v>
      </c>
      <c r="C68" s="3" t="s">
        <v>83</v>
      </c>
      <c r="D68" s="3" t="s">
        <v>325</v>
      </c>
      <c r="E68" s="3" t="s">
        <v>326</v>
      </c>
      <c r="F68" s="3" t="s">
        <v>327</v>
      </c>
      <c r="G68" s="3" t="s">
        <v>42</v>
      </c>
      <c r="H68" t="str">
        <f t="shared" si="7"/>
        <v>АРТ-067</v>
      </c>
      <c r="I68" t="str">
        <f t="shared" si="8"/>
        <v xml:space="preserve">Телевизор Tcl 65C745</v>
      </c>
      <c r="J68" t="str">
        <f>IFERROR(VLOOKUP(TRIM(C68),Справочники!$A$3:$B$13,2,0),"Нет в справочнике")</f>
        <v>Телевизоры</v>
      </c>
      <c r="K68" t="str">
        <f t="shared" si="9"/>
        <v>TCL</v>
      </c>
      <c r="L68" s="4">
        <f t="shared" si="10"/>
        <v>70000</v>
      </c>
      <c r="M68" s="4">
        <f t="shared" si="11"/>
        <v>109999</v>
      </c>
      <c r="N68" t="str">
        <f>IFERROR(VLOOKUP(TRIM(G68),Справочники!$P$3:$Q$7,2,0),"Нет в справочнике")</f>
        <v>шт.</v>
      </c>
      <c r="O68" t="str">
        <f t="shared" si="12"/>
        <v>ОК</v>
      </c>
      <c r="P68" t="str">
        <f t="shared" si="13"/>
        <v>Уникальный</v>
      </c>
    </row>
    <row r="69">
      <c r="A69" s="3" t="s">
        <v>328</v>
      </c>
      <c r="B69" s="3" t="s">
        <v>329</v>
      </c>
      <c r="C69" s="3" t="s">
        <v>83</v>
      </c>
      <c r="D69" s="3" t="s">
        <v>330</v>
      </c>
      <c r="E69" s="3" t="s">
        <v>205</v>
      </c>
      <c r="F69" s="3" t="s">
        <v>331</v>
      </c>
      <c r="G69" s="3" t="s">
        <v>35</v>
      </c>
      <c r="H69" t="str">
        <f t="shared" si="7"/>
        <v>АРТ-068</v>
      </c>
      <c r="I69" t="str">
        <f t="shared" si="8"/>
        <v xml:space="preserve">Телевизор Tcl 65C745</v>
      </c>
      <c r="J69" t="str">
        <f>IFERROR(VLOOKUP(TRIM(C69),Справочники!$A$3:$B$13,2,0),"Нет в справочнике")</f>
        <v>Телевизоры</v>
      </c>
      <c r="K69" t="str">
        <f t="shared" si="9"/>
        <v>TCL</v>
      </c>
      <c r="L69" s="4">
        <f t="shared" si="10"/>
        <v>68500</v>
      </c>
      <c r="M69" s="4">
        <f t="shared" si="11"/>
        <v>107000</v>
      </c>
      <c r="N69" t="str">
        <f>IFERROR(VLOOKUP(TRIM(G69),Справочники!$P$3:$Q$7,2,0),"Нет в справочнике")</f>
        <v>шт.</v>
      </c>
      <c r="O69" t="str">
        <f t="shared" si="12"/>
        <v>ОК</v>
      </c>
      <c r="P69" t="str">
        <f t="shared" si="13"/>
        <v>Уникальный</v>
      </c>
    </row>
    <row r="70">
      <c r="A70" s="3" t="s">
        <v>332</v>
      </c>
      <c r="B70" s="3" t="s">
        <v>333</v>
      </c>
      <c r="C70" s="3" t="s">
        <v>83</v>
      </c>
      <c r="D70" s="3" t="s">
        <v>325</v>
      </c>
      <c r="E70" s="3" t="s">
        <v>269</v>
      </c>
      <c r="F70" s="3" t="s">
        <v>334</v>
      </c>
      <c r="G70" s="3" t="s">
        <v>22</v>
      </c>
      <c r="H70" t="str">
        <f t="shared" si="7"/>
        <v>АРТ-069</v>
      </c>
      <c r="I70" t="str">
        <f t="shared" si="8"/>
        <v xml:space="preserve">Телевизор Tcl 65C745</v>
      </c>
      <c r="J70" t="str">
        <f>IFERROR(VLOOKUP(TRIM(C70),Справочники!$A$3:$B$13,2,0),"Нет в справочнике")</f>
        <v>Телевизоры</v>
      </c>
      <c r="K70" t="str">
        <f t="shared" si="9"/>
        <v>TCL</v>
      </c>
      <c r="L70" s="4">
        <f t="shared" si="10"/>
        <v>71500</v>
      </c>
      <c r="M70" s="4">
        <f t="shared" si="11"/>
        <v>112000</v>
      </c>
      <c r="N70" t="str">
        <f>IFERROR(VLOOKUP(TRIM(G70),Справочники!$P$3:$Q$7,2,0),"Нет в справочнике")</f>
        <v>шт.</v>
      </c>
      <c r="O70" t="str">
        <f t="shared" si="12"/>
        <v>ОК</v>
      </c>
      <c r="P70" t="str">
        <f t="shared" si="13"/>
        <v>Уникальный</v>
      </c>
    </row>
    <row r="71">
      <c r="A71" s="3" t="s">
        <v>335</v>
      </c>
      <c r="B71" s="3" t="s">
        <v>336</v>
      </c>
      <c r="C71" s="3" t="s">
        <v>98</v>
      </c>
      <c r="D71" s="3" t="s">
        <v>337</v>
      </c>
      <c r="E71" s="3" t="s">
        <v>338</v>
      </c>
      <c r="F71" s="3" t="s">
        <v>339</v>
      </c>
      <c r="G71" s="3" t="s">
        <v>42</v>
      </c>
      <c r="H71" t="str">
        <f t="shared" si="7"/>
        <v>АРТ-070</v>
      </c>
      <c r="I71" t="str">
        <f t="shared" si="8"/>
        <v xml:space="preserve">Наушники Marshall Major Iv</v>
      </c>
      <c r="J71" t="str">
        <f>IFERROR(VLOOKUP(TRIM(C71),Справочники!$A$3:$B$13,2,0),"Нет в справочнике")</f>
        <v>Наушники</v>
      </c>
      <c r="K71" t="str">
        <f t="shared" si="9"/>
        <v>Marshall</v>
      </c>
      <c r="L71" s="4">
        <f t="shared" si="10"/>
        <v>12000</v>
      </c>
      <c r="M71" s="4">
        <f t="shared" si="11"/>
        <v>19990</v>
      </c>
      <c r="N71" t="str">
        <f>IFERROR(VLOOKUP(TRIM(G71),Справочники!$P$3:$Q$7,2,0),"Нет в справочнике")</f>
        <v>шт.</v>
      </c>
      <c r="O71" t="str">
        <f t="shared" si="12"/>
        <v>ОК</v>
      </c>
      <c r="P71" t="str">
        <f t="shared" si="13"/>
        <v>Уникальный</v>
      </c>
    </row>
    <row r="72">
      <c r="A72" s="3" t="s">
        <v>340</v>
      </c>
      <c r="B72" s="3" t="s">
        <v>341</v>
      </c>
      <c r="C72" s="3" t="s">
        <v>98</v>
      </c>
      <c r="D72" s="3" t="s">
        <v>342</v>
      </c>
      <c r="E72" s="3" t="s">
        <v>343</v>
      </c>
      <c r="F72" s="3" t="s">
        <v>344</v>
      </c>
      <c r="G72" s="3" t="s">
        <v>28</v>
      </c>
      <c r="H72" t="str">
        <f t="shared" si="7"/>
        <v>АРТ-071</v>
      </c>
      <c r="I72" t="str">
        <f t="shared" si="8"/>
        <v xml:space="preserve">Наушники Marshall Major Iv</v>
      </c>
      <c r="J72" t="str">
        <f>IFERROR(VLOOKUP(TRIM(C72),Справочники!$A$3:$B$13,2,0),"Нет в справочнике")</f>
        <v>Наушники</v>
      </c>
      <c r="K72" t="str">
        <f t="shared" si="9"/>
        <v>Marshall</v>
      </c>
      <c r="L72" s="4">
        <f t="shared" si="10"/>
        <v>11500</v>
      </c>
      <c r="M72" s="4">
        <f t="shared" si="11"/>
        <v>19000</v>
      </c>
      <c r="N72" t="str">
        <f>IFERROR(VLOOKUP(TRIM(G72),Справочники!$P$3:$Q$7,2,0),"Нет в справочнике")</f>
        <v>шт.</v>
      </c>
      <c r="O72" t="str">
        <f t="shared" si="12"/>
        <v>ОК</v>
      </c>
      <c r="P72" t="str">
        <f t="shared" si="13"/>
        <v>Уникальный</v>
      </c>
    </row>
    <row r="73">
      <c r="A73" s="3" t="s">
        <v>345</v>
      </c>
      <c r="B73" s="3" t="s">
        <v>346</v>
      </c>
      <c r="C73" s="3" t="s">
        <v>98</v>
      </c>
      <c r="D73" s="3" t="s">
        <v>347</v>
      </c>
      <c r="E73" s="3" t="s">
        <v>348</v>
      </c>
      <c r="F73" s="3" t="s">
        <v>349</v>
      </c>
      <c r="G73" s="3" t="s">
        <v>22</v>
      </c>
      <c r="H73" t="str">
        <f t="shared" si="7"/>
        <v>АРТ-072</v>
      </c>
      <c r="I73" t="str">
        <f t="shared" si="8"/>
        <v xml:space="preserve">Наушники Marshall Major Iv</v>
      </c>
      <c r="J73" t="str">
        <f>IFERROR(VLOOKUP(TRIM(C73),Справочники!$A$3:$B$13,2,0),"Нет в справочнике")</f>
        <v>Наушники</v>
      </c>
      <c r="K73" t="str">
        <f t="shared" si="9"/>
        <v>Marshall</v>
      </c>
      <c r="L73" s="4">
        <f t="shared" si="10"/>
        <v>12500</v>
      </c>
      <c r="M73" s="4">
        <f t="shared" si="11"/>
        <v>20800</v>
      </c>
      <c r="N73" t="str">
        <f>IFERROR(VLOOKUP(TRIM(G73),Справочники!$P$3:$Q$7,2,0),"Нет в справочнике")</f>
        <v>шт.</v>
      </c>
      <c r="O73" t="str">
        <f t="shared" si="12"/>
        <v>ОК</v>
      </c>
      <c r="P73" t="str">
        <f t="shared" si="13"/>
        <v>Уникальный</v>
      </c>
    </row>
    <row r="74">
      <c r="A74" s="3" t="s">
        <v>350</v>
      </c>
      <c r="B74" s="3" t="s">
        <v>351</v>
      </c>
      <c r="C74" s="3" t="s">
        <v>143</v>
      </c>
      <c r="D74" s="3" t="s">
        <v>352</v>
      </c>
      <c r="E74" s="3" t="s">
        <v>353</v>
      </c>
      <c r="F74" s="3" t="s">
        <v>354</v>
      </c>
      <c r="G74" s="3" t="s">
        <v>42</v>
      </c>
      <c r="H74" t="str">
        <f t="shared" ref="H74:H99" si="14">"АРТ-"&amp;TEXT(VALUE(LEFT(SUBSTITUTE(SUBSTITUTE(SUBSTITUTE(SUBSTITUTE(TRIM(A74),"№",""),"АРТ-",""),"АРТ_",""),"АРТ",""),3)),"000")</f>
        <v>АРТ-073</v>
      </c>
      <c r="I74" t="str">
        <f t="shared" ref="I74:I99" si="15">PROPER(TRIM(IFERROR(LEFT(B74,FIND("(",B74)-1),B74)))</f>
        <v xml:space="preserve">Монитор Acer Predator X27</v>
      </c>
      <c r="J74" t="str">
        <f>IFERROR(VLOOKUP(TRIM(C74),Справочники!$A$3:$B$13,2,0),"Нет в справочнике")</f>
        <v>Мониторы</v>
      </c>
      <c r="K74" t="str">
        <f t="shared" ref="K74:K99" si="16">IF(LEN(TRIM(D74))&lt;=3,UPPER(TRIM(D74)),PROPER(TRIM(D74)))</f>
        <v>Acer</v>
      </c>
      <c r="L74" s="4">
        <f t="shared" ref="L74:L99" si="17">ROUND(VALUE(SUBSTITUTE(SUBSTITUTE(SUBSTITUTE(SUBSTITUTE(SUBSTITUTE(TRIM(E74)," ",""),"руб.",""),"₽",""),",",""),".",""))/IF(OR(ISNUMBER(FIND(",",SUBSTITUTE(SUBSTITUTE(SUBSTITUTE(TRIM(E74)," ",""),"руб.",""),"₽",""))),ISNUMBER(FIND(".",SUBSTITUTE(SUBSTITUTE(SUBSTITUTE(TRIM(E74)," ",""),"руб.",""),"₽","")))),100,1),2)</f>
        <v>52000</v>
      </c>
      <c r="M74" s="4">
        <f t="shared" ref="M74:M99" si="18">ROUND(VALUE(SUBSTITUTE(SUBSTITUTE(SUBSTITUTE(SUBSTITUTE(SUBSTITUTE(TRIM(F74)," ",""),"руб.",""),"₽",""),",",""),".",""))/IF(OR(ISNUMBER(FIND(",",SUBSTITUTE(SUBSTITUTE(SUBSTITUTE(TRIM(F74)," ",""),"руб.",""),"₽",""))),ISNUMBER(FIND(".",SUBSTITUTE(SUBSTITUTE(SUBSTITUTE(TRIM(F74)," ",""),"руб.",""),"₽","")))),100,1),2)</f>
        <v>79900</v>
      </c>
      <c r="N74" t="str">
        <f>IFERROR(VLOOKUP(TRIM(G74),Справочники!$P$3:$Q$7,2,0),"Нет в справочнике")</f>
        <v>шт.</v>
      </c>
      <c r="O74" t="str">
        <f t="shared" ref="O74:O99" si="19">IF(M74&gt;=L74,"ОК","Розница ниже закупки")</f>
        <v>ОК</v>
      </c>
      <c r="P74" t="str">
        <f t="shared" ref="P74:P99" si="20">IF(COUNTIF($H$2:$H$502,H74)&gt;1,"Повтор артикула","Уникальный")</f>
        <v>Уникальный</v>
      </c>
    </row>
    <row r="75">
      <c r="A75" s="3" t="s">
        <v>355</v>
      </c>
      <c r="B75" s="3" t="s">
        <v>356</v>
      </c>
      <c r="C75" s="3" t="s">
        <v>143</v>
      </c>
      <c r="D75" s="3" t="s">
        <v>357</v>
      </c>
      <c r="E75" s="3" t="s">
        <v>358</v>
      </c>
      <c r="F75" s="3" t="s">
        <v>359</v>
      </c>
      <c r="G75" s="3" t="s">
        <v>35</v>
      </c>
      <c r="H75" t="str">
        <f t="shared" si="14"/>
        <v>АРТ-074</v>
      </c>
      <c r="I75" t="str">
        <f t="shared" si="15"/>
        <v xml:space="preserve">Монитор Acer Predator X27</v>
      </c>
      <c r="J75" t="str">
        <f>IFERROR(VLOOKUP(TRIM(C75),Справочники!$A$3:$B$13,2,0),"Нет в справочнике")</f>
        <v>Мониторы</v>
      </c>
      <c r="K75" t="str">
        <f t="shared" si="16"/>
        <v>Acer</v>
      </c>
      <c r="L75" s="4">
        <f t="shared" si="17"/>
        <v>50500</v>
      </c>
      <c r="M75" s="4">
        <f t="shared" si="18"/>
        <v>77500</v>
      </c>
      <c r="N75" t="str">
        <f>IFERROR(VLOOKUP(TRIM(G75),Справочники!$P$3:$Q$7,2,0),"Нет в справочнике")</f>
        <v>шт.</v>
      </c>
      <c r="O75" t="str">
        <f t="shared" si="19"/>
        <v>ОК</v>
      </c>
      <c r="P75" t="str">
        <f t="shared" si="20"/>
        <v>Уникальный</v>
      </c>
    </row>
    <row r="76">
      <c r="A76" s="3" t="s">
        <v>360</v>
      </c>
      <c r="B76" s="3" t="s">
        <v>361</v>
      </c>
      <c r="C76" s="3" t="s">
        <v>143</v>
      </c>
      <c r="D76" s="3" t="s">
        <v>362</v>
      </c>
      <c r="E76" s="3" t="s">
        <v>255</v>
      </c>
      <c r="F76" s="3" t="s">
        <v>297</v>
      </c>
      <c r="G76" s="3" t="s">
        <v>22</v>
      </c>
      <c r="H76" t="str">
        <f t="shared" si="14"/>
        <v>АРТ-075</v>
      </c>
      <c r="I76" t="str">
        <f t="shared" si="15"/>
        <v xml:space="preserve">Монитор Acer Predator X27</v>
      </c>
      <c r="J76" t="str">
        <f>IFERROR(VLOOKUP(TRIM(C76),Справочники!$A$3:$B$13,2,0),"Нет в справочнике")</f>
        <v>Мониторы</v>
      </c>
      <c r="K76" t="str">
        <f t="shared" si="16"/>
        <v>Acer</v>
      </c>
      <c r="L76" s="4">
        <f t="shared" si="17"/>
        <v>53500</v>
      </c>
      <c r="M76" s="4">
        <f t="shared" si="18"/>
        <v>82000</v>
      </c>
      <c r="N76" t="str">
        <f>IFERROR(VLOOKUP(TRIM(G76),Справочники!$P$3:$Q$7,2,0),"Нет в справочнике")</f>
        <v>шт.</v>
      </c>
      <c r="O76" t="str">
        <f t="shared" si="19"/>
        <v>ОК</v>
      </c>
      <c r="P76" t="str">
        <f t="shared" si="20"/>
        <v>Уникальный</v>
      </c>
    </row>
    <row r="77">
      <c r="A77" s="3" t="s">
        <v>363</v>
      </c>
      <c r="B77" s="3" t="s">
        <v>364</v>
      </c>
      <c r="C77" s="3" t="s">
        <v>157</v>
      </c>
      <c r="D77" s="3" t="s">
        <v>365</v>
      </c>
      <c r="E77" s="3" t="s">
        <v>366</v>
      </c>
      <c r="F77" s="3" t="s">
        <v>367</v>
      </c>
      <c r="G77" s="3" t="s">
        <v>42</v>
      </c>
      <c r="H77" t="str">
        <f t="shared" si="14"/>
        <v>АРТ-076</v>
      </c>
      <c r="I77" t="str">
        <f t="shared" si="15"/>
        <v xml:space="preserve">Клавиатура Razer Blackwidow V4</v>
      </c>
      <c r="J77" t="str">
        <f>IFERROR(VLOOKUP(TRIM(C77),Справочники!$A$3:$B$13,2,0),"Нет в справочнике")</f>
        <v>Аксессуары</v>
      </c>
      <c r="K77" t="str">
        <f t="shared" si="16"/>
        <v>Razer</v>
      </c>
      <c r="L77" s="4">
        <f t="shared" si="17"/>
        <v>7500</v>
      </c>
      <c r="M77" s="4">
        <f t="shared" si="18"/>
        <v>12990</v>
      </c>
      <c r="N77" t="str">
        <f>IFERROR(VLOOKUP(TRIM(G77),Справочники!$P$3:$Q$7,2,0),"Нет в справочнике")</f>
        <v>шт.</v>
      </c>
      <c r="O77" t="str">
        <f t="shared" si="19"/>
        <v>ОК</v>
      </c>
      <c r="P77" t="str">
        <f t="shared" si="20"/>
        <v>Уникальный</v>
      </c>
    </row>
    <row r="78">
      <c r="A78" s="3" t="s">
        <v>368</v>
      </c>
      <c r="B78" s="3" t="s">
        <v>369</v>
      </c>
      <c r="C78" s="3" t="s">
        <v>157</v>
      </c>
      <c r="D78" s="3" t="s">
        <v>370</v>
      </c>
      <c r="E78" s="3" t="s">
        <v>371</v>
      </c>
      <c r="F78" s="3" t="s">
        <v>348</v>
      </c>
      <c r="G78" s="3" t="s">
        <v>28</v>
      </c>
      <c r="H78" t="str">
        <f t="shared" si="14"/>
        <v>АРТ-077</v>
      </c>
      <c r="I78" t="str">
        <f t="shared" si="15"/>
        <v xml:space="preserve">Клавиатура Razer Blackwidow V4</v>
      </c>
      <c r="J78" t="str">
        <f>IFERROR(VLOOKUP(TRIM(C78),Справочники!$A$3:$B$13,2,0),"Нет в справочнике")</f>
        <v>Аксессуары</v>
      </c>
      <c r="K78" t="str">
        <f t="shared" si="16"/>
        <v>Razer</v>
      </c>
      <c r="L78" s="4">
        <f t="shared" si="17"/>
        <v>7200</v>
      </c>
      <c r="M78" s="4">
        <f t="shared" si="18"/>
        <v>12500</v>
      </c>
      <c r="N78" t="str">
        <f>IFERROR(VLOOKUP(TRIM(G78),Справочники!$P$3:$Q$7,2,0),"Нет в справочнике")</f>
        <v>шт.</v>
      </c>
      <c r="O78" t="str">
        <f t="shared" si="19"/>
        <v>ОК</v>
      </c>
      <c r="P78" t="str">
        <f t="shared" si="20"/>
        <v>Уникальный</v>
      </c>
    </row>
    <row r="79">
      <c r="A79" s="3" t="s">
        <v>372</v>
      </c>
      <c r="B79" s="3" t="s">
        <v>373</v>
      </c>
      <c r="C79" s="3" t="s">
        <v>157</v>
      </c>
      <c r="D79" s="3" t="s">
        <v>374</v>
      </c>
      <c r="E79" s="3" t="s">
        <v>375</v>
      </c>
      <c r="F79" s="3" t="s">
        <v>376</v>
      </c>
      <c r="G79" s="3" t="s">
        <v>22</v>
      </c>
      <c r="H79" t="str">
        <f t="shared" si="14"/>
        <v>АРТ-078</v>
      </c>
      <c r="I79" t="str">
        <f t="shared" si="15"/>
        <v xml:space="preserve">Клавиатура Razer Blackwidow V4</v>
      </c>
      <c r="J79" t="str">
        <f>IFERROR(VLOOKUP(TRIM(C79),Справочники!$A$3:$B$13,2,0),"Нет в справочнике")</f>
        <v>Аксессуары</v>
      </c>
      <c r="K79" t="str">
        <f t="shared" si="16"/>
        <v>Razer</v>
      </c>
      <c r="L79" s="4">
        <f t="shared" si="17"/>
        <v>7800</v>
      </c>
      <c r="M79" s="4">
        <f t="shared" si="18"/>
        <v>13500</v>
      </c>
      <c r="N79" t="str">
        <f>IFERROR(VLOOKUP(TRIM(G79),Справочники!$P$3:$Q$7,2,0),"Нет в справочнике")</f>
        <v>шт.</v>
      </c>
      <c r="O79" t="str">
        <f t="shared" si="19"/>
        <v>ОК</v>
      </c>
      <c r="P79" t="str">
        <f t="shared" si="20"/>
        <v>Уникальный</v>
      </c>
    </row>
    <row r="80">
      <c r="A80" s="3" t="s">
        <v>377</v>
      </c>
      <c r="B80" s="3" t="s">
        <v>378</v>
      </c>
      <c r="C80" s="3" t="s">
        <v>69</v>
      </c>
      <c r="D80" s="3" t="s">
        <v>113</v>
      </c>
      <c r="E80" s="3" t="s">
        <v>379</v>
      </c>
      <c r="F80" s="3" t="s">
        <v>380</v>
      </c>
      <c r="G80" s="3" t="s">
        <v>42</v>
      </c>
      <c r="H80" t="str">
        <f t="shared" si="14"/>
        <v>АРТ-079</v>
      </c>
      <c r="I80" t="str">
        <f t="shared" si="15"/>
        <v xml:space="preserve">Планшет Lenovo Tab P12</v>
      </c>
      <c r="J80" t="str">
        <f>IFERROR(VLOOKUP(TRIM(C80),Справочники!$A$3:$B$13,2,0),"Нет в справочнике")</f>
        <v>Планшеты</v>
      </c>
      <c r="K80" t="str">
        <f t="shared" si="16"/>
        <v>Lenovo</v>
      </c>
      <c r="L80" s="4">
        <f t="shared" si="17"/>
        <v>28000</v>
      </c>
      <c r="M80" s="4">
        <f t="shared" si="18"/>
        <v>45999</v>
      </c>
      <c r="N80" t="str">
        <f>IFERROR(VLOOKUP(TRIM(G80),Справочники!$P$3:$Q$7,2,0),"Нет в справочнике")</f>
        <v>шт.</v>
      </c>
      <c r="O80" t="str">
        <f t="shared" si="19"/>
        <v>ОК</v>
      </c>
      <c r="P80" t="str">
        <f t="shared" si="20"/>
        <v>Уникальный</v>
      </c>
    </row>
    <row r="81">
      <c r="A81" s="3" t="s">
        <v>381</v>
      </c>
      <c r="B81" s="3" t="s">
        <v>382</v>
      </c>
      <c r="C81" s="3" t="s">
        <v>69</v>
      </c>
      <c r="D81" s="3" t="s">
        <v>118</v>
      </c>
      <c r="E81" s="3" t="s">
        <v>383</v>
      </c>
      <c r="F81" s="3" t="s">
        <v>384</v>
      </c>
      <c r="G81" s="3" t="s">
        <v>35</v>
      </c>
      <c r="H81" t="str">
        <f t="shared" si="14"/>
        <v>АРТ-080</v>
      </c>
      <c r="I81" t="str">
        <f t="shared" si="15"/>
        <v xml:space="preserve">Планшет Lenovo Tab P12</v>
      </c>
      <c r="J81" t="str">
        <f>IFERROR(VLOOKUP(TRIM(C81),Справочники!$A$3:$B$13,2,0),"Нет в справочнике")</f>
        <v>Планшеты</v>
      </c>
      <c r="K81" t="str">
        <f t="shared" si="16"/>
        <v>Lenovo</v>
      </c>
      <c r="L81" s="4">
        <f t="shared" si="17"/>
        <v>27000</v>
      </c>
      <c r="M81" s="4">
        <f t="shared" si="18"/>
        <v>44500</v>
      </c>
      <c r="N81" t="str">
        <f>IFERROR(VLOOKUP(TRIM(G81),Справочники!$P$3:$Q$7,2,0),"Нет в справочнике")</f>
        <v>шт.</v>
      </c>
      <c r="O81" t="str">
        <f t="shared" si="19"/>
        <v>ОК</v>
      </c>
      <c r="P81" t="str">
        <f t="shared" si="20"/>
        <v>Уникальный</v>
      </c>
    </row>
    <row r="82">
      <c r="A82" s="3" t="s">
        <v>385</v>
      </c>
      <c r="B82" s="3" t="s">
        <v>386</v>
      </c>
      <c r="C82" s="3" t="s">
        <v>69</v>
      </c>
      <c r="D82" s="3" t="s">
        <v>123</v>
      </c>
      <c r="E82" s="3" t="s">
        <v>387</v>
      </c>
      <c r="F82" s="3" t="s">
        <v>388</v>
      </c>
      <c r="G82" s="3" t="s">
        <v>22</v>
      </c>
      <c r="H82" t="str">
        <f t="shared" si="14"/>
        <v>АРТ-081</v>
      </c>
      <c r="I82" t="str">
        <f t="shared" si="15"/>
        <v xml:space="preserve">Планшет Lenovo Tab P12</v>
      </c>
      <c r="J82" t="str">
        <f>IFERROR(VLOOKUP(TRIM(C82),Справочники!$A$3:$B$13,2,0),"Нет в справочнике")</f>
        <v>Планшеты</v>
      </c>
      <c r="K82" t="str">
        <f t="shared" si="16"/>
        <v>Lenovo</v>
      </c>
      <c r="L82" s="4">
        <f t="shared" si="17"/>
        <v>29000</v>
      </c>
      <c r="M82" s="4">
        <f t="shared" si="18"/>
        <v>47500</v>
      </c>
      <c r="N82" t="str">
        <f>IFERROR(VLOOKUP(TRIM(G82),Справочники!$P$3:$Q$7,2,0),"Нет в справочнике")</f>
        <v>шт.</v>
      </c>
      <c r="O82" t="str">
        <f t="shared" si="19"/>
        <v>ОК</v>
      </c>
      <c r="P82" t="str">
        <f t="shared" si="20"/>
        <v>Уникальный</v>
      </c>
    </row>
    <row r="83">
      <c r="A83" s="3" t="s">
        <v>389</v>
      </c>
      <c r="B83" s="3" t="s">
        <v>390</v>
      </c>
      <c r="C83" s="3" t="s">
        <v>199</v>
      </c>
      <c r="D83" s="3" t="s">
        <v>55</v>
      </c>
      <c r="E83" s="3" t="s">
        <v>391</v>
      </c>
      <c r="F83" s="3" t="s">
        <v>392</v>
      </c>
      <c r="G83" s="3" t="s">
        <v>42</v>
      </c>
      <c r="H83" t="str">
        <f t="shared" si="14"/>
        <v>АРТ-082</v>
      </c>
      <c r="I83" t="str">
        <f t="shared" si="15"/>
        <v xml:space="preserve">Смарт-Часы Samsung Galaxy Watch6</v>
      </c>
      <c r="J83" t="str">
        <f>IFERROR(VLOOKUP(TRIM(C83),Справочники!$A$3:$B$13,2,0),"Нет в справочнике")</f>
        <v>Часы</v>
      </c>
      <c r="K83" t="str">
        <f t="shared" si="16"/>
        <v>Samsung</v>
      </c>
      <c r="L83" s="4">
        <f t="shared" si="17"/>
        <v>25000</v>
      </c>
      <c r="M83" s="4">
        <f t="shared" si="18"/>
        <v>39990</v>
      </c>
      <c r="N83" t="str">
        <f>IFERROR(VLOOKUP(TRIM(G83),Справочники!$P$3:$Q$7,2,0),"Нет в справочнике")</f>
        <v>шт.</v>
      </c>
      <c r="O83" t="str">
        <f t="shared" si="19"/>
        <v>ОК</v>
      </c>
      <c r="P83" t="str">
        <f t="shared" si="20"/>
        <v>Уникальный</v>
      </c>
    </row>
    <row r="84">
      <c r="A84" s="3" t="s">
        <v>393</v>
      </c>
      <c r="B84" s="3" t="s">
        <v>394</v>
      </c>
      <c r="C84" s="3" t="s">
        <v>199</v>
      </c>
      <c r="D84" s="3" t="s">
        <v>148</v>
      </c>
      <c r="E84" s="3" t="s">
        <v>395</v>
      </c>
      <c r="F84" s="3" t="s">
        <v>396</v>
      </c>
      <c r="G84" s="3" t="s">
        <v>28</v>
      </c>
      <c r="H84" t="str">
        <f t="shared" si="14"/>
        <v>АРТ-083</v>
      </c>
      <c r="I84" t="str">
        <f t="shared" si="15"/>
        <v xml:space="preserve">Смарт-Часы Samsung Galaxy Watch6</v>
      </c>
      <c r="J84" t="str">
        <f>IFERROR(VLOOKUP(TRIM(C84),Справочники!$A$3:$B$13,2,0),"Нет в справочнике")</f>
        <v>Часы</v>
      </c>
      <c r="K84" t="str">
        <f t="shared" si="16"/>
        <v>Samsung</v>
      </c>
      <c r="L84" s="4">
        <f t="shared" si="17"/>
        <v>24000</v>
      </c>
      <c r="M84" s="4">
        <f t="shared" si="18"/>
        <v>38500</v>
      </c>
      <c r="N84" t="str">
        <f>IFERROR(VLOOKUP(TRIM(G84),Справочники!$P$3:$Q$7,2,0),"Нет в справочнике")</f>
        <v>шт.</v>
      </c>
      <c r="O84" t="str">
        <f t="shared" si="19"/>
        <v>ОК</v>
      </c>
      <c r="P84" t="str">
        <f t="shared" si="20"/>
        <v>Уникальный</v>
      </c>
    </row>
    <row r="85">
      <c r="A85" s="3" t="s">
        <v>397</v>
      </c>
      <c r="B85" s="3" t="s">
        <v>398</v>
      </c>
      <c r="C85" s="3" t="s">
        <v>199</v>
      </c>
      <c r="D85" s="3" t="s">
        <v>60</v>
      </c>
      <c r="E85" s="3" t="s">
        <v>399</v>
      </c>
      <c r="F85" s="3" t="s">
        <v>196</v>
      </c>
      <c r="G85" s="3" t="s">
        <v>22</v>
      </c>
      <c r="H85" t="str">
        <f t="shared" si="14"/>
        <v>АРТ-084</v>
      </c>
      <c r="I85" t="str">
        <f t="shared" si="15"/>
        <v xml:space="preserve">Смарт-Часы Samsung Galaxy Watch6</v>
      </c>
      <c r="J85" t="str">
        <f>IFERROR(VLOOKUP(TRIM(C85),Справочники!$A$3:$B$13,2,0),"Нет в справочнике")</f>
        <v>Часы</v>
      </c>
      <c r="K85" t="str">
        <f t="shared" si="16"/>
        <v>Samsung</v>
      </c>
      <c r="L85" s="4">
        <f t="shared" si="17"/>
        <v>26000</v>
      </c>
      <c r="M85" s="4">
        <f t="shared" si="18"/>
        <v>41000</v>
      </c>
      <c r="N85" t="str">
        <f>IFERROR(VLOOKUP(TRIM(G85),Справочники!$P$3:$Q$7,2,0),"Нет в справочнике")</f>
        <v>шт.</v>
      </c>
      <c r="O85" t="str">
        <f t="shared" si="19"/>
        <v>ОК</v>
      </c>
      <c r="P85" t="str">
        <f t="shared" si="20"/>
        <v>Уникальный</v>
      </c>
    </row>
    <row r="86">
      <c r="A86" s="3" t="s">
        <v>400</v>
      </c>
      <c r="B86" s="3" t="s">
        <v>401</v>
      </c>
      <c r="C86" s="3" t="s">
        <v>38</v>
      </c>
      <c r="D86" s="3" t="s">
        <v>402</v>
      </c>
      <c r="E86" s="3" t="s">
        <v>403</v>
      </c>
      <c r="F86" s="3" t="s">
        <v>404</v>
      </c>
      <c r="G86" s="3" t="s">
        <v>42</v>
      </c>
      <c r="H86" t="str">
        <f t="shared" si="14"/>
        <v>АРТ-085</v>
      </c>
      <c r="I86" t="str">
        <f t="shared" si="15"/>
        <v xml:space="preserve">Ноутбук Asus Zenbook 14</v>
      </c>
      <c r="J86" t="str">
        <f>IFERROR(VLOOKUP(TRIM(C86),Справочники!$A$3:$B$13,2,0),"Нет в справочнике")</f>
        <v>Ноутбуки</v>
      </c>
      <c r="K86" t="str">
        <f t="shared" si="16"/>
        <v>Asus</v>
      </c>
      <c r="L86" s="4">
        <f t="shared" si="17"/>
        <v>72000</v>
      </c>
      <c r="M86" s="4">
        <f t="shared" si="18"/>
        <v>109990</v>
      </c>
      <c r="N86" t="str">
        <f>IFERROR(VLOOKUP(TRIM(G86),Справочники!$P$3:$Q$7,2,0),"Нет в справочнике")</f>
        <v>шт.</v>
      </c>
      <c r="O86" t="str">
        <f t="shared" si="19"/>
        <v>ОК</v>
      </c>
      <c r="P86" t="str">
        <f t="shared" si="20"/>
        <v>Уникальный</v>
      </c>
    </row>
    <row r="87">
      <c r="A87" s="3" t="s">
        <v>405</v>
      </c>
      <c r="B87" s="3" t="s">
        <v>406</v>
      </c>
      <c r="C87" s="3" t="s">
        <v>45</v>
      </c>
      <c r="D87" s="3" t="s">
        <v>46</v>
      </c>
      <c r="E87" s="3" t="s">
        <v>66</v>
      </c>
      <c r="F87" s="3" t="s">
        <v>407</v>
      </c>
      <c r="G87" s="3" t="s">
        <v>35</v>
      </c>
      <c r="H87" t="str">
        <f t="shared" si="14"/>
        <v>АРТ-086</v>
      </c>
      <c r="I87" t="str">
        <f t="shared" si="15"/>
        <v xml:space="preserve">Ноутбук Asus Zenbook 14</v>
      </c>
      <c r="J87" t="str">
        <f>IFERROR(VLOOKUP(TRIM(C87),Справочники!$A$3:$B$13,2,0),"Нет в справочнике")</f>
        <v>Ноутбуки</v>
      </c>
      <c r="K87" t="str">
        <f t="shared" si="16"/>
        <v>Asus</v>
      </c>
      <c r="L87" s="4">
        <f t="shared" si="17"/>
        <v>70500</v>
      </c>
      <c r="M87" s="4">
        <f t="shared" si="18"/>
        <v>107500</v>
      </c>
      <c r="N87" t="str">
        <f>IFERROR(VLOOKUP(TRIM(G87),Справочники!$P$3:$Q$7,2,0),"Нет в справочнике")</f>
        <v>шт.</v>
      </c>
      <c r="O87" t="str">
        <f t="shared" si="19"/>
        <v>ОК</v>
      </c>
      <c r="P87" t="str">
        <f t="shared" si="20"/>
        <v>Уникальный</v>
      </c>
    </row>
    <row r="88">
      <c r="A88" s="3" t="s">
        <v>408</v>
      </c>
      <c r="B88" s="3" t="s">
        <v>409</v>
      </c>
      <c r="C88" s="3" t="s">
        <v>38</v>
      </c>
      <c r="D88" s="3" t="s">
        <v>39</v>
      </c>
      <c r="E88" s="3" t="s">
        <v>410</v>
      </c>
      <c r="F88" s="3" t="s">
        <v>334</v>
      </c>
      <c r="G88" s="3" t="s">
        <v>22</v>
      </c>
      <c r="H88" t="str">
        <f t="shared" si="14"/>
        <v>АРТ-087</v>
      </c>
      <c r="I88" t="str">
        <f t="shared" si="15"/>
        <v xml:space="preserve">Ноутбук Asus Zenbook 14</v>
      </c>
      <c r="J88" t="str">
        <f>IFERROR(VLOOKUP(TRIM(C88),Справочники!$A$3:$B$13,2,0),"Нет в справочнике")</f>
        <v>Ноутбуки</v>
      </c>
      <c r="K88" t="str">
        <f t="shared" si="16"/>
        <v>Asus</v>
      </c>
      <c r="L88" s="4">
        <f t="shared" si="17"/>
        <v>73500</v>
      </c>
      <c r="M88" s="4">
        <f t="shared" si="18"/>
        <v>112000</v>
      </c>
      <c r="N88" t="str">
        <f>IFERROR(VLOOKUP(TRIM(G88),Справочники!$P$3:$Q$7,2,0),"Нет в справочнике")</f>
        <v>шт.</v>
      </c>
      <c r="O88" t="str">
        <f t="shared" si="19"/>
        <v>ОК</v>
      </c>
      <c r="P88" t="str">
        <f t="shared" si="20"/>
        <v>Уникальный</v>
      </c>
    </row>
    <row r="89">
      <c r="A89" s="3" t="s">
        <v>411</v>
      </c>
      <c r="B89" s="3" t="s">
        <v>412</v>
      </c>
      <c r="C89" s="3" t="s">
        <v>83</v>
      </c>
      <c r="D89" s="3" t="s">
        <v>128</v>
      </c>
      <c r="E89" s="3" t="s">
        <v>129</v>
      </c>
      <c r="F89" s="3" t="s">
        <v>250</v>
      </c>
      <c r="G89" s="3" t="s">
        <v>42</v>
      </c>
      <c r="H89" t="str">
        <f t="shared" si="14"/>
        <v>АРТ-088</v>
      </c>
      <c r="I89" t="str">
        <f t="shared" si="15"/>
        <v xml:space="preserve">Телевизор Xiaomi Tv A2</v>
      </c>
      <c r="J89" t="str">
        <f>IFERROR(VLOOKUP(TRIM(C89),Справочники!$A$3:$B$13,2,0),"Нет в справочнике")</f>
        <v>Телевизоры</v>
      </c>
      <c r="K89" t="str">
        <f t="shared" si="16"/>
        <v>Xiaomi</v>
      </c>
      <c r="L89" s="4">
        <f t="shared" si="17"/>
        <v>35000</v>
      </c>
      <c r="M89" s="4">
        <f t="shared" si="18"/>
        <v>54999</v>
      </c>
      <c r="N89" t="str">
        <f>IFERROR(VLOOKUP(TRIM(G89),Справочники!$P$3:$Q$7,2,0),"Нет в справочнике")</f>
        <v>шт.</v>
      </c>
      <c r="O89" t="str">
        <f t="shared" si="19"/>
        <v>ОК</v>
      </c>
      <c r="P89" t="str">
        <f t="shared" si="20"/>
        <v>Уникальный</v>
      </c>
    </row>
    <row r="90">
      <c r="A90" s="3" t="s">
        <v>413</v>
      </c>
      <c r="B90" s="3" t="s">
        <v>414</v>
      </c>
      <c r="C90" s="3" t="s">
        <v>83</v>
      </c>
      <c r="D90" s="3" t="s">
        <v>133</v>
      </c>
      <c r="E90" s="3" t="s">
        <v>415</v>
      </c>
      <c r="F90" s="3" t="s">
        <v>255</v>
      </c>
      <c r="G90" s="3" t="s">
        <v>28</v>
      </c>
      <c r="H90" t="str">
        <f t="shared" si="14"/>
        <v>АРТ-089</v>
      </c>
      <c r="I90" t="str">
        <f t="shared" si="15"/>
        <v xml:space="preserve">Телевизор Xiaomi Tv A2</v>
      </c>
      <c r="J90" t="str">
        <f>IFERROR(VLOOKUP(TRIM(C90),Справочники!$A$3:$B$13,2,0),"Нет в справочнике")</f>
        <v>Телевизоры</v>
      </c>
      <c r="K90" t="str">
        <f t="shared" si="16"/>
        <v>Xiaomi</v>
      </c>
      <c r="L90" s="4">
        <f t="shared" si="17"/>
        <v>34000</v>
      </c>
      <c r="M90" s="4">
        <f t="shared" si="18"/>
        <v>53500</v>
      </c>
      <c r="N90" t="str">
        <f>IFERROR(VLOOKUP(TRIM(G90),Справочники!$P$3:$Q$7,2,0),"Нет в справочнике")</f>
        <v>шт.</v>
      </c>
      <c r="O90" t="str">
        <f t="shared" si="19"/>
        <v>ОК</v>
      </c>
      <c r="P90" t="str">
        <f t="shared" si="20"/>
        <v>Уникальный</v>
      </c>
    </row>
    <row r="91">
      <c r="A91" s="3" t="s">
        <v>416</v>
      </c>
      <c r="B91" s="3" t="s">
        <v>417</v>
      </c>
      <c r="C91" s="3" t="s">
        <v>83</v>
      </c>
      <c r="D91" s="3" t="s">
        <v>138</v>
      </c>
      <c r="E91" s="3" t="s">
        <v>418</v>
      </c>
      <c r="F91" s="3" t="s">
        <v>419</v>
      </c>
      <c r="G91" s="3" t="s">
        <v>22</v>
      </c>
      <c r="H91" t="str">
        <f t="shared" si="14"/>
        <v>АРТ-090</v>
      </c>
      <c r="I91" t="str">
        <f t="shared" si="15"/>
        <v xml:space="preserve">Телевизор Xiaomi Tv A2</v>
      </c>
      <c r="J91" t="str">
        <f>IFERROR(VLOOKUP(TRIM(C91),Справочники!$A$3:$B$13,2,0),"Нет в справочнике")</f>
        <v>Телевизоры</v>
      </c>
      <c r="K91" t="str">
        <f t="shared" si="16"/>
        <v>Xiaomi</v>
      </c>
      <c r="L91" s="4">
        <f t="shared" si="17"/>
        <v>36000</v>
      </c>
      <c r="M91" s="4">
        <f t="shared" si="18"/>
        <v>56500</v>
      </c>
      <c r="N91" t="str">
        <f>IFERROR(VLOOKUP(TRIM(G91),Справочники!$P$3:$Q$7,2,0),"Нет в справочнике")</f>
        <v>шт.</v>
      </c>
      <c r="O91" t="str">
        <f t="shared" si="19"/>
        <v>ОК</v>
      </c>
      <c r="P91" t="str">
        <f t="shared" si="20"/>
        <v>Уникальный</v>
      </c>
    </row>
    <row r="92">
      <c r="A92" s="3" t="s">
        <v>420</v>
      </c>
      <c r="B92" s="3" t="s">
        <v>421</v>
      </c>
      <c r="C92" s="3" t="s">
        <v>98</v>
      </c>
      <c r="D92" s="3" t="s">
        <v>422</v>
      </c>
      <c r="E92" s="3" t="s">
        <v>423</v>
      </c>
      <c r="F92" s="3" t="s">
        <v>160</v>
      </c>
      <c r="G92" s="3" t="s">
        <v>42</v>
      </c>
      <c r="H92" t="str">
        <f t="shared" si="14"/>
        <v>АРТ-091</v>
      </c>
      <c r="I92" t="str">
        <f t="shared" si="15"/>
        <v xml:space="preserve">Наушники Anker Soundcore Q45</v>
      </c>
      <c r="J92" t="str">
        <f>IFERROR(VLOOKUP(TRIM(C92),Справочники!$A$3:$B$13,2,0),"Нет в справочнике")</f>
        <v>Наушники</v>
      </c>
      <c r="K92" t="str">
        <f t="shared" si="16"/>
        <v>Anker</v>
      </c>
      <c r="L92" s="4">
        <f t="shared" si="17"/>
        <v>6000</v>
      </c>
      <c r="M92" s="4">
        <f t="shared" si="18"/>
        <v>9990</v>
      </c>
      <c r="N92" t="str">
        <f>IFERROR(VLOOKUP(TRIM(G92),Справочники!$P$3:$Q$7,2,0),"Нет в справочнике")</f>
        <v>шт.</v>
      </c>
      <c r="O92" t="str">
        <f t="shared" si="19"/>
        <v>ОК</v>
      </c>
      <c r="P92" t="str">
        <f t="shared" si="20"/>
        <v>Уникальный</v>
      </c>
    </row>
    <row r="93">
      <c r="A93" s="3" t="s">
        <v>424</v>
      </c>
      <c r="B93" s="3" t="s">
        <v>425</v>
      </c>
      <c r="C93" s="3" t="s">
        <v>98</v>
      </c>
      <c r="D93" s="3" t="s">
        <v>426</v>
      </c>
      <c r="E93" s="3" t="s">
        <v>159</v>
      </c>
      <c r="F93" s="3" t="s">
        <v>182</v>
      </c>
      <c r="G93" s="3" t="s">
        <v>35</v>
      </c>
      <c r="H93" t="str">
        <f t="shared" si="14"/>
        <v>АРТ-092</v>
      </c>
      <c r="I93" t="str">
        <f t="shared" si="15"/>
        <v xml:space="preserve">Наушники Anker Soundcore Q45</v>
      </c>
      <c r="J93" t="str">
        <f>IFERROR(VLOOKUP(TRIM(C93),Справочники!$A$3:$B$13,2,0),"Нет в справочнике")</f>
        <v>Наушники</v>
      </c>
      <c r="K93" t="str">
        <f t="shared" si="16"/>
        <v>Anker</v>
      </c>
      <c r="L93" s="4">
        <f t="shared" si="17"/>
        <v>5500</v>
      </c>
      <c r="M93" s="4">
        <f t="shared" si="18"/>
        <v>9200</v>
      </c>
      <c r="N93" t="str">
        <f>IFERROR(VLOOKUP(TRIM(G93),Справочники!$P$3:$Q$7,2,0),"Нет в справочнике")</f>
        <v>шт.</v>
      </c>
      <c r="O93" t="str">
        <f t="shared" si="19"/>
        <v>ОК</v>
      </c>
      <c r="P93" t="str">
        <f t="shared" si="20"/>
        <v>Уникальный</v>
      </c>
    </row>
    <row r="94">
      <c r="A94" s="3" t="s">
        <v>427</v>
      </c>
      <c r="B94" s="3" t="s">
        <v>428</v>
      </c>
      <c r="C94" s="3" t="s">
        <v>98</v>
      </c>
      <c r="D94" s="3" t="s">
        <v>429</v>
      </c>
      <c r="E94" s="3" t="s">
        <v>273</v>
      </c>
      <c r="F94" s="3" t="s">
        <v>170</v>
      </c>
      <c r="G94" s="3" t="s">
        <v>22</v>
      </c>
      <c r="H94" t="str">
        <f t="shared" si="14"/>
        <v>АРТ-093</v>
      </c>
      <c r="I94" t="str">
        <f t="shared" si="15"/>
        <v xml:space="preserve">Наушники Anker Soundcore Q45</v>
      </c>
      <c r="J94" t="str">
        <f>IFERROR(VLOOKUP(TRIM(C94),Справочники!$A$3:$B$13,2,0),"Нет в справочнике")</f>
        <v>Наушники</v>
      </c>
      <c r="K94" t="str">
        <f t="shared" si="16"/>
        <v>Anker</v>
      </c>
      <c r="L94" s="4">
        <f t="shared" si="17"/>
        <v>6500</v>
      </c>
      <c r="M94" s="4">
        <f t="shared" si="18"/>
        <v>10500</v>
      </c>
      <c r="N94" t="str">
        <f>IFERROR(VLOOKUP(TRIM(G94),Справочники!$P$3:$Q$7,2,0),"Нет в справочнике")</f>
        <v>шт.</v>
      </c>
      <c r="O94" t="str">
        <f t="shared" si="19"/>
        <v>ОК</v>
      </c>
      <c r="P94" t="str">
        <f t="shared" si="20"/>
        <v>Уникальный</v>
      </c>
    </row>
    <row r="95">
      <c r="A95" s="3" t="s">
        <v>430</v>
      </c>
      <c r="B95" s="3" t="s">
        <v>431</v>
      </c>
      <c r="C95" s="3" t="s">
        <v>143</v>
      </c>
      <c r="D95" s="3" t="s">
        <v>212</v>
      </c>
      <c r="E95" s="3" t="s">
        <v>432</v>
      </c>
      <c r="F95" s="3" t="s">
        <v>433</v>
      </c>
      <c r="G95" s="3" t="s">
        <v>42</v>
      </c>
      <c r="H95" t="str">
        <f t="shared" si="14"/>
        <v>АРТ-094</v>
      </c>
      <c r="I95" t="str">
        <f t="shared" si="15"/>
        <v xml:space="preserve">Монитор Dell Ultrasharp U3223Qe</v>
      </c>
      <c r="J95" t="str">
        <f>IFERROR(VLOOKUP(TRIM(C95),Справочники!$A$3:$B$13,2,0),"Нет в справочнике")</f>
        <v>Мониторы</v>
      </c>
      <c r="K95" t="str">
        <f t="shared" si="16"/>
        <v>Dell</v>
      </c>
      <c r="L95" s="4">
        <f t="shared" si="17"/>
        <v>62000</v>
      </c>
      <c r="M95" s="4">
        <f t="shared" si="18"/>
        <v>94900</v>
      </c>
      <c r="N95" t="str">
        <f>IFERROR(VLOOKUP(TRIM(G95),Справочники!$P$3:$Q$7,2,0),"Нет в справочнике")</f>
        <v>шт.</v>
      </c>
      <c r="O95" t="str">
        <f t="shared" si="19"/>
        <v>ОК</v>
      </c>
      <c r="P95" t="str">
        <f t="shared" si="20"/>
        <v>Уникальный</v>
      </c>
    </row>
    <row r="96">
      <c r="A96" s="3" t="s">
        <v>434</v>
      </c>
      <c r="B96" s="3" t="s">
        <v>435</v>
      </c>
      <c r="C96" s="3" t="s">
        <v>143</v>
      </c>
      <c r="D96" s="3" t="s">
        <v>216</v>
      </c>
      <c r="E96" s="3" t="s">
        <v>436</v>
      </c>
      <c r="F96" s="3" t="s">
        <v>437</v>
      </c>
      <c r="G96" s="3" t="s">
        <v>28</v>
      </c>
      <c r="H96" t="str">
        <f t="shared" si="14"/>
        <v>АРТ-095</v>
      </c>
      <c r="I96" t="str">
        <f t="shared" si="15"/>
        <v xml:space="preserve">Монитор Dell Ultrasharp U3223Qe</v>
      </c>
      <c r="J96" t="str">
        <f>IFERROR(VLOOKUP(TRIM(C96),Справочники!$A$3:$B$13,2,0),"Нет в справочнике")</f>
        <v>Мониторы</v>
      </c>
      <c r="K96" t="str">
        <f t="shared" si="16"/>
        <v>Dell</v>
      </c>
      <c r="L96" s="4">
        <f t="shared" si="17"/>
        <v>60500</v>
      </c>
      <c r="M96" s="4">
        <f t="shared" si="18"/>
        <v>92000</v>
      </c>
      <c r="N96" t="str">
        <f>IFERROR(VLOOKUP(TRIM(G96),Справочники!$P$3:$Q$7,2,0),"Нет в справочнике")</f>
        <v>шт.</v>
      </c>
      <c r="O96" t="str">
        <f t="shared" si="19"/>
        <v>ОК</v>
      </c>
      <c r="P96" t="str">
        <f t="shared" si="20"/>
        <v>Уникальный</v>
      </c>
    </row>
    <row r="97">
      <c r="A97" s="3" t="s">
        <v>438</v>
      </c>
      <c r="B97" s="3" t="s">
        <v>439</v>
      </c>
      <c r="C97" s="3" t="s">
        <v>143</v>
      </c>
      <c r="D97" s="3" t="s">
        <v>220</v>
      </c>
      <c r="E97" s="3" t="s">
        <v>192</v>
      </c>
      <c r="F97" s="3" t="s">
        <v>440</v>
      </c>
      <c r="G97" s="3" t="s">
        <v>22</v>
      </c>
      <c r="H97" t="str">
        <f t="shared" si="14"/>
        <v>АРТ-096</v>
      </c>
      <c r="I97" t="str">
        <f t="shared" si="15"/>
        <v xml:space="preserve">Монитор Dell Ultrasharp U3223Qe</v>
      </c>
      <c r="J97" t="str">
        <f>IFERROR(VLOOKUP(TRIM(C97),Справочники!$A$3:$B$13,2,0),"Нет в справочнике")</f>
        <v>Мониторы</v>
      </c>
      <c r="K97" t="str">
        <f t="shared" si="16"/>
        <v>Dell</v>
      </c>
      <c r="L97" s="4">
        <f t="shared" si="17"/>
        <v>63500</v>
      </c>
      <c r="M97" s="4">
        <f t="shared" si="18"/>
        <v>97000</v>
      </c>
      <c r="N97" t="str">
        <f>IFERROR(VLOOKUP(TRIM(G97),Справочники!$P$3:$Q$7,2,0),"Нет в справочнике")</f>
        <v>шт.</v>
      </c>
      <c r="O97" t="str">
        <f t="shared" si="19"/>
        <v>ОК</v>
      </c>
      <c r="P97" t="str">
        <f t="shared" si="20"/>
        <v>Уникальный</v>
      </c>
    </row>
    <row r="98">
      <c r="A98" s="3" t="s">
        <v>441</v>
      </c>
      <c r="B98" s="3" t="s">
        <v>442</v>
      </c>
      <c r="C98" s="3" t="s">
        <v>157</v>
      </c>
      <c r="D98" s="3" t="s">
        <v>365</v>
      </c>
      <c r="E98" s="3" t="s">
        <v>443</v>
      </c>
      <c r="F98" s="3" t="s">
        <v>444</v>
      </c>
      <c r="G98" s="3" t="s">
        <v>42</v>
      </c>
      <c r="H98" t="str">
        <f t="shared" si="14"/>
        <v>АРТ-097</v>
      </c>
      <c r="I98" t="str">
        <f t="shared" si="15"/>
        <v xml:space="preserve">Мышь Razer Deathadder V3</v>
      </c>
      <c r="J98" t="str">
        <f>IFERROR(VLOOKUP(TRIM(C98),Справочники!$A$3:$B$13,2,0),"Нет в справочнике")</f>
        <v>Аксессуары</v>
      </c>
      <c r="K98" t="str">
        <f t="shared" si="16"/>
        <v>Razer</v>
      </c>
      <c r="L98" s="4">
        <f t="shared" si="17"/>
        <v>3500</v>
      </c>
      <c r="M98" s="4">
        <f t="shared" si="18"/>
        <v>6990</v>
      </c>
      <c r="N98" t="str">
        <f>IFERROR(VLOOKUP(TRIM(G98),Справочники!$P$3:$Q$7,2,0),"Нет в справочнике")</f>
        <v>шт.</v>
      </c>
      <c r="O98" t="str">
        <f t="shared" si="19"/>
        <v>ОК</v>
      </c>
      <c r="P98" t="str">
        <f t="shared" si="20"/>
        <v>Уникальный</v>
      </c>
    </row>
    <row r="99">
      <c r="A99" s="3" t="s">
        <v>445</v>
      </c>
      <c r="B99" s="3" t="s">
        <v>446</v>
      </c>
      <c r="C99" s="3" t="s">
        <v>157</v>
      </c>
      <c r="D99" s="3" t="s">
        <v>370</v>
      </c>
      <c r="E99" s="3" t="s">
        <v>447</v>
      </c>
      <c r="F99" s="3" t="s">
        <v>273</v>
      </c>
      <c r="G99" s="3" t="s">
        <v>35</v>
      </c>
      <c r="H99" t="str">
        <f t="shared" si="14"/>
        <v>АРТ-098</v>
      </c>
      <c r="I99" t="str">
        <f t="shared" si="15"/>
        <v xml:space="preserve">Мышь Razer Deathadder V3</v>
      </c>
      <c r="J99" t="str">
        <f>IFERROR(VLOOKUP(TRIM(C99),Справочники!$A$3:$B$13,2,0),"Нет в справочнике")</f>
        <v>Аксессуары</v>
      </c>
      <c r="K99" t="str">
        <f t="shared" si="16"/>
        <v>Razer</v>
      </c>
      <c r="L99" s="4">
        <f t="shared" si="17"/>
        <v>3200</v>
      </c>
      <c r="M99" s="4">
        <f t="shared" si="18"/>
        <v>6500</v>
      </c>
      <c r="N99" t="str">
        <f>IFERROR(VLOOKUP(TRIM(G99),Справочники!$P$3:$Q$7,2,0),"Нет в справочнике")</f>
        <v>шт.</v>
      </c>
      <c r="O99" t="str">
        <f t="shared" si="19"/>
        <v>ОК</v>
      </c>
      <c r="P99" t="str">
        <f t="shared" si="20"/>
        <v>Уникальный</v>
      </c>
    </row>
    <row r="100">
      <c r="A100" s="3" t="s">
        <v>448</v>
      </c>
      <c r="B100" s="3" t="s">
        <v>449</v>
      </c>
      <c r="C100" s="3" t="s">
        <v>157</v>
      </c>
      <c r="D100" s="3" t="s">
        <v>374</v>
      </c>
      <c r="E100" s="3" t="s">
        <v>450</v>
      </c>
      <c r="F100" s="3" t="s">
        <v>366</v>
      </c>
      <c r="G100" s="3" t="s">
        <v>22</v>
      </c>
      <c r="H100" t="str">
        <f t="shared" ref="H100:H163" si="21">"АРТ-"&amp;TEXT(VALUE(LEFT(SUBSTITUTE(SUBSTITUTE(SUBSTITUTE(SUBSTITUTE(TRIM(A100),"№",""),"АРТ-",""),"АРТ_",""),"АРТ",""),3)),"000")</f>
        <v>АРТ-099</v>
      </c>
      <c r="I100" t="str">
        <f t="shared" ref="I100:I163" si="22">PROPER(TRIM(IFERROR(LEFT(B100,FIND("(",B100)-1),B100)))</f>
        <v xml:space="preserve">Мышь Razer Deathadder V3</v>
      </c>
      <c r="J100" t="str">
        <f>IFERROR(VLOOKUP(TRIM(C100),Справочники!$A$3:$B$13,2,0),"Нет в справочнике")</f>
        <v>Аксессуары</v>
      </c>
      <c r="K100" t="str">
        <f t="shared" ref="K100:K163" si="23">IF(LEN(TRIM(D100))&lt;=3,UPPER(TRIM(D100)),PROPER(TRIM(D100)))</f>
        <v>Razer</v>
      </c>
      <c r="L100" s="4">
        <f t="shared" ref="L100:L163" si="24">ROUND(VALUE(SUBSTITUTE(SUBSTITUTE(SUBSTITUTE(SUBSTITUTE(SUBSTITUTE(TRIM(E100)," ",""),"руб.",""),"₽",""),",",""),".",""))/IF(OR(ISNUMBER(FIND(",",SUBSTITUTE(SUBSTITUTE(SUBSTITUTE(TRIM(E100)," ",""),"руб.",""),"₽",""))),ISNUMBER(FIND(".",SUBSTITUTE(SUBSTITUTE(SUBSTITUTE(TRIM(E100)," ",""),"руб.",""),"₽","")))),100,1),2)</f>
        <v>3800</v>
      </c>
      <c r="M100" s="4">
        <f t="shared" ref="M100:M163" si="25">ROUND(VALUE(SUBSTITUTE(SUBSTITUTE(SUBSTITUTE(SUBSTITUTE(SUBSTITUTE(TRIM(F100)," ",""),"руб.",""),"₽",""),",",""),".",""))/IF(OR(ISNUMBER(FIND(",",SUBSTITUTE(SUBSTITUTE(SUBSTITUTE(TRIM(F100)," ",""),"руб.",""),"₽",""))),ISNUMBER(FIND(".",SUBSTITUTE(SUBSTITUTE(SUBSTITUTE(TRIM(F100)," ",""),"руб.",""),"₽","")))),100,1),2)</f>
        <v>7500</v>
      </c>
      <c r="N100" t="str">
        <f>IFERROR(VLOOKUP(TRIM(G100),Справочники!$P$3:$Q$7,2,0),"Нет в справочнике")</f>
        <v>шт.</v>
      </c>
      <c r="O100" t="str">
        <f t="shared" ref="O100:O163" si="26">IF(M100&gt;=L100,"ОК","Розница ниже закупки")</f>
        <v>ОК</v>
      </c>
      <c r="P100" t="str">
        <f t="shared" ref="P100:P163" si="27">IF(COUNTIF($H$2:$H$502,H100)&gt;1,"Повтор артикула","Уникальный")</f>
        <v>Уникальный</v>
      </c>
    </row>
    <row r="101">
      <c r="A101" s="3" t="s">
        <v>451</v>
      </c>
      <c r="B101" s="3" t="s">
        <v>452</v>
      </c>
      <c r="C101" s="3" t="s">
        <v>69</v>
      </c>
      <c r="D101" s="3" t="s">
        <v>19</v>
      </c>
      <c r="E101" s="3" t="s">
        <v>129</v>
      </c>
      <c r="F101" s="3" t="s">
        <v>312</v>
      </c>
      <c r="G101" s="3" t="s">
        <v>42</v>
      </c>
      <c r="H101" t="str">
        <f t="shared" si="21"/>
        <v>АРТ-100</v>
      </c>
      <c r="I101" t="str">
        <f t="shared" si="22"/>
        <v xml:space="preserve">Планшет Apple Ipad Mini</v>
      </c>
      <c r="J101" t="str">
        <f>IFERROR(VLOOKUP(TRIM(C101),Справочники!$A$3:$B$13,2,0),"Нет в справочнике")</f>
        <v>Планшеты</v>
      </c>
      <c r="K101" t="str">
        <f t="shared" si="23"/>
        <v>Apple</v>
      </c>
      <c r="L101" s="4">
        <f t="shared" si="24"/>
        <v>35000</v>
      </c>
      <c r="M101" s="4">
        <f t="shared" si="25"/>
        <v>56990</v>
      </c>
      <c r="N101" t="str">
        <f>IFERROR(VLOOKUP(TRIM(G101),Справочники!$P$3:$Q$7,2,0),"Нет в справочнике")</f>
        <v>шт.</v>
      </c>
      <c r="O101" t="str">
        <f t="shared" si="26"/>
        <v>ОК</v>
      </c>
      <c r="P101" t="str">
        <f t="shared" si="27"/>
        <v>Уникальный</v>
      </c>
    </row>
    <row r="102">
      <c r="A102" s="3" t="s">
        <v>453</v>
      </c>
      <c r="B102" s="3" t="s">
        <v>454</v>
      </c>
      <c r="C102" s="3" t="s">
        <v>69</v>
      </c>
      <c r="D102" s="3" t="s">
        <v>74</v>
      </c>
      <c r="E102" s="3" t="s">
        <v>415</v>
      </c>
      <c r="F102" s="3" t="s">
        <v>317</v>
      </c>
      <c r="G102" s="3" t="s">
        <v>28</v>
      </c>
      <c r="H102" t="str">
        <f t="shared" si="21"/>
        <v>АРТ-101</v>
      </c>
      <c r="I102" t="str">
        <f t="shared" si="22"/>
        <v xml:space="preserve">Планшет Apple Ipad Mini</v>
      </c>
      <c r="J102" t="str">
        <f>IFERROR(VLOOKUP(TRIM(C102),Справочники!$A$3:$B$13,2,0),"Нет в справочнике")</f>
        <v>Планшеты</v>
      </c>
      <c r="K102" t="str">
        <f t="shared" si="23"/>
        <v>Apple</v>
      </c>
      <c r="L102" s="4">
        <f t="shared" si="24"/>
        <v>34000</v>
      </c>
      <c r="M102" s="4">
        <f t="shared" si="25"/>
        <v>55500</v>
      </c>
      <c r="N102" t="str">
        <f>IFERROR(VLOOKUP(TRIM(G102),Справочники!$P$3:$Q$7,2,0),"Нет в справочнике")</f>
        <v>шт.</v>
      </c>
      <c r="O102" t="str">
        <f t="shared" si="26"/>
        <v>ОК</v>
      </c>
      <c r="P102" t="str">
        <f t="shared" si="27"/>
        <v>Уникальный</v>
      </c>
    </row>
    <row r="103">
      <c r="A103" s="3" t="s">
        <v>455</v>
      </c>
      <c r="B103" s="3" t="s">
        <v>456</v>
      </c>
      <c r="C103" s="3" t="s">
        <v>69</v>
      </c>
      <c r="D103" s="3" t="s">
        <v>32</v>
      </c>
      <c r="E103" s="3" t="s">
        <v>418</v>
      </c>
      <c r="F103" s="3" t="s">
        <v>135</v>
      </c>
      <c r="G103" s="3" t="s">
        <v>22</v>
      </c>
      <c r="H103" t="str">
        <f t="shared" si="21"/>
        <v>АРТ-102</v>
      </c>
      <c r="I103" t="str">
        <f t="shared" si="22"/>
        <v xml:space="preserve">Планшет Apple Ipad Mini</v>
      </c>
      <c r="J103" t="str">
        <f>IFERROR(VLOOKUP(TRIM(C103),Справочники!$A$3:$B$13,2,0),"Нет в справочнике")</f>
        <v>Планшеты</v>
      </c>
      <c r="K103" t="str">
        <f t="shared" si="23"/>
        <v>Apple</v>
      </c>
      <c r="L103" s="4">
        <f t="shared" si="24"/>
        <v>36000</v>
      </c>
      <c r="M103" s="4">
        <f t="shared" si="25"/>
        <v>58500</v>
      </c>
      <c r="N103" t="str">
        <f>IFERROR(VLOOKUP(TRIM(G103),Справочники!$P$3:$Q$7,2,0),"Нет в справочнике")</f>
        <v>шт.</v>
      </c>
      <c r="O103" t="str">
        <f t="shared" si="26"/>
        <v>ОК</v>
      </c>
      <c r="P103" t="str">
        <f t="shared" si="27"/>
        <v>Уникальный</v>
      </c>
    </row>
    <row r="104">
      <c r="A104" s="3" t="s">
        <v>457</v>
      </c>
      <c r="B104" s="3" t="s">
        <v>458</v>
      </c>
      <c r="C104" s="3" t="s">
        <v>38</v>
      </c>
      <c r="D104" s="3" t="s">
        <v>459</v>
      </c>
      <c r="E104" s="3" t="s">
        <v>150</v>
      </c>
      <c r="F104" s="3" t="s">
        <v>460</v>
      </c>
      <c r="G104" s="3" t="s">
        <v>42</v>
      </c>
      <c r="H104" t="str">
        <f t="shared" si="21"/>
        <v>АРТ-103</v>
      </c>
      <c r="I104" t="str">
        <f t="shared" si="22"/>
        <v xml:space="preserve">Ноутбук Msi Stealth 16</v>
      </c>
      <c r="J104" t="str">
        <f>IFERROR(VLOOKUP(TRIM(C104),Справочники!$A$3:$B$13,2,0),"Нет в справочнике")</f>
        <v>Ноутбуки</v>
      </c>
      <c r="K104" t="str">
        <f t="shared" si="23"/>
        <v>MSI</v>
      </c>
      <c r="L104" s="4">
        <f t="shared" si="24"/>
        <v>98000</v>
      </c>
      <c r="M104" s="4">
        <f t="shared" si="25"/>
        <v>149990</v>
      </c>
      <c r="N104" t="str">
        <f>IFERROR(VLOOKUP(TRIM(G104),Справочники!$P$3:$Q$7,2,0),"Нет в справочнике")</f>
        <v>шт.</v>
      </c>
      <c r="O104" t="str">
        <f t="shared" si="26"/>
        <v>ОК</v>
      </c>
      <c r="P104" t="str">
        <f t="shared" si="27"/>
        <v>Уникальный</v>
      </c>
    </row>
    <row r="105">
      <c r="A105" s="3" t="s">
        <v>461</v>
      </c>
      <c r="B105" s="3" t="s">
        <v>462</v>
      </c>
      <c r="C105" s="3" t="s">
        <v>45</v>
      </c>
      <c r="D105" s="3" t="s">
        <v>463</v>
      </c>
      <c r="E105" s="3" t="s">
        <v>464</v>
      </c>
      <c r="F105" s="3" t="s">
        <v>465</v>
      </c>
      <c r="G105" s="3" t="s">
        <v>35</v>
      </c>
      <c r="H105" t="str">
        <f t="shared" si="21"/>
        <v>АРТ-104</v>
      </c>
      <c r="I105" t="str">
        <f t="shared" si="22"/>
        <v xml:space="preserve">Ноутбук Msi Stealth 16</v>
      </c>
      <c r="J105" t="str">
        <f>IFERROR(VLOOKUP(TRIM(C105),Справочники!$A$3:$B$13,2,0),"Нет в справочнике")</f>
        <v>Ноутбуки</v>
      </c>
      <c r="K105" t="str">
        <f t="shared" si="23"/>
        <v>MSI</v>
      </c>
      <c r="L105" s="4">
        <f t="shared" si="24"/>
        <v>96000</v>
      </c>
      <c r="M105" s="4">
        <f t="shared" si="25"/>
        <v>147000</v>
      </c>
      <c r="N105" t="str">
        <f>IFERROR(VLOOKUP(TRIM(G105),Справочники!$P$3:$Q$7,2,0),"Нет в справочнике")</f>
        <v>шт.</v>
      </c>
      <c r="O105" t="str">
        <f t="shared" si="26"/>
        <v>ОК</v>
      </c>
      <c r="P105" t="str">
        <f t="shared" si="27"/>
        <v>Уникальный</v>
      </c>
    </row>
    <row r="106">
      <c r="A106" s="3" t="s">
        <v>466</v>
      </c>
      <c r="B106" s="3" t="s">
        <v>467</v>
      </c>
      <c r="C106" s="3" t="s">
        <v>38</v>
      </c>
      <c r="D106" s="3" t="s">
        <v>459</v>
      </c>
      <c r="E106" s="3" t="s">
        <v>468</v>
      </c>
      <c r="F106" s="3" t="s">
        <v>469</v>
      </c>
      <c r="G106" s="3" t="s">
        <v>22</v>
      </c>
      <c r="H106" t="str">
        <f t="shared" si="21"/>
        <v>АРТ-105</v>
      </c>
      <c r="I106" t="str">
        <f t="shared" si="22"/>
        <v xml:space="preserve">Ноутбук Msi Stealth 16</v>
      </c>
      <c r="J106" t="str">
        <f>IFERROR(VLOOKUP(TRIM(C106),Справочники!$A$3:$B$13,2,0),"Нет в справочнике")</f>
        <v>Ноутбуки</v>
      </c>
      <c r="K106" t="str">
        <f t="shared" si="23"/>
        <v>MSI</v>
      </c>
      <c r="L106" s="4">
        <f t="shared" si="24"/>
        <v>99500</v>
      </c>
      <c r="M106" s="4">
        <f t="shared" si="25"/>
        <v>152000</v>
      </c>
      <c r="N106" t="str">
        <f>IFERROR(VLOOKUP(TRIM(G106),Справочники!$P$3:$Q$7,2,0),"Нет в справочнике")</f>
        <v>шт.</v>
      </c>
      <c r="O106" t="str">
        <f t="shared" si="26"/>
        <v>ОК</v>
      </c>
      <c r="P106" t="str">
        <f t="shared" si="27"/>
        <v>Уникальный</v>
      </c>
    </row>
    <row r="107">
      <c r="A107" s="3" t="s">
        <v>470</v>
      </c>
      <c r="B107" s="3" t="s">
        <v>471</v>
      </c>
      <c r="C107" s="3" t="s">
        <v>18</v>
      </c>
      <c r="D107" s="3" t="s">
        <v>472</v>
      </c>
      <c r="E107" s="3" t="s">
        <v>379</v>
      </c>
      <c r="F107" s="3" t="s">
        <v>473</v>
      </c>
      <c r="G107" s="3" t="s">
        <v>42</v>
      </c>
      <c r="H107" t="str">
        <f t="shared" si="21"/>
        <v>АРТ-106</v>
      </c>
      <c r="I107" t="str">
        <f t="shared" si="22"/>
        <v xml:space="preserve">Смартфон Realme Gt 3</v>
      </c>
      <c r="J107" t="str">
        <f>IFERROR(VLOOKUP(TRIM(C107),Справочники!$A$3:$B$13,2,0),"Нет в справочнике")</f>
        <v>Смартфоны</v>
      </c>
      <c r="K107" t="str">
        <f t="shared" si="23"/>
        <v>Realme</v>
      </c>
      <c r="L107" s="4">
        <f t="shared" si="24"/>
        <v>28000</v>
      </c>
      <c r="M107" s="4">
        <f t="shared" si="25"/>
        <v>47990</v>
      </c>
      <c r="N107" t="str">
        <f>IFERROR(VLOOKUP(TRIM(G107),Справочники!$P$3:$Q$7,2,0),"Нет в справочнике")</f>
        <v>шт.</v>
      </c>
      <c r="O107" t="str">
        <f t="shared" si="26"/>
        <v>ОК</v>
      </c>
      <c r="P107" t="str">
        <f t="shared" si="27"/>
        <v>Уникальный</v>
      </c>
    </row>
    <row r="108">
      <c r="A108" s="3" t="s">
        <v>474</v>
      </c>
      <c r="B108" s="3" t="s">
        <v>475</v>
      </c>
      <c r="C108" s="3" t="s">
        <v>25</v>
      </c>
      <c r="D108" s="3" t="s">
        <v>476</v>
      </c>
      <c r="E108" s="3" t="s">
        <v>383</v>
      </c>
      <c r="F108" s="3" t="s">
        <v>268</v>
      </c>
      <c r="G108" s="3" t="s">
        <v>28</v>
      </c>
      <c r="H108" t="str">
        <f t="shared" si="21"/>
        <v>АРТ-107</v>
      </c>
      <c r="I108" t="str">
        <f t="shared" si="22"/>
        <v xml:space="preserve">Смартфон Realme Gt 3</v>
      </c>
      <c r="J108" t="str">
        <f>IFERROR(VLOOKUP(TRIM(C108),Справочники!$A$3:$B$13,2,0),"Нет в справочнике")</f>
        <v>Смартфоны</v>
      </c>
      <c r="K108" t="str">
        <f t="shared" si="23"/>
        <v>Realme</v>
      </c>
      <c r="L108" s="4">
        <f t="shared" si="24"/>
        <v>27000</v>
      </c>
      <c r="M108" s="4">
        <f t="shared" si="25"/>
        <v>46500</v>
      </c>
      <c r="N108" t="str">
        <f>IFERROR(VLOOKUP(TRIM(G108),Справочники!$P$3:$Q$7,2,0),"Нет в справочнике")</f>
        <v>шт.</v>
      </c>
      <c r="O108" t="str">
        <f t="shared" si="26"/>
        <v>ОК</v>
      </c>
      <c r="P108" t="str">
        <f t="shared" si="27"/>
        <v>Уникальный</v>
      </c>
    </row>
    <row r="109">
      <c r="A109" s="3" t="s">
        <v>477</v>
      </c>
      <c r="B109" s="3" t="s">
        <v>478</v>
      </c>
      <c r="C109" s="3" t="s">
        <v>31</v>
      </c>
      <c r="D109" s="3" t="s">
        <v>479</v>
      </c>
      <c r="E109" s="3" t="s">
        <v>387</v>
      </c>
      <c r="F109" s="3" t="s">
        <v>480</v>
      </c>
      <c r="G109" s="3" t="s">
        <v>22</v>
      </c>
      <c r="H109" t="str">
        <f t="shared" si="21"/>
        <v>АРТ-108</v>
      </c>
      <c r="I109" t="str">
        <f t="shared" si="22"/>
        <v xml:space="preserve">Смартфон Realme Gt 3</v>
      </c>
      <c r="J109" t="str">
        <f>IFERROR(VLOOKUP(TRIM(C109),Справочники!$A$3:$B$13,2,0),"Нет в справочнике")</f>
        <v>Смартфоны</v>
      </c>
      <c r="K109" t="str">
        <f t="shared" si="23"/>
        <v>Realme</v>
      </c>
      <c r="L109" s="4">
        <f t="shared" si="24"/>
        <v>29000</v>
      </c>
      <c r="M109" s="4">
        <f t="shared" si="25"/>
        <v>49500</v>
      </c>
      <c r="N109" t="str">
        <f>IFERROR(VLOOKUP(TRIM(G109),Справочники!$P$3:$Q$7,2,0),"Нет в справочнике")</f>
        <v>шт.</v>
      </c>
      <c r="O109" t="str">
        <f t="shared" si="26"/>
        <v>ОК</v>
      </c>
      <c r="P109" t="str">
        <f t="shared" si="27"/>
        <v>Уникальный</v>
      </c>
    </row>
    <row r="110">
      <c r="A110" s="3" t="s">
        <v>481</v>
      </c>
      <c r="B110" s="3" t="s">
        <v>482</v>
      </c>
      <c r="C110" s="3" t="s">
        <v>83</v>
      </c>
      <c r="D110" s="3" t="s">
        <v>483</v>
      </c>
      <c r="E110" s="3" t="s">
        <v>484</v>
      </c>
      <c r="F110" s="3" t="s">
        <v>485</v>
      </c>
      <c r="G110" s="3" t="s">
        <v>42</v>
      </c>
      <c r="H110" t="str">
        <f t="shared" si="21"/>
        <v>АРТ-109</v>
      </c>
      <c r="I110" t="str">
        <f t="shared" si="22"/>
        <v xml:space="preserve">Телевизор Hisense U8K</v>
      </c>
      <c r="J110" t="str">
        <f>IFERROR(VLOOKUP(TRIM(C110),Справочники!$A$3:$B$13,2,0),"Нет в справочнике")</f>
        <v>Телевизоры</v>
      </c>
      <c r="K110" t="str">
        <f t="shared" si="23"/>
        <v>Hisense</v>
      </c>
      <c r="L110" s="4">
        <f t="shared" si="24"/>
        <v>78000</v>
      </c>
      <c r="M110" s="4">
        <f t="shared" si="25"/>
        <v>119999</v>
      </c>
      <c r="N110" t="str">
        <f>IFERROR(VLOOKUP(TRIM(G110),Справочники!$P$3:$Q$7,2,0),"Нет в справочнике")</f>
        <v>шт.</v>
      </c>
      <c r="O110" t="str">
        <f t="shared" si="26"/>
        <v>ОК</v>
      </c>
      <c r="P110" t="str">
        <f t="shared" si="27"/>
        <v>Уникальный</v>
      </c>
    </row>
    <row r="111">
      <c r="A111" s="3" t="s">
        <v>486</v>
      </c>
      <c r="B111" s="3" t="s">
        <v>487</v>
      </c>
      <c r="C111" s="3" t="s">
        <v>83</v>
      </c>
      <c r="D111" s="3" t="s">
        <v>488</v>
      </c>
      <c r="E111" s="3" t="s">
        <v>489</v>
      </c>
      <c r="F111" s="3" t="s">
        <v>490</v>
      </c>
      <c r="G111" s="3" t="s">
        <v>35</v>
      </c>
      <c r="H111" t="str">
        <f t="shared" si="21"/>
        <v>АРТ-110</v>
      </c>
      <c r="I111" t="str">
        <f t="shared" si="22"/>
        <v xml:space="preserve">Телевизор Hisense U8K</v>
      </c>
      <c r="J111" t="str">
        <f>IFERROR(VLOOKUP(TRIM(C111),Справочники!$A$3:$B$13,2,0),"Нет в справочнике")</f>
        <v>Телевизоры</v>
      </c>
      <c r="K111" t="str">
        <f t="shared" si="23"/>
        <v>Hisense</v>
      </c>
      <c r="L111" s="4">
        <f t="shared" si="24"/>
        <v>76000</v>
      </c>
      <c r="M111" s="4">
        <f t="shared" si="25"/>
        <v>117000</v>
      </c>
      <c r="N111" t="str">
        <f>IFERROR(VLOOKUP(TRIM(G111),Справочники!$P$3:$Q$7,2,0),"Нет в справочнике")</f>
        <v>шт.</v>
      </c>
      <c r="O111" t="str">
        <f t="shared" si="26"/>
        <v>ОК</v>
      </c>
      <c r="P111" t="str">
        <f t="shared" si="27"/>
        <v>Уникальный</v>
      </c>
    </row>
    <row r="112">
      <c r="A112" s="3" t="s">
        <v>491</v>
      </c>
      <c r="B112" s="3" t="s">
        <v>492</v>
      </c>
      <c r="C112" s="3" t="s">
        <v>83</v>
      </c>
      <c r="D112" s="3" t="s">
        <v>493</v>
      </c>
      <c r="E112" s="3" t="s">
        <v>494</v>
      </c>
      <c r="F112" s="3" t="s">
        <v>303</v>
      </c>
      <c r="G112" s="3" t="s">
        <v>22</v>
      </c>
      <c r="H112" t="str">
        <f t="shared" si="21"/>
        <v>АРТ-111</v>
      </c>
      <c r="I112" t="str">
        <f t="shared" si="22"/>
        <v xml:space="preserve">Телевизор Hisense U8K</v>
      </c>
      <c r="J112" t="str">
        <f>IFERROR(VLOOKUP(TRIM(C112),Справочники!$A$3:$B$13,2,0),"Нет в справочнике")</f>
        <v>Телевизоры</v>
      </c>
      <c r="K112" t="str">
        <f t="shared" si="23"/>
        <v>Hisense</v>
      </c>
      <c r="L112" s="4">
        <f t="shared" si="24"/>
        <v>79500</v>
      </c>
      <c r="M112" s="4">
        <f t="shared" si="25"/>
        <v>122500</v>
      </c>
      <c r="N112" t="str">
        <f>IFERROR(VLOOKUP(TRIM(G112),Справочники!$P$3:$Q$7,2,0),"Нет в справочнике")</f>
        <v>шт.</v>
      </c>
      <c r="O112" t="str">
        <f t="shared" si="26"/>
        <v>ОК</v>
      </c>
      <c r="P112" t="str">
        <f t="shared" si="27"/>
        <v>Уникальный</v>
      </c>
    </row>
    <row r="113">
      <c r="A113" s="3" t="s">
        <v>495</v>
      </c>
      <c r="B113" s="3" t="s">
        <v>496</v>
      </c>
      <c r="C113" s="3" t="s">
        <v>98</v>
      </c>
      <c r="D113" s="3" t="s">
        <v>497</v>
      </c>
      <c r="E113" s="3" t="s">
        <v>498</v>
      </c>
      <c r="F113" s="3" t="s">
        <v>499</v>
      </c>
      <c r="G113" s="3" t="s">
        <v>42</v>
      </c>
      <c r="H113" t="str">
        <f t="shared" si="21"/>
        <v>АРТ-112</v>
      </c>
      <c r="I113" t="str">
        <f t="shared" si="22"/>
        <v xml:space="preserve">Наушники Sennheiser Hd 660S</v>
      </c>
      <c r="J113" t="str">
        <f>IFERROR(VLOOKUP(TRIM(C113),Справочники!$A$3:$B$13,2,0),"Нет в справочнике")</f>
        <v>Наушники</v>
      </c>
      <c r="K113" t="str">
        <f t="shared" si="23"/>
        <v>Sennheiser</v>
      </c>
      <c r="L113" s="4">
        <f t="shared" si="24"/>
        <v>22000</v>
      </c>
      <c r="M113" s="4">
        <f t="shared" si="25"/>
        <v>34990</v>
      </c>
      <c r="N113" t="str">
        <f>IFERROR(VLOOKUP(TRIM(G113),Справочники!$P$3:$Q$7,2,0),"Нет в справочнике")</f>
        <v>шт.</v>
      </c>
      <c r="O113" t="str">
        <f t="shared" si="26"/>
        <v>ОК</v>
      </c>
      <c r="P113" t="str">
        <f t="shared" si="27"/>
        <v>Уникальный</v>
      </c>
    </row>
    <row r="114">
      <c r="A114" s="3" t="s">
        <v>500</v>
      </c>
      <c r="B114" s="3" t="s">
        <v>501</v>
      </c>
      <c r="C114" s="3" t="s">
        <v>98</v>
      </c>
      <c r="D114" s="3" t="s">
        <v>502</v>
      </c>
      <c r="E114" s="3" t="s">
        <v>503</v>
      </c>
      <c r="F114" s="3" t="s">
        <v>504</v>
      </c>
      <c r="G114" s="3" t="s">
        <v>28</v>
      </c>
      <c r="H114" t="str">
        <f t="shared" si="21"/>
        <v>АРТ-113</v>
      </c>
      <c r="I114" t="str">
        <f t="shared" si="22"/>
        <v xml:space="preserve">Наушники Sennheiser Hd 660S</v>
      </c>
      <c r="J114" t="str">
        <f>IFERROR(VLOOKUP(TRIM(C114),Справочники!$A$3:$B$13,2,0),"Нет в справочнике")</f>
        <v>Наушники</v>
      </c>
      <c r="K114" t="str">
        <f t="shared" si="23"/>
        <v>Sennheiser</v>
      </c>
      <c r="L114" s="4">
        <f t="shared" si="24"/>
        <v>21000</v>
      </c>
      <c r="M114" s="4">
        <f t="shared" si="25"/>
        <v>33500</v>
      </c>
      <c r="N114" t="str">
        <f>IFERROR(VLOOKUP(TRIM(G114),Справочники!$P$3:$Q$7,2,0),"Нет в справочнике")</f>
        <v>шт.</v>
      </c>
      <c r="O114" t="str">
        <f t="shared" si="26"/>
        <v>ОК</v>
      </c>
      <c r="P114" t="str">
        <f t="shared" si="27"/>
        <v>Уникальный</v>
      </c>
    </row>
    <row r="115">
      <c r="A115" s="3" t="s">
        <v>505</v>
      </c>
      <c r="B115" s="3" t="s">
        <v>506</v>
      </c>
      <c r="C115" s="3" t="s">
        <v>98</v>
      </c>
      <c r="D115" s="3" t="s">
        <v>507</v>
      </c>
      <c r="E115" s="3" t="s">
        <v>508</v>
      </c>
      <c r="F115" s="3" t="s">
        <v>418</v>
      </c>
      <c r="G115" s="3" t="s">
        <v>22</v>
      </c>
      <c r="H115" t="str">
        <f t="shared" si="21"/>
        <v>АРТ-114</v>
      </c>
      <c r="I115" t="str">
        <f t="shared" si="22"/>
        <v xml:space="preserve">Наушники Sennheiser Hd 660S</v>
      </c>
      <c r="J115" t="str">
        <f>IFERROR(VLOOKUP(TRIM(C115),Справочники!$A$3:$B$13,2,0),"Нет в справочнике")</f>
        <v>Наушники</v>
      </c>
      <c r="K115" t="str">
        <f t="shared" si="23"/>
        <v>Sennheiser</v>
      </c>
      <c r="L115" s="4">
        <f t="shared" si="24"/>
        <v>23000</v>
      </c>
      <c r="M115" s="4">
        <f t="shared" si="25"/>
        <v>36000</v>
      </c>
      <c r="N115" t="str">
        <f>IFERROR(VLOOKUP(TRIM(G115),Справочники!$P$3:$Q$7,2,0),"Нет в справочнике")</f>
        <v>шт.</v>
      </c>
      <c r="O115" t="str">
        <f t="shared" si="26"/>
        <v>ОК</v>
      </c>
      <c r="P115" t="str">
        <f t="shared" si="27"/>
        <v>Уникальный</v>
      </c>
    </row>
    <row r="116">
      <c r="A116" s="3" t="s">
        <v>509</v>
      </c>
      <c r="B116" s="3" t="s">
        <v>510</v>
      </c>
      <c r="C116" s="3" t="s">
        <v>143</v>
      </c>
      <c r="D116" s="3" t="s">
        <v>511</v>
      </c>
      <c r="E116" s="3" t="s">
        <v>512</v>
      </c>
      <c r="F116" s="3" t="s">
        <v>513</v>
      </c>
      <c r="G116" s="3" t="s">
        <v>42</v>
      </c>
      <c r="H116" t="str">
        <f t="shared" si="21"/>
        <v>АРТ-115</v>
      </c>
      <c r="I116" t="str">
        <f t="shared" si="22"/>
        <v xml:space="preserve">Монитор Viewsonic Vp2780</v>
      </c>
      <c r="J116" t="str">
        <f>IFERROR(VLOOKUP(TRIM(C116),Справочники!$A$3:$B$13,2,0),"Нет в справочнике")</f>
        <v>Мониторы</v>
      </c>
      <c r="K116" t="str">
        <f t="shared" si="23"/>
        <v>Viewsonic</v>
      </c>
      <c r="L116" s="4">
        <f t="shared" si="24"/>
        <v>48000</v>
      </c>
      <c r="M116" s="4">
        <f t="shared" si="25"/>
        <v>74900</v>
      </c>
      <c r="N116" t="str">
        <f>IFERROR(VLOOKUP(TRIM(G116),Справочники!$P$3:$Q$7,2,0),"Нет в справочнике")</f>
        <v>шт.</v>
      </c>
      <c r="O116" t="str">
        <f t="shared" si="26"/>
        <v>ОК</v>
      </c>
      <c r="P116" t="str">
        <f t="shared" si="27"/>
        <v>Уникальный</v>
      </c>
    </row>
    <row r="117">
      <c r="A117" s="3" t="s">
        <v>514</v>
      </c>
      <c r="B117" s="3" t="s">
        <v>515</v>
      </c>
      <c r="C117" s="3" t="s">
        <v>143</v>
      </c>
      <c r="D117" s="3" t="s">
        <v>516</v>
      </c>
      <c r="E117" s="3" t="s">
        <v>268</v>
      </c>
      <c r="F117" s="3" t="s">
        <v>517</v>
      </c>
      <c r="G117" s="3" t="s">
        <v>35</v>
      </c>
      <c r="H117" t="str">
        <f t="shared" si="21"/>
        <v>АРТ-116</v>
      </c>
      <c r="I117" t="str">
        <f t="shared" si="22"/>
        <v xml:space="preserve">Монитор Viewsonic Vp2780</v>
      </c>
      <c r="J117" t="str">
        <f>IFERROR(VLOOKUP(TRIM(C117),Справочники!$A$3:$B$13,2,0),"Нет в справочнике")</f>
        <v>Мониторы</v>
      </c>
      <c r="K117" t="str">
        <f t="shared" si="23"/>
        <v>Viewsonic</v>
      </c>
      <c r="L117" s="4">
        <f t="shared" si="24"/>
        <v>46500</v>
      </c>
      <c r="M117" s="4">
        <f t="shared" si="25"/>
        <v>72500</v>
      </c>
      <c r="N117" t="str">
        <f>IFERROR(VLOOKUP(TRIM(G117),Справочники!$P$3:$Q$7,2,0),"Нет в справочнике")</f>
        <v>шт.</v>
      </c>
      <c r="O117" t="str">
        <f t="shared" si="26"/>
        <v>ОК</v>
      </c>
      <c r="P117" t="str">
        <f t="shared" si="27"/>
        <v>Уникальный</v>
      </c>
    </row>
    <row r="118">
      <c r="A118" s="3" t="s">
        <v>518</v>
      </c>
      <c r="B118" s="3" t="s">
        <v>519</v>
      </c>
      <c r="C118" s="3" t="s">
        <v>143</v>
      </c>
      <c r="D118" s="3" t="s">
        <v>520</v>
      </c>
      <c r="E118" s="3" t="s">
        <v>480</v>
      </c>
      <c r="F118" s="3" t="s">
        <v>521</v>
      </c>
      <c r="G118" s="3" t="s">
        <v>22</v>
      </c>
      <c r="H118" t="str">
        <f t="shared" si="21"/>
        <v>АРТ-117</v>
      </c>
      <c r="I118" t="str">
        <f t="shared" si="22"/>
        <v xml:space="preserve">Монитор Viewsonic Vp2780</v>
      </c>
      <c r="J118" t="str">
        <f>IFERROR(VLOOKUP(TRIM(C118),Справочники!$A$3:$B$13,2,0),"Нет в справочнике")</f>
        <v>Мониторы</v>
      </c>
      <c r="K118" t="str">
        <f t="shared" si="23"/>
        <v>Viewsonic</v>
      </c>
      <c r="L118" s="4">
        <f t="shared" si="24"/>
        <v>49500</v>
      </c>
      <c r="M118" s="4">
        <f t="shared" si="25"/>
        <v>77000</v>
      </c>
      <c r="N118" t="str">
        <f>IFERROR(VLOOKUP(TRIM(G118),Справочники!$P$3:$Q$7,2,0),"Нет в справочнике")</f>
        <v>шт.</v>
      </c>
      <c r="O118" t="str">
        <f t="shared" si="26"/>
        <v>ОК</v>
      </c>
      <c r="P118" t="str">
        <f t="shared" si="27"/>
        <v>Уникальный</v>
      </c>
    </row>
    <row r="119">
      <c r="A119" s="3" t="s">
        <v>522</v>
      </c>
      <c r="B119" s="3" t="s">
        <v>523</v>
      </c>
      <c r="C119" s="3" t="s">
        <v>157</v>
      </c>
      <c r="D119" s="3" t="s">
        <v>524</v>
      </c>
      <c r="E119" s="3" t="s">
        <v>173</v>
      </c>
      <c r="F119" s="3" t="s">
        <v>525</v>
      </c>
      <c r="G119" s="3" t="s">
        <v>42</v>
      </c>
      <c r="H119" t="str">
        <f t="shared" si="21"/>
        <v>АРТ-118</v>
      </c>
      <c r="I119" t="str">
        <f t="shared" si="22"/>
        <v xml:space="preserve">Клавиатура Keychron K8 Pro</v>
      </c>
      <c r="J119" t="str">
        <f>IFERROR(VLOOKUP(TRIM(C119),Справочники!$A$3:$B$13,2,0),"Нет в справочнике")</f>
        <v>Аксессуары</v>
      </c>
      <c r="K119" t="str">
        <f t="shared" si="23"/>
        <v>Keychron</v>
      </c>
      <c r="L119" s="4">
        <f t="shared" si="24"/>
        <v>4500</v>
      </c>
      <c r="M119" s="4">
        <f t="shared" si="25"/>
        <v>7990</v>
      </c>
      <c r="N119" t="str">
        <f>IFERROR(VLOOKUP(TRIM(G119),Справочники!$P$3:$Q$7,2,0),"Нет в справочнике")</f>
        <v>шт.</v>
      </c>
      <c r="O119" t="str">
        <f t="shared" si="26"/>
        <v>ОК</v>
      </c>
      <c r="P119" t="str">
        <f t="shared" si="27"/>
        <v>Уникальный</v>
      </c>
    </row>
    <row r="120">
      <c r="A120" s="3" t="s">
        <v>526</v>
      </c>
      <c r="B120" s="3" t="s">
        <v>527</v>
      </c>
      <c r="C120" s="3" t="s">
        <v>157</v>
      </c>
      <c r="D120" s="3" t="s">
        <v>528</v>
      </c>
      <c r="E120" s="3" t="s">
        <v>177</v>
      </c>
      <c r="F120" s="3" t="s">
        <v>366</v>
      </c>
      <c r="G120" s="3" t="s">
        <v>28</v>
      </c>
      <c r="H120" t="str">
        <f t="shared" si="21"/>
        <v>АРТ-119</v>
      </c>
      <c r="I120" t="str">
        <f t="shared" si="22"/>
        <v xml:space="preserve">Клавиатура Keychron K8 Pro</v>
      </c>
      <c r="J120" t="str">
        <f>IFERROR(VLOOKUP(TRIM(C120),Справочники!$A$3:$B$13,2,0),"Нет в справочнике")</f>
        <v>Аксессуары</v>
      </c>
      <c r="K120" t="str">
        <f t="shared" si="23"/>
        <v>Keychron</v>
      </c>
      <c r="L120" s="4">
        <f t="shared" si="24"/>
        <v>4200</v>
      </c>
      <c r="M120" s="4">
        <f t="shared" si="25"/>
        <v>7500</v>
      </c>
      <c r="N120" t="str">
        <f>IFERROR(VLOOKUP(TRIM(G120),Справочники!$P$3:$Q$7,2,0),"Нет в справочнике")</f>
        <v>шт.</v>
      </c>
      <c r="O120" t="str">
        <f t="shared" si="26"/>
        <v>ОК</v>
      </c>
      <c r="P120" t="str">
        <f t="shared" si="27"/>
        <v>Уникальный</v>
      </c>
    </row>
    <row r="121">
      <c r="A121" s="3" t="s">
        <v>529</v>
      </c>
      <c r="B121" s="3" t="s">
        <v>530</v>
      </c>
      <c r="C121" s="3" t="s">
        <v>157</v>
      </c>
      <c r="D121" s="3" t="s">
        <v>531</v>
      </c>
      <c r="E121" s="3" t="s">
        <v>181</v>
      </c>
      <c r="F121" s="3" t="s">
        <v>178</v>
      </c>
      <c r="G121" s="3" t="s">
        <v>22</v>
      </c>
      <c r="H121" t="str">
        <f t="shared" si="21"/>
        <v>АРТ-120</v>
      </c>
      <c r="I121" t="str">
        <f t="shared" si="22"/>
        <v xml:space="preserve">Клавиатура Keychron K8 Pro</v>
      </c>
      <c r="J121" t="str">
        <f>IFERROR(VLOOKUP(TRIM(C121),Справочники!$A$3:$B$13,2,0),"Нет в справочнике")</f>
        <v>Аксессуары</v>
      </c>
      <c r="K121" t="str">
        <f t="shared" si="23"/>
        <v>Keychron</v>
      </c>
      <c r="L121" s="4">
        <f t="shared" si="24"/>
        <v>4800</v>
      </c>
      <c r="M121" s="4">
        <f t="shared" si="25"/>
        <v>8500</v>
      </c>
      <c r="N121" t="str">
        <f>IFERROR(VLOOKUP(TRIM(G121),Справочники!$P$3:$Q$7,2,0),"Нет в справочнике")</f>
        <v>шт.</v>
      </c>
      <c r="O121" t="str">
        <f t="shared" si="26"/>
        <v>ОК</v>
      </c>
      <c r="P121" t="str">
        <f t="shared" si="27"/>
        <v>Уникальный</v>
      </c>
    </row>
    <row r="122">
      <c r="A122" s="3" t="s">
        <v>532</v>
      </c>
      <c r="B122" s="3" t="s">
        <v>533</v>
      </c>
      <c r="C122" s="3" t="s">
        <v>199</v>
      </c>
      <c r="D122" s="3" t="s">
        <v>534</v>
      </c>
      <c r="E122" s="3" t="s">
        <v>70</v>
      </c>
      <c r="F122" s="3" t="s">
        <v>535</v>
      </c>
      <c r="G122" s="3" t="s">
        <v>42</v>
      </c>
      <c r="H122" t="str">
        <f t="shared" si="21"/>
        <v>АРТ-121</v>
      </c>
      <c r="I122" t="str">
        <f t="shared" si="22"/>
        <v xml:space="preserve">Смарт-Часы Garmin Fenix 7</v>
      </c>
      <c r="J122" t="str">
        <f>IFERROR(VLOOKUP(TRIM(C122),Справочники!$A$3:$B$13,2,0),"Нет в справочнике")</f>
        <v>Часы</v>
      </c>
      <c r="K122" t="str">
        <f t="shared" si="23"/>
        <v>Garmin</v>
      </c>
      <c r="L122" s="4">
        <f t="shared" si="24"/>
        <v>55000</v>
      </c>
      <c r="M122" s="4">
        <f t="shared" si="25"/>
        <v>84990</v>
      </c>
      <c r="N122" t="str">
        <f>IFERROR(VLOOKUP(TRIM(G122),Справочники!$P$3:$Q$7,2,0),"Нет в справочнике")</f>
        <v>шт.</v>
      </c>
      <c r="O122" t="str">
        <f t="shared" si="26"/>
        <v>ОК</v>
      </c>
      <c r="P122" t="str">
        <f t="shared" si="27"/>
        <v>Уникальный</v>
      </c>
    </row>
    <row r="123">
      <c r="A123" s="3" t="s">
        <v>536</v>
      </c>
      <c r="B123" s="3" t="s">
        <v>537</v>
      </c>
      <c r="C123" s="3" t="s">
        <v>199</v>
      </c>
      <c r="D123" s="3" t="s">
        <v>538</v>
      </c>
      <c r="E123" s="3" t="s">
        <v>255</v>
      </c>
      <c r="F123" s="3" t="s">
        <v>539</v>
      </c>
      <c r="G123" s="3" t="s">
        <v>35</v>
      </c>
      <c r="H123" t="str">
        <f t="shared" si="21"/>
        <v>АРТ-122</v>
      </c>
      <c r="I123" t="str">
        <f t="shared" si="22"/>
        <v xml:space="preserve">Смарт-Часы Garmin Fenix 7</v>
      </c>
      <c r="J123" t="str">
        <f>IFERROR(VLOOKUP(TRIM(C123),Справочники!$A$3:$B$13,2,0),"Нет в справочнике")</f>
        <v>Часы</v>
      </c>
      <c r="K123" t="str">
        <f t="shared" si="23"/>
        <v>Garmin</v>
      </c>
      <c r="L123" s="4">
        <f t="shared" si="24"/>
        <v>53500</v>
      </c>
      <c r="M123" s="4">
        <f t="shared" si="25"/>
        <v>82500</v>
      </c>
      <c r="N123" t="str">
        <f>IFERROR(VLOOKUP(TRIM(G123),Справочники!$P$3:$Q$7,2,0),"Нет в справочнике")</f>
        <v>шт.</v>
      </c>
      <c r="O123" t="str">
        <f t="shared" si="26"/>
        <v>ОК</v>
      </c>
      <c r="P123" t="str">
        <f t="shared" si="27"/>
        <v>Уникальный</v>
      </c>
    </row>
    <row r="124">
      <c r="A124" s="3" t="s">
        <v>540</v>
      </c>
      <c r="B124" s="3" t="s">
        <v>541</v>
      </c>
      <c r="C124" s="3" t="s">
        <v>199</v>
      </c>
      <c r="D124" s="3" t="s">
        <v>542</v>
      </c>
      <c r="E124" s="3" t="s">
        <v>419</v>
      </c>
      <c r="F124" s="3" t="s">
        <v>543</v>
      </c>
      <c r="G124" s="3" t="s">
        <v>22</v>
      </c>
      <c r="H124" t="str">
        <f t="shared" si="21"/>
        <v>АРТ-123</v>
      </c>
      <c r="I124" t="str">
        <f t="shared" si="22"/>
        <v xml:space="preserve">Смарт-Часы Garmin Fenix 7</v>
      </c>
      <c r="J124" t="str">
        <f>IFERROR(VLOOKUP(TRIM(C124),Справочники!$A$3:$B$13,2,0),"Нет в справочнике")</f>
        <v>Часы</v>
      </c>
      <c r="K124" t="str">
        <f t="shared" si="23"/>
        <v>Garmin</v>
      </c>
      <c r="L124" s="4">
        <f t="shared" si="24"/>
        <v>56500</v>
      </c>
      <c r="M124" s="4">
        <f t="shared" si="25"/>
        <v>87000</v>
      </c>
      <c r="N124" t="str">
        <f>IFERROR(VLOOKUP(TRIM(G124),Справочники!$P$3:$Q$7,2,0),"Нет в справочнике")</f>
        <v>шт.</v>
      </c>
      <c r="O124" t="str">
        <f t="shared" si="26"/>
        <v>ОК</v>
      </c>
      <c r="P124" t="str">
        <f t="shared" si="27"/>
        <v>Уникальный</v>
      </c>
    </row>
    <row r="125">
      <c r="A125" s="3" t="s">
        <v>544</v>
      </c>
      <c r="B125" s="3" t="s">
        <v>545</v>
      </c>
      <c r="C125" s="3" t="s">
        <v>38</v>
      </c>
      <c r="D125" s="3" t="s">
        <v>365</v>
      </c>
      <c r="E125" s="3" t="s">
        <v>546</v>
      </c>
      <c r="F125" s="3" t="s">
        <v>547</v>
      </c>
      <c r="G125" s="3" t="s">
        <v>42</v>
      </c>
      <c r="H125" t="str">
        <f t="shared" si="21"/>
        <v>АРТ-124</v>
      </c>
      <c r="I125" t="str">
        <f t="shared" si="22"/>
        <v xml:space="preserve">Ноутбук Razer Blade 18</v>
      </c>
      <c r="J125" t="str">
        <f>IFERROR(VLOOKUP(TRIM(C125),Справочники!$A$3:$B$13,2,0),"Нет в справочнике")</f>
        <v>Ноутбуки</v>
      </c>
      <c r="K125" t="str">
        <f t="shared" si="23"/>
        <v>Razer</v>
      </c>
      <c r="L125" s="4">
        <f t="shared" si="24"/>
        <v>110000</v>
      </c>
      <c r="M125" s="4">
        <f t="shared" si="25"/>
        <v>169990</v>
      </c>
      <c r="N125" t="str">
        <f>IFERROR(VLOOKUP(TRIM(G125),Справочники!$P$3:$Q$7,2,0),"Нет в справочнике")</f>
        <v>шт.</v>
      </c>
      <c r="O125" t="str">
        <f t="shared" si="26"/>
        <v>ОК</v>
      </c>
      <c r="P125" t="str">
        <f t="shared" si="27"/>
        <v>Уникальный</v>
      </c>
    </row>
    <row r="126">
      <c r="A126" s="3" t="s">
        <v>548</v>
      </c>
      <c r="B126" s="3" t="s">
        <v>549</v>
      </c>
      <c r="C126" s="3" t="s">
        <v>45</v>
      </c>
      <c r="D126" s="3" t="s">
        <v>370</v>
      </c>
      <c r="E126" s="3" t="s">
        <v>550</v>
      </c>
      <c r="F126" s="3" t="s">
        <v>551</v>
      </c>
      <c r="G126" s="3" t="s">
        <v>28</v>
      </c>
      <c r="H126" t="str">
        <f t="shared" si="21"/>
        <v>АРТ-125</v>
      </c>
      <c r="I126" t="str">
        <f t="shared" si="22"/>
        <v xml:space="preserve">Ноутбук Razer Blade 18</v>
      </c>
      <c r="J126" t="str">
        <f>IFERROR(VLOOKUP(TRIM(C126),Справочники!$A$3:$B$13,2,0),"Нет в справочнике")</f>
        <v>Ноутбуки</v>
      </c>
      <c r="K126" t="str">
        <f t="shared" si="23"/>
        <v>Razer</v>
      </c>
      <c r="L126" s="4">
        <f t="shared" si="24"/>
        <v>108000</v>
      </c>
      <c r="M126" s="4">
        <f t="shared" si="25"/>
        <v>166500</v>
      </c>
      <c r="N126" t="str">
        <f>IFERROR(VLOOKUP(TRIM(G126),Справочники!$P$3:$Q$7,2,0),"Нет в справочнике")</f>
        <v>шт.</v>
      </c>
      <c r="O126" t="str">
        <f t="shared" si="26"/>
        <v>ОК</v>
      </c>
      <c r="P126" t="str">
        <f t="shared" si="27"/>
        <v>Уникальный</v>
      </c>
    </row>
    <row r="127">
      <c r="A127" s="3" t="s">
        <v>552</v>
      </c>
      <c r="B127" s="3" t="s">
        <v>553</v>
      </c>
      <c r="C127" s="3" t="s">
        <v>38</v>
      </c>
      <c r="D127" s="3" t="s">
        <v>374</v>
      </c>
      <c r="E127" s="3" t="s">
        <v>334</v>
      </c>
      <c r="F127" s="3" t="s">
        <v>554</v>
      </c>
      <c r="G127" s="3" t="s">
        <v>22</v>
      </c>
      <c r="H127" t="str">
        <f t="shared" si="21"/>
        <v>АРТ-126</v>
      </c>
      <c r="I127" t="str">
        <f t="shared" si="22"/>
        <v xml:space="preserve">Ноутбук Razer Blade 18</v>
      </c>
      <c r="J127" t="str">
        <f>IFERROR(VLOOKUP(TRIM(C127),Справочники!$A$3:$B$13,2,0),"Нет в справочнике")</f>
        <v>Ноутбуки</v>
      </c>
      <c r="K127" t="str">
        <f t="shared" si="23"/>
        <v>Razer</v>
      </c>
      <c r="L127" s="4">
        <f t="shared" si="24"/>
        <v>112000</v>
      </c>
      <c r="M127" s="4">
        <f t="shared" si="25"/>
        <v>173000</v>
      </c>
      <c r="N127" t="str">
        <f>IFERROR(VLOOKUP(TRIM(G127),Справочники!$P$3:$Q$7,2,0),"Нет в справочнике")</f>
        <v>шт.</v>
      </c>
      <c r="O127" t="str">
        <f t="shared" si="26"/>
        <v>ОК</v>
      </c>
      <c r="P127" t="str">
        <f t="shared" si="27"/>
        <v>Уникальный</v>
      </c>
    </row>
    <row r="128">
      <c r="A128" s="3" t="s">
        <v>555</v>
      </c>
      <c r="B128" s="3" t="s">
        <v>556</v>
      </c>
      <c r="C128" s="3" t="s">
        <v>18</v>
      </c>
      <c r="D128" s="3" t="s">
        <v>557</v>
      </c>
      <c r="E128" s="3" t="s">
        <v>558</v>
      </c>
      <c r="F128" s="3" t="s">
        <v>559</v>
      </c>
      <c r="G128" s="3" t="s">
        <v>42</v>
      </c>
      <c r="H128" t="str">
        <f t="shared" si="21"/>
        <v>АРТ-127</v>
      </c>
      <c r="I128" t="str">
        <f t="shared" si="22"/>
        <v xml:space="preserve">Смартфон Nothing Phone 2</v>
      </c>
      <c r="J128" t="str">
        <f>IFERROR(VLOOKUP(TRIM(C128),Справочники!$A$3:$B$13,2,0),"Нет в справочнике")</f>
        <v>Смартфоны</v>
      </c>
      <c r="K128" t="str">
        <f t="shared" si="23"/>
        <v>Nothing</v>
      </c>
      <c r="L128" s="4">
        <f t="shared" si="24"/>
        <v>30000</v>
      </c>
      <c r="M128" s="4">
        <f t="shared" si="25"/>
        <v>51990</v>
      </c>
      <c r="N128" t="str">
        <f>IFERROR(VLOOKUP(TRIM(G128),Справочники!$P$3:$Q$7,2,0),"Нет в справочнике")</f>
        <v>шт.</v>
      </c>
      <c r="O128" t="str">
        <f t="shared" si="26"/>
        <v>ОК</v>
      </c>
      <c r="P128" t="str">
        <f t="shared" si="27"/>
        <v>Уникальный</v>
      </c>
    </row>
    <row r="129">
      <c r="A129" s="3" t="s">
        <v>560</v>
      </c>
      <c r="B129" s="3" t="s">
        <v>561</v>
      </c>
      <c r="C129" s="3" t="s">
        <v>25</v>
      </c>
      <c r="D129" s="3" t="s">
        <v>562</v>
      </c>
      <c r="E129" s="3" t="s">
        <v>387</v>
      </c>
      <c r="F129" s="3" t="s">
        <v>358</v>
      </c>
      <c r="G129" s="3" t="s">
        <v>35</v>
      </c>
      <c r="H129" t="str">
        <f t="shared" si="21"/>
        <v>АРТ-128</v>
      </c>
      <c r="I129" t="str">
        <f t="shared" si="22"/>
        <v xml:space="preserve">Смартфон Nothing Phone 2</v>
      </c>
      <c r="J129" t="str">
        <f>IFERROR(VLOOKUP(TRIM(C129),Справочники!$A$3:$B$13,2,0),"Нет в справочнике")</f>
        <v>Смартфоны</v>
      </c>
      <c r="K129" t="str">
        <f t="shared" si="23"/>
        <v>Nothing</v>
      </c>
      <c r="L129" s="4">
        <f t="shared" si="24"/>
        <v>29000</v>
      </c>
      <c r="M129" s="4">
        <f t="shared" si="25"/>
        <v>50500</v>
      </c>
      <c r="N129" t="str">
        <f>IFERROR(VLOOKUP(TRIM(G129),Справочники!$P$3:$Q$7,2,0),"Нет в справочнике")</f>
        <v>шт.</v>
      </c>
      <c r="O129" t="str">
        <f t="shared" si="26"/>
        <v>ОК</v>
      </c>
      <c r="P129" t="str">
        <f t="shared" si="27"/>
        <v>Уникальный</v>
      </c>
    </row>
    <row r="130">
      <c r="A130" s="3" t="s">
        <v>563</v>
      </c>
      <c r="B130" s="3" t="s">
        <v>564</v>
      </c>
      <c r="C130" s="3" t="s">
        <v>31</v>
      </c>
      <c r="D130" s="3" t="s">
        <v>565</v>
      </c>
      <c r="E130" s="3" t="s">
        <v>566</v>
      </c>
      <c r="F130" s="3" t="s">
        <v>255</v>
      </c>
      <c r="G130" s="3" t="s">
        <v>22</v>
      </c>
      <c r="H130" t="str">
        <f t="shared" si="21"/>
        <v>АРТ-129</v>
      </c>
      <c r="I130" t="str">
        <f t="shared" si="22"/>
        <v xml:space="preserve">Смартфон Nothing Phone 2</v>
      </c>
      <c r="J130" t="str">
        <f>IFERROR(VLOOKUP(TRIM(C130),Справочники!$A$3:$B$13,2,0),"Нет в справочнике")</f>
        <v>Смартфоны</v>
      </c>
      <c r="K130" t="str">
        <f t="shared" si="23"/>
        <v>Nothing</v>
      </c>
      <c r="L130" s="4">
        <f t="shared" si="24"/>
        <v>31000</v>
      </c>
      <c r="M130" s="4">
        <f t="shared" si="25"/>
        <v>53500</v>
      </c>
      <c r="N130" t="str">
        <f>IFERROR(VLOOKUP(TRIM(G130),Справочники!$P$3:$Q$7,2,0),"Нет в справочнике")</f>
        <v>шт.</v>
      </c>
      <c r="O130" t="str">
        <f t="shared" si="26"/>
        <v>ОК</v>
      </c>
      <c r="P130" t="str">
        <f t="shared" si="27"/>
        <v>Уникальный</v>
      </c>
    </row>
    <row r="131">
      <c r="A131" s="3" t="s">
        <v>567</v>
      </c>
      <c r="B131" s="3" t="s">
        <v>568</v>
      </c>
      <c r="C131" s="3" t="s">
        <v>69</v>
      </c>
      <c r="D131" s="3" t="s">
        <v>128</v>
      </c>
      <c r="E131" s="3" t="s">
        <v>399</v>
      </c>
      <c r="F131" s="3" t="s">
        <v>569</v>
      </c>
      <c r="G131" s="3" t="s">
        <v>42</v>
      </c>
      <c r="H131" t="str">
        <f t="shared" si="21"/>
        <v>АРТ-130</v>
      </c>
      <c r="I131" t="str">
        <f t="shared" si="22"/>
        <v xml:space="preserve">Планшет Xiaomi Pad 6</v>
      </c>
      <c r="J131" t="str">
        <f>IFERROR(VLOOKUP(TRIM(C131),Справочники!$A$3:$B$13,2,0),"Нет в справочнике")</f>
        <v>Планшеты</v>
      </c>
      <c r="K131" t="str">
        <f t="shared" si="23"/>
        <v>Xiaomi</v>
      </c>
      <c r="L131" s="4">
        <f t="shared" si="24"/>
        <v>26000</v>
      </c>
      <c r="M131" s="4">
        <f t="shared" si="25"/>
        <v>42990</v>
      </c>
      <c r="N131" t="str">
        <f>IFERROR(VLOOKUP(TRIM(G131),Справочники!$P$3:$Q$7,2,0),"Нет в справочнике")</f>
        <v>шт.</v>
      </c>
      <c r="O131" t="str">
        <f t="shared" si="26"/>
        <v>ОК</v>
      </c>
      <c r="P131" t="str">
        <f t="shared" si="27"/>
        <v>Уникальный</v>
      </c>
    </row>
    <row r="132">
      <c r="A132" s="3" t="s">
        <v>570</v>
      </c>
      <c r="B132" s="3" t="s">
        <v>571</v>
      </c>
      <c r="C132" s="3" t="s">
        <v>69</v>
      </c>
      <c r="D132" s="3" t="s">
        <v>133</v>
      </c>
      <c r="E132" s="3" t="s">
        <v>391</v>
      </c>
      <c r="F132" s="3" t="s">
        <v>572</v>
      </c>
      <c r="G132" s="3" t="s">
        <v>28</v>
      </c>
      <c r="H132" t="str">
        <f t="shared" si="21"/>
        <v>АРТ-131</v>
      </c>
      <c r="I132" t="str">
        <f t="shared" si="22"/>
        <v xml:space="preserve">Планшет Xiaomi Pad 6</v>
      </c>
      <c r="J132" t="str">
        <f>IFERROR(VLOOKUP(TRIM(C132),Справочники!$A$3:$B$13,2,0),"Нет в справочнике")</f>
        <v>Планшеты</v>
      </c>
      <c r="K132" t="str">
        <f t="shared" si="23"/>
        <v>Xiaomi</v>
      </c>
      <c r="L132" s="4">
        <f t="shared" si="24"/>
        <v>25000</v>
      </c>
      <c r="M132" s="4">
        <f t="shared" si="25"/>
        <v>41500</v>
      </c>
      <c r="N132" t="str">
        <f>IFERROR(VLOOKUP(TRIM(G132),Справочники!$P$3:$Q$7,2,0),"Нет в справочнике")</f>
        <v>шт.</v>
      </c>
      <c r="O132" t="str">
        <f t="shared" si="26"/>
        <v>ОК</v>
      </c>
      <c r="P132" t="str">
        <f t="shared" si="27"/>
        <v>Уникальный</v>
      </c>
    </row>
    <row r="133">
      <c r="A133" s="3" t="s">
        <v>573</v>
      </c>
      <c r="B133" s="3" t="s">
        <v>574</v>
      </c>
      <c r="C133" s="3" t="s">
        <v>69</v>
      </c>
      <c r="D133" s="3" t="s">
        <v>138</v>
      </c>
      <c r="E133" s="3" t="s">
        <v>383</v>
      </c>
      <c r="F133" s="3" t="s">
        <v>384</v>
      </c>
      <c r="G133" s="3" t="s">
        <v>22</v>
      </c>
      <c r="H133" t="str">
        <f t="shared" si="21"/>
        <v>АРТ-132</v>
      </c>
      <c r="I133" t="str">
        <f t="shared" si="22"/>
        <v xml:space="preserve">Планшет Xiaomi Pad 6</v>
      </c>
      <c r="J133" t="str">
        <f>IFERROR(VLOOKUP(TRIM(C133),Справочники!$A$3:$B$13,2,0),"Нет в справочнике")</f>
        <v>Планшеты</v>
      </c>
      <c r="K133" t="str">
        <f t="shared" si="23"/>
        <v>Xiaomi</v>
      </c>
      <c r="L133" s="4">
        <f t="shared" si="24"/>
        <v>27000</v>
      </c>
      <c r="M133" s="4">
        <f t="shared" si="25"/>
        <v>44500</v>
      </c>
      <c r="N133" t="str">
        <f>IFERROR(VLOOKUP(TRIM(G133),Справочники!$P$3:$Q$7,2,0),"Нет в справочнике")</f>
        <v>шт.</v>
      </c>
      <c r="O133" t="str">
        <f t="shared" si="26"/>
        <v>ОК</v>
      </c>
      <c r="P133" t="str">
        <f t="shared" si="27"/>
        <v>Уникальный</v>
      </c>
    </row>
    <row r="134">
      <c r="A134" s="3" t="s">
        <v>575</v>
      </c>
      <c r="B134" s="3" t="s">
        <v>576</v>
      </c>
      <c r="C134" s="3" t="s">
        <v>83</v>
      </c>
      <c r="D134" s="3" t="s">
        <v>577</v>
      </c>
      <c r="E134" s="3" t="s">
        <v>297</v>
      </c>
      <c r="F134" s="3" t="s">
        <v>578</v>
      </c>
      <c r="G134" s="3" t="s">
        <v>42</v>
      </c>
      <c r="H134" t="str">
        <f t="shared" si="21"/>
        <v>АРТ-133</v>
      </c>
      <c r="I134" t="str">
        <f t="shared" si="22"/>
        <v xml:space="preserve">Телевизор Philips Ambilight 65</v>
      </c>
      <c r="J134" t="str">
        <f>IFERROR(VLOOKUP(TRIM(C134),Справочники!$A$3:$B$13,2,0),"Нет в справочнике")</f>
        <v>Телевизоры</v>
      </c>
      <c r="K134" t="str">
        <f t="shared" si="23"/>
        <v>Philips</v>
      </c>
      <c r="L134" s="4">
        <f t="shared" si="24"/>
        <v>82000</v>
      </c>
      <c r="M134" s="4">
        <f t="shared" si="25"/>
        <v>126990</v>
      </c>
      <c r="N134" t="str">
        <f>IFERROR(VLOOKUP(TRIM(G134),Справочники!$P$3:$Q$7,2,0),"Нет в справочнике")</f>
        <v>шт.</v>
      </c>
      <c r="O134" t="str">
        <f t="shared" si="26"/>
        <v>ОК</v>
      </c>
      <c r="P134" t="str">
        <f t="shared" si="27"/>
        <v>Уникальный</v>
      </c>
    </row>
    <row r="135">
      <c r="A135" s="3" t="s">
        <v>579</v>
      </c>
      <c r="B135" s="3" t="s">
        <v>580</v>
      </c>
      <c r="C135" s="3" t="s">
        <v>83</v>
      </c>
      <c r="D135" s="3" t="s">
        <v>581</v>
      </c>
      <c r="E135" s="3" t="s">
        <v>582</v>
      </c>
      <c r="F135" s="3" t="s">
        <v>583</v>
      </c>
      <c r="G135" s="3" t="s">
        <v>35</v>
      </c>
      <c r="H135" t="str">
        <f t="shared" si="21"/>
        <v>АРТ-134</v>
      </c>
      <c r="I135" t="str">
        <f t="shared" si="22"/>
        <v xml:space="preserve">Телевизор Philips Ambilight 65</v>
      </c>
      <c r="J135" t="str">
        <f>IFERROR(VLOOKUP(TRIM(C135),Справочники!$A$3:$B$13,2,0),"Нет в справочнике")</f>
        <v>Телевизоры</v>
      </c>
      <c r="K135" t="str">
        <f t="shared" si="23"/>
        <v>Philips</v>
      </c>
      <c r="L135" s="4">
        <f t="shared" si="24"/>
        <v>80000</v>
      </c>
      <c r="M135" s="4">
        <f t="shared" si="25"/>
        <v>124000</v>
      </c>
      <c r="N135" t="str">
        <f>IFERROR(VLOOKUP(TRIM(G135),Справочники!$P$3:$Q$7,2,0),"Нет в справочнике")</f>
        <v>шт.</v>
      </c>
      <c r="O135" t="str">
        <f t="shared" si="26"/>
        <v>ОК</v>
      </c>
      <c r="P135" t="str">
        <f t="shared" si="27"/>
        <v>Уникальный</v>
      </c>
    </row>
    <row r="136">
      <c r="A136" s="3" t="s">
        <v>584</v>
      </c>
      <c r="B136" s="3" t="s">
        <v>585</v>
      </c>
      <c r="C136" s="3" t="s">
        <v>83</v>
      </c>
      <c r="D136" s="3" t="s">
        <v>586</v>
      </c>
      <c r="E136" s="3" t="s">
        <v>306</v>
      </c>
      <c r="F136" s="3" t="s">
        <v>587</v>
      </c>
      <c r="G136" s="3" t="s">
        <v>22</v>
      </c>
      <c r="H136" t="str">
        <f t="shared" si="21"/>
        <v>АРТ-135</v>
      </c>
      <c r="I136" t="str">
        <f t="shared" si="22"/>
        <v xml:space="preserve">Телевизор Philips Ambilight 65</v>
      </c>
      <c r="J136" t="str">
        <f>IFERROR(VLOOKUP(TRIM(C136),Справочники!$A$3:$B$13,2,0),"Нет в справочнике")</f>
        <v>Телевизоры</v>
      </c>
      <c r="K136" t="str">
        <f t="shared" si="23"/>
        <v>Philips</v>
      </c>
      <c r="L136" s="4">
        <f t="shared" si="24"/>
        <v>83500</v>
      </c>
      <c r="M136" s="4">
        <f t="shared" si="25"/>
        <v>129500</v>
      </c>
      <c r="N136" t="str">
        <f>IFERROR(VLOOKUP(TRIM(G136),Справочники!$P$3:$Q$7,2,0),"Нет в справочнике")</f>
        <v>шт.</v>
      </c>
      <c r="O136" t="str">
        <f t="shared" si="26"/>
        <v>ОК</v>
      </c>
      <c r="P136" t="str">
        <f t="shared" si="27"/>
        <v>Уникальный</v>
      </c>
    </row>
    <row r="137">
      <c r="A137" s="3" t="s">
        <v>588</v>
      </c>
      <c r="B137" s="3" t="s">
        <v>589</v>
      </c>
      <c r="C137" s="3" t="s">
        <v>98</v>
      </c>
      <c r="D137" s="3" t="s">
        <v>590</v>
      </c>
      <c r="E137" s="3" t="s">
        <v>591</v>
      </c>
      <c r="F137" s="3" t="s">
        <v>592</v>
      </c>
      <c r="G137" s="3" t="s">
        <v>42</v>
      </c>
      <c r="H137" t="str">
        <f t="shared" si="21"/>
        <v>АРТ-136</v>
      </c>
      <c r="I137" t="str">
        <f t="shared" si="22"/>
        <v xml:space="preserve">Наушники Bose Qc45</v>
      </c>
      <c r="J137" t="str">
        <f>IFERROR(VLOOKUP(TRIM(C137),Справочники!$A$3:$B$13,2,0),"Нет в справочнике")</f>
        <v>Наушники</v>
      </c>
      <c r="K137" t="str">
        <f t="shared" si="23"/>
        <v>Bose</v>
      </c>
      <c r="L137" s="4">
        <f t="shared" si="24"/>
        <v>14000</v>
      </c>
      <c r="M137" s="4">
        <f t="shared" si="25"/>
        <v>22990</v>
      </c>
      <c r="N137" t="str">
        <f>IFERROR(VLOOKUP(TRIM(G137),Справочники!$P$3:$Q$7,2,0),"Нет в справочнике")</f>
        <v>шт.</v>
      </c>
      <c r="O137" t="str">
        <f t="shared" si="26"/>
        <v>ОК</v>
      </c>
      <c r="P137" t="str">
        <f t="shared" si="27"/>
        <v>Уникальный</v>
      </c>
    </row>
    <row r="138">
      <c r="A138" s="3" t="s">
        <v>593</v>
      </c>
      <c r="B138" s="3" t="s">
        <v>594</v>
      </c>
      <c r="C138" s="3" t="s">
        <v>98</v>
      </c>
      <c r="D138" s="3" t="s">
        <v>595</v>
      </c>
      <c r="E138" s="3" t="s">
        <v>376</v>
      </c>
      <c r="F138" s="3" t="s">
        <v>498</v>
      </c>
      <c r="G138" s="3" t="s">
        <v>28</v>
      </c>
      <c r="H138" t="str">
        <f t="shared" si="21"/>
        <v>АРТ-137</v>
      </c>
      <c r="I138" t="str">
        <f t="shared" si="22"/>
        <v xml:space="preserve">Наушники Bose Qc45</v>
      </c>
      <c r="J138" t="str">
        <f>IFERROR(VLOOKUP(TRIM(C138),Справочники!$A$3:$B$13,2,0),"Нет в справочнике")</f>
        <v>Наушники</v>
      </c>
      <c r="K138" t="str">
        <f t="shared" si="23"/>
        <v>Bose</v>
      </c>
      <c r="L138" s="4">
        <f t="shared" si="24"/>
        <v>13500</v>
      </c>
      <c r="M138" s="4">
        <f t="shared" si="25"/>
        <v>22000</v>
      </c>
      <c r="N138" t="str">
        <f>IFERROR(VLOOKUP(TRIM(G138),Справочники!$P$3:$Q$7,2,0),"Нет в справочнике")</f>
        <v>шт.</v>
      </c>
      <c r="O138" t="str">
        <f t="shared" si="26"/>
        <v>ОК</v>
      </c>
      <c r="P138" t="str">
        <f t="shared" si="27"/>
        <v>Уникальный</v>
      </c>
    </row>
    <row r="139">
      <c r="A139" s="3" t="s">
        <v>596</v>
      </c>
      <c r="B139" s="3" t="s">
        <v>597</v>
      </c>
      <c r="C139" s="3" t="s">
        <v>98</v>
      </c>
      <c r="D139" s="3" t="s">
        <v>598</v>
      </c>
      <c r="E139" s="3" t="s">
        <v>240</v>
      </c>
      <c r="F139" s="3" t="s">
        <v>395</v>
      </c>
      <c r="G139" s="3" t="s">
        <v>22</v>
      </c>
      <c r="H139" t="str">
        <f t="shared" si="21"/>
        <v>АРТ-138</v>
      </c>
      <c r="I139" t="str">
        <f t="shared" si="22"/>
        <v xml:space="preserve">Наушники Bose Qc45</v>
      </c>
      <c r="J139" t="str">
        <f>IFERROR(VLOOKUP(TRIM(C139),Справочники!$A$3:$B$13,2,0),"Нет в справочнике")</f>
        <v>Наушники</v>
      </c>
      <c r="K139" t="str">
        <f t="shared" si="23"/>
        <v>Bose</v>
      </c>
      <c r="L139" s="4">
        <f t="shared" si="24"/>
        <v>14500</v>
      </c>
      <c r="M139" s="4">
        <f t="shared" si="25"/>
        <v>24000</v>
      </c>
      <c r="N139" t="str">
        <f>IFERROR(VLOOKUP(TRIM(G139),Справочники!$P$3:$Q$7,2,0),"Нет в справочнике")</f>
        <v>шт.</v>
      </c>
      <c r="O139" t="str">
        <f t="shared" si="26"/>
        <v>ОК</v>
      </c>
      <c r="P139" t="str">
        <f t="shared" si="27"/>
        <v>Уникальный</v>
      </c>
    </row>
    <row r="140">
      <c r="A140" s="3" t="s">
        <v>599</v>
      </c>
      <c r="B140" s="3" t="s">
        <v>600</v>
      </c>
      <c r="C140" s="3" t="s">
        <v>143</v>
      </c>
      <c r="D140" s="3" t="s">
        <v>601</v>
      </c>
      <c r="E140" s="3" t="s">
        <v>602</v>
      </c>
      <c r="F140" s="3" t="s">
        <v>71</v>
      </c>
      <c r="G140" s="3" t="s">
        <v>42</v>
      </c>
      <c r="H140" t="str">
        <f t="shared" si="21"/>
        <v>АРТ-139</v>
      </c>
      <c r="I140" t="str">
        <f t="shared" si="22"/>
        <v xml:space="preserve">Монитор Benq Pd3220U</v>
      </c>
      <c r="J140" t="str">
        <f>IFERROR(VLOOKUP(TRIM(C140),Справочники!$A$3:$B$13,2,0),"Нет в справочнике")</f>
        <v>Мониторы</v>
      </c>
      <c r="K140" t="str">
        <f t="shared" si="23"/>
        <v>Benq</v>
      </c>
      <c r="L140" s="4">
        <f t="shared" si="24"/>
        <v>58000</v>
      </c>
      <c r="M140" s="4">
        <f t="shared" si="25"/>
        <v>89900</v>
      </c>
      <c r="N140" t="str">
        <f>IFERROR(VLOOKUP(TRIM(G140),Справочники!$P$3:$Q$7,2,0),"Нет в справочнике")</f>
        <v>шт.</v>
      </c>
      <c r="O140" t="str">
        <f t="shared" si="26"/>
        <v>ОК</v>
      </c>
      <c r="P140" t="str">
        <f t="shared" si="27"/>
        <v>Уникальный</v>
      </c>
    </row>
    <row r="141">
      <c r="A141" s="3" t="s">
        <v>603</v>
      </c>
      <c r="B141" s="3" t="s">
        <v>604</v>
      </c>
      <c r="C141" s="3" t="s">
        <v>143</v>
      </c>
      <c r="D141" s="3" t="s">
        <v>605</v>
      </c>
      <c r="E141" s="3" t="s">
        <v>419</v>
      </c>
      <c r="F141" s="3" t="s">
        <v>543</v>
      </c>
      <c r="G141" s="3" t="s">
        <v>35</v>
      </c>
      <c r="H141" t="str">
        <f t="shared" si="21"/>
        <v>АРТ-140</v>
      </c>
      <c r="I141" t="str">
        <f t="shared" si="22"/>
        <v xml:space="preserve">Монитор Benq Pd3220U</v>
      </c>
      <c r="J141" t="str">
        <f>IFERROR(VLOOKUP(TRIM(C141),Справочники!$A$3:$B$13,2,0),"Нет в справочнике")</f>
        <v>Мониторы</v>
      </c>
      <c r="K141" t="str">
        <f t="shared" si="23"/>
        <v>Benq</v>
      </c>
      <c r="L141" s="4">
        <f t="shared" si="24"/>
        <v>56500</v>
      </c>
      <c r="M141" s="4">
        <f t="shared" si="25"/>
        <v>87000</v>
      </c>
      <c r="N141" t="str">
        <f>IFERROR(VLOOKUP(TRIM(G141),Справочники!$P$3:$Q$7,2,0),"Нет в справочнике")</f>
        <v>шт.</v>
      </c>
      <c r="O141" t="str">
        <f t="shared" si="26"/>
        <v>ОК</v>
      </c>
      <c r="P141" t="str">
        <f t="shared" si="27"/>
        <v>Уникальный</v>
      </c>
    </row>
    <row r="142">
      <c r="A142" s="3" t="s">
        <v>606</v>
      </c>
      <c r="B142" s="3" t="s">
        <v>607</v>
      </c>
      <c r="C142" s="3" t="s">
        <v>143</v>
      </c>
      <c r="D142" s="3" t="s">
        <v>608</v>
      </c>
      <c r="E142" s="3" t="s">
        <v>609</v>
      </c>
      <c r="F142" s="3" t="s">
        <v>610</v>
      </c>
      <c r="G142" s="3" t="s">
        <v>22</v>
      </c>
      <c r="H142" t="str">
        <f t="shared" si="21"/>
        <v>АРТ-141</v>
      </c>
      <c r="I142" t="str">
        <f t="shared" si="22"/>
        <v xml:space="preserve">Монитор Benq Pd3220U</v>
      </c>
      <c r="J142" t="str">
        <f>IFERROR(VLOOKUP(TRIM(C142),Справочники!$A$3:$B$13,2,0),"Нет в справочнике")</f>
        <v>Мониторы</v>
      </c>
      <c r="K142" t="str">
        <f t="shared" si="23"/>
        <v>Benq</v>
      </c>
      <c r="L142" s="4">
        <f t="shared" si="24"/>
        <v>59500</v>
      </c>
      <c r="M142" s="4">
        <f t="shared" si="25"/>
        <v>92500</v>
      </c>
      <c r="N142" t="str">
        <f>IFERROR(VLOOKUP(TRIM(G142),Справочники!$P$3:$Q$7,2,0),"Нет в справочнике")</f>
        <v>шт.</v>
      </c>
      <c r="O142" t="str">
        <f t="shared" si="26"/>
        <v>ОК</v>
      </c>
      <c r="P142" t="str">
        <f t="shared" si="27"/>
        <v>Уникальный</v>
      </c>
    </row>
    <row r="143">
      <c r="A143" s="3" t="s">
        <v>611</v>
      </c>
      <c r="B143" s="3" t="s">
        <v>612</v>
      </c>
      <c r="C143" s="3" t="s">
        <v>157</v>
      </c>
      <c r="D143" s="3" t="s">
        <v>19</v>
      </c>
      <c r="E143" s="3" t="s">
        <v>173</v>
      </c>
      <c r="F143" s="3" t="s">
        <v>525</v>
      </c>
      <c r="G143" s="3" t="s">
        <v>42</v>
      </c>
      <c r="H143" t="str">
        <f t="shared" si="21"/>
        <v>АРТ-142</v>
      </c>
      <c r="I143" t="str">
        <f t="shared" si="22"/>
        <v xml:space="preserve">Мышь Apple Magic Mouse</v>
      </c>
      <c r="J143" t="str">
        <f>IFERROR(VLOOKUP(TRIM(C143),Справочники!$A$3:$B$13,2,0),"Нет в справочнике")</f>
        <v>Аксессуары</v>
      </c>
      <c r="K143" t="str">
        <f t="shared" si="23"/>
        <v>Apple</v>
      </c>
      <c r="L143" s="4">
        <f t="shared" si="24"/>
        <v>4500</v>
      </c>
      <c r="M143" s="4">
        <f t="shared" si="25"/>
        <v>7990</v>
      </c>
      <c r="N143" t="str">
        <f>IFERROR(VLOOKUP(TRIM(G143),Справочники!$P$3:$Q$7,2,0),"Нет в справочнике")</f>
        <v>шт.</v>
      </c>
      <c r="O143" t="str">
        <f t="shared" si="26"/>
        <v>ОК</v>
      </c>
      <c r="P143" t="str">
        <f t="shared" si="27"/>
        <v>Уникальный</v>
      </c>
    </row>
    <row r="144">
      <c r="A144" s="3" t="s">
        <v>613</v>
      </c>
      <c r="B144" s="3" t="s">
        <v>614</v>
      </c>
      <c r="C144" s="3" t="s">
        <v>157</v>
      </c>
      <c r="D144" s="3" t="s">
        <v>74</v>
      </c>
      <c r="E144" s="3" t="s">
        <v>177</v>
      </c>
      <c r="F144" s="3" t="s">
        <v>366</v>
      </c>
      <c r="G144" s="3" t="s">
        <v>28</v>
      </c>
      <c r="H144" t="str">
        <f t="shared" si="21"/>
        <v>АРТ-143</v>
      </c>
      <c r="I144" t="str">
        <f t="shared" si="22"/>
        <v xml:space="preserve">Мышь Apple Magic Mouse</v>
      </c>
      <c r="J144" t="str">
        <f>IFERROR(VLOOKUP(TRIM(C144),Справочники!$A$3:$B$13,2,0),"Нет в справочнике")</f>
        <v>Аксессуары</v>
      </c>
      <c r="K144" t="str">
        <f t="shared" si="23"/>
        <v>Apple</v>
      </c>
      <c r="L144" s="4">
        <f t="shared" si="24"/>
        <v>4200</v>
      </c>
      <c r="M144" s="4">
        <f t="shared" si="25"/>
        <v>7500</v>
      </c>
      <c r="N144" t="str">
        <f>IFERROR(VLOOKUP(TRIM(G144),Справочники!$P$3:$Q$7,2,0),"Нет в справочнике")</f>
        <v>шт.</v>
      </c>
      <c r="O144" t="str">
        <f t="shared" si="26"/>
        <v>ОК</v>
      </c>
      <c r="P144" t="str">
        <f t="shared" si="27"/>
        <v>Уникальный</v>
      </c>
    </row>
    <row r="145">
      <c r="A145" s="3" t="s">
        <v>615</v>
      </c>
      <c r="B145" s="3" t="s">
        <v>616</v>
      </c>
      <c r="C145" s="3" t="s">
        <v>157</v>
      </c>
      <c r="D145" s="3" t="s">
        <v>32</v>
      </c>
      <c r="E145" s="3" t="s">
        <v>181</v>
      </c>
      <c r="F145" s="3" t="s">
        <v>178</v>
      </c>
      <c r="G145" s="3" t="s">
        <v>22</v>
      </c>
      <c r="H145" t="str">
        <f t="shared" si="21"/>
        <v>АРТ-144</v>
      </c>
      <c r="I145" t="str">
        <f t="shared" si="22"/>
        <v xml:space="preserve">Мышь Apple Magic Mouse</v>
      </c>
      <c r="J145" t="str">
        <f>IFERROR(VLOOKUP(TRIM(C145),Справочники!$A$3:$B$13,2,0),"Нет в справочнике")</f>
        <v>Аксессуары</v>
      </c>
      <c r="K145" t="str">
        <f t="shared" si="23"/>
        <v>Apple</v>
      </c>
      <c r="L145" s="4">
        <f t="shared" si="24"/>
        <v>4800</v>
      </c>
      <c r="M145" s="4">
        <f t="shared" si="25"/>
        <v>8500</v>
      </c>
      <c r="N145" t="str">
        <f>IFERROR(VLOOKUP(TRIM(G145),Справочники!$P$3:$Q$7,2,0),"Нет в справочнике")</f>
        <v>шт.</v>
      </c>
      <c r="O145" t="str">
        <f t="shared" si="26"/>
        <v>ОК</v>
      </c>
      <c r="P145" t="str">
        <f t="shared" si="27"/>
        <v>Уникальный</v>
      </c>
    </row>
    <row r="146">
      <c r="A146" s="3" t="s">
        <v>617</v>
      </c>
      <c r="B146" s="3" t="s">
        <v>618</v>
      </c>
      <c r="C146" s="3" t="s">
        <v>18</v>
      </c>
      <c r="D146" s="3" t="s">
        <v>619</v>
      </c>
      <c r="E146" s="3" t="s">
        <v>383</v>
      </c>
      <c r="F146" s="3" t="s">
        <v>620</v>
      </c>
      <c r="G146" s="3" t="s">
        <v>42</v>
      </c>
      <c r="H146" t="str">
        <f t="shared" si="21"/>
        <v>АРТ-145</v>
      </c>
      <c r="I146" t="str">
        <f t="shared" si="22"/>
        <v xml:space="preserve">Смартфон Motorola Edge 40</v>
      </c>
      <c r="J146" t="str">
        <f>IFERROR(VLOOKUP(TRIM(C146),Справочники!$A$3:$B$13,2,0),"Нет в справочнике")</f>
        <v>Смартфоны</v>
      </c>
      <c r="K146" t="str">
        <f t="shared" si="23"/>
        <v>Motorola</v>
      </c>
      <c r="L146" s="4">
        <f t="shared" si="24"/>
        <v>27000</v>
      </c>
      <c r="M146" s="4">
        <f t="shared" si="25"/>
        <v>45990</v>
      </c>
      <c r="N146" t="str">
        <f>IFERROR(VLOOKUP(TRIM(G146),Справочники!$P$3:$Q$7,2,0),"Нет в справочнике")</f>
        <v>шт.</v>
      </c>
      <c r="O146" t="str">
        <f t="shared" si="26"/>
        <v>ОК</v>
      </c>
      <c r="P146" t="str">
        <f t="shared" si="27"/>
        <v>Уникальный</v>
      </c>
    </row>
    <row r="147">
      <c r="A147" s="3" t="s">
        <v>621</v>
      </c>
      <c r="B147" s="3" t="s">
        <v>622</v>
      </c>
      <c r="C147" s="3" t="s">
        <v>25</v>
      </c>
      <c r="D147" s="3" t="s">
        <v>623</v>
      </c>
      <c r="E147" s="3" t="s">
        <v>399</v>
      </c>
      <c r="F147" s="3" t="s">
        <v>384</v>
      </c>
      <c r="G147" s="3" t="s">
        <v>35</v>
      </c>
      <c r="H147" t="str">
        <f t="shared" si="21"/>
        <v>АРТ-146</v>
      </c>
      <c r="I147" t="str">
        <f t="shared" si="22"/>
        <v xml:space="preserve">Смартфон Motorola Edge 40</v>
      </c>
      <c r="J147" t="str">
        <f>IFERROR(VLOOKUP(TRIM(C147),Справочники!$A$3:$B$13,2,0),"Нет в справочнике")</f>
        <v>Смартфоны</v>
      </c>
      <c r="K147" t="str">
        <f t="shared" si="23"/>
        <v>Motorola</v>
      </c>
      <c r="L147" s="4">
        <f t="shared" si="24"/>
        <v>26000</v>
      </c>
      <c r="M147" s="4">
        <f t="shared" si="25"/>
        <v>44500</v>
      </c>
      <c r="N147" t="str">
        <f>IFERROR(VLOOKUP(TRIM(G147),Справочники!$P$3:$Q$7,2,0),"Нет в справочнике")</f>
        <v>шт.</v>
      </c>
      <c r="O147" t="str">
        <f t="shared" si="26"/>
        <v>ОК</v>
      </c>
      <c r="P147" t="str">
        <f t="shared" si="27"/>
        <v>Уникальный</v>
      </c>
    </row>
    <row r="148">
      <c r="A148" s="3" t="s">
        <v>624</v>
      </c>
      <c r="B148" s="3" t="s">
        <v>625</v>
      </c>
      <c r="C148" s="3" t="s">
        <v>31</v>
      </c>
      <c r="D148" s="3" t="s">
        <v>626</v>
      </c>
      <c r="E148" s="3" t="s">
        <v>379</v>
      </c>
      <c r="F148" s="3" t="s">
        <v>388</v>
      </c>
      <c r="G148" s="3" t="s">
        <v>22</v>
      </c>
      <c r="H148" t="str">
        <f t="shared" si="21"/>
        <v>АРТ-147</v>
      </c>
      <c r="I148" t="str">
        <f t="shared" si="22"/>
        <v xml:space="preserve">Смартфон Motorola Edge 40</v>
      </c>
      <c r="J148" t="str">
        <f>IFERROR(VLOOKUP(TRIM(C148),Справочники!$A$3:$B$13,2,0),"Нет в справочнике")</f>
        <v>Смартфоны</v>
      </c>
      <c r="K148" t="str">
        <f t="shared" si="23"/>
        <v>Motorola</v>
      </c>
      <c r="L148" s="4">
        <f t="shared" si="24"/>
        <v>28000</v>
      </c>
      <c r="M148" s="4">
        <f t="shared" si="25"/>
        <v>47500</v>
      </c>
      <c r="N148" t="str">
        <f>IFERROR(VLOOKUP(TRIM(G148),Справочники!$P$3:$Q$7,2,0),"Нет в справочнике")</f>
        <v>шт.</v>
      </c>
      <c r="O148" t="str">
        <f t="shared" si="26"/>
        <v>ОК</v>
      </c>
      <c r="P148" t="str">
        <f t="shared" si="27"/>
        <v>Уникальный</v>
      </c>
    </row>
    <row r="149">
      <c r="A149" s="3" t="s">
        <v>627</v>
      </c>
      <c r="B149" s="3" t="s">
        <v>628</v>
      </c>
      <c r="C149" s="3" t="s">
        <v>38</v>
      </c>
      <c r="D149" s="3" t="s">
        <v>629</v>
      </c>
      <c r="E149" s="3" t="s">
        <v>437</v>
      </c>
      <c r="F149" s="3" t="s">
        <v>630</v>
      </c>
      <c r="G149" s="3" t="s">
        <v>42</v>
      </c>
      <c r="H149" t="str">
        <f t="shared" si="21"/>
        <v>АРТ-148</v>
      </c>
      <c r="I149" t="str">
        <f t="shared" si="22"/>
        <v xml:space="preserve">Ноутбук Gigabyte Aorus 17</v>
      </c>
      <c r="J149" t="str">
        <f>IFERROR(VLOOKUP(TRIM(C149),Справочники!$A$3:$B$13,2,0),"Нет в справочнике")</f>
        <v>Ноутбуки</v>
      </c>
      <c r="K149" t="str">
        <f t="shared" si="23"/>
        <v>Gigabyte</v>
      </c>
      <c r="L149" s="4">
        <f t="shared" si="24"/>
        <v>92000</v>
      </c>
      <c r="M149" s="4">
        <f t="shared" si="25"/>
        <v>139990</v>
      </c>
      <c r="N149" t="str">
        <f>IFERROR(VLOOKUP(TRIM(G149),Справочники!$P$3:$Q$7,2,0),"Нет в справочнике")</f>
        <v>шт.</v>
      </c>
      <c r="O149" t="str">
        <f t="shared" si="26"/>
        <v>ОК</v>
      </c>
      <c r="P149" t="str">
        <f t="shared" si="27"/>
        <v>Уникальный</v>
      </c>
    </row>
    <row r="150">
      <c r="A150" s="3" t="s">
        <v>631</v>
      </c>
      <c r="B150" s="3" t="s">
        <v>632</v>
      </c>
      <c r="C150" s="3" t="s">
        <v>45</v>
      </c>
      <c r="D150" s="3" t="s">
        <v>633</v>
      </c>
      <c r="E150" s="3" t="s">
        <v>114</v>
      </c>
      <c r="F150" s="3" t="s">
        <v>125</v>
      </c>
      <c r="G150" s="3" t="s">
        <v>28</v>
      </c>
      <c r="H150" t="str">
        <f t="shared" si="21"/>
        <v>АРТ-149</v>
      </c>
      <c r="I150" t="str">
        <f t="shared" si="22"/>
        <v xml:space="preserve">Ноутбук Gigabyte Aorus 17</v>
      </c>
      <c r="J150" t="str">
        <f>IFERROR(VLOOKUP(TRIM(C150),Справочники!$A$3:$B$13,2,0),"Нет в справочнике")</f>
        <v>Ноутбуки</v>
      </c>
      <c r="K150" t="str">
        <f t="shared" si="23"/>
        <v>Gigabyte</v>
      </c>
      <c r="L150" s="4">
        <f t="shared" si="24"/>
        <v>90000</v>
      </c>
      <c r="M150" s="4">
        <f t="shared" si="25"/>
        <v>137000</v>
      </c>
      <c r="N150" t="str">
        <f>IFERROR(VLOOKUP(TRIM(G150),Справочники!$P$3:$Q$7,2,0),"Нет в справочнике")</f>
        <v>шт.</v>
      </c>
      <c r="O150" t="str">
        <f t="shared" si="26"/>
        <v>ОК</v>
      </c>
      <c r="P150" t="str">
        <f t="shared" si="27"/>
        <v>Уникальный</v>
      </c>
    </row>
    <row r="151">
      <c r="A151" s="3" t="s">
        <v>634</v>
      </c>
      <c r="B151" s="3" t="s">
        <v>635</v>
      </c>
      <c r="C151" s="3" t="s">
        <v>38</v>
      </c>
      <c r="D151" s="3" t="s">
        <v>636</v>
      </c>
      <c r="E151" s="3" t="s">
        <v>90</v>
      </c>
      <c r="F151" s="3" t="s">
        <v>637</v>
      </c>
      <c r="G151" s="3" t="s">
        <v>22</v>
      </c>
      <c r="H151" t="str">
        <f t="shared" si="21"/>
        <v>АРТ-150</v>
      </c>
      <c r="I151" t="str">
        <f t="shared" si="22"/>
        <v xml:space="preserve">Ноутбук Gigabyte Aorus 17</v>
      </c>
      <c r="J151" t="str">
        <f>IFERROR(VLOOKUP(TRIM(C151),Справочники!$A$3:$B$13,2,0),"Нет в справочнике")</f>
        <v>Ноутбуки</v>
      </c>
      <c r="K151" t="str">
        <f t="shared" si="23"/>
        <v>Gigabyte</v>
      </c>
      <c r="L151" s="4">
        <f t="shared" si="24"/>
        <v>93500</v>
      </c>
      <c r="M151" s="4">
        <f t="shared" si="25"/>
        <v>142500</v>
      </c>
      <c r="N151" t="str">
        <f>IFERROR(VLOOKUP(TRIM(G151),Справочники!$P$3:$Q$7,2,0),"Нет в справочнике")</f>
        <v>шт.</v>
      </c>
      <c r="O151" t="str">
        <f t="shared" si="26"/>
        <v>ОК</v>
      </c>
      <c r="P151" t="str">
        <f t="shared" si="27"/>
        <v>Уникальный</v>
      </c>
    </row>
    <row r="152">
      <c r="A152" s="3" t="s">
        <v>638</v>
      </c>
      <c r="B152" s="3" t="s">
        <v>639</v>
      </c>
      <c r="C152" s="3" t="s">
        <v>83</v>
      </c>
      <c r="D152" s="3" t="s">
        <v>640</v>
      </c>
      <c r="E152" s="3" t="s">
        <v>641</v>
      </c>
      <c r="F152" s="3" t="s">
        <v>642</v>
      </c>
      <c r="G152" s="3" t="s">
        <v>42</v>
      </c>
      <c r="H152" t="str">
        <f t="shared" si="21"/>
        <v>АРТ-151</v>
      </c>
      <c r="I152" t="str">
        <f t="shared" si="22"/>
        <v xml:space="preserve">Телевизор Panasonic Hz2000</v>
      </c>
      <c r="J152" t="str">
        <f>IFERROR(VLOOKUP(TRIM(C152),Справочники!$A$3:$B$13,2,0),"Нет в справочнике")</f>
        <v>Телевизоры</v>
      </c>
      <c r="K152" t="str">
        <f t="shared" si="23"/>
        <v>Panasonic</v>
      </c>
      <c r="L152" s="4">
        <f t="shared" si="24"/>
        <v>100000</v>
      </c>
      <c r="M152" s="4">
        <f t="shared" si="25"/>
        <v>154990</v>
      </c>
      <c r="N152" t="str">
        <f>IFERROR(VLOOKUP(TRIM(G152),Справочники!$P$3:$Q$7,2,0),"Нет в справочнике")</f>
        <v>шт.</v>
      </c>
      <c r="O152" t="str">
        <f t="shared" si="26"/>
        <v>ОК</v>
      </c>
      <c r="P152" t="str">
        <f t="shared" si="27"/>
        <v>Уникальный</v>
      </c>
    </row>
    <row r="153">
      <c r="A153" s="3" t="s">
        <v>643</v>
      </c>
      <c r="B153" s="3" t="s">
        <v>644</v>
      </c>
      <c r="C153" s="3" t="s">
        <v>83</v>
      </c>
      <c r="D153" s="3" t="s">
        <v>645</v>
      </c>
      <c r="E153" s="3" t="s">
        <v>150</v>
      </c>
      <c r="F153" s="3" t="s">
        <v>646</v>
      </c>
      <c r="G153" s="3" t="s">
        <v>35</v>
      </c>
      <c r="H153" t="str">
        <f t="shared" si="21"/>
        <v>АРТ-152</v>
      </c>
      <c r="I153" t="str">
        <f t="shared" si="22"/>
        <v xml:space="preserve">Телевизор Panasonic Hz2000</v>
      </c>
      <c r="J153" t="str">
        <f>IFERROR(VLOOKUP(TRIM(C153),Справочники!$A$3:$B$13,2,0),"Нет в справочнике")</f>
        <v>Телевизоры</v>
      </c>
      <c r="K153" t="str">
        <f t="shared" si="23"/>
        <v>Panasonic</v>
      </c>
      <c r="L153" s="4">
        <f t="shared" si="24"/>
        <v>98000</v>
      </c>
      <c r="M153" s="4">
        <f t="shared" si="25"/>
        <v>151500</v>
      </c>
      <c r="N153" t="str">
        <f>IFERROR(VLOOKUP(TRIM(G153),Справочники!$P$3:$Q$7,2,0),"Нет в справочнике")</f>
        <v>шт.</v>
      </c>
      <c r="O153" t="str">
        <f t="shared" si="26"/>
        <v>ОК</v>
      </c>
      <c r="P153" t="str">
        <f t="shared" si="27"/>
        <v>Уникальный</v>
      </c>
    </row>
    <row r="154">
      <c r="A154" s="3" t="s">
        <v>647</v>
      </c>
      <c r="B154" s="3" t="s">
        <v>648</v>
      </c>
      <c r="C154" s="3" t="s">
        <v>83</v>
      </c>
      <c r="D154" s="3" t="s">
        <v>649</v>
      </c>
      <c r="E154" s="3" t="s">
        <v>650</v>
      </c>
      <c r="F154" s="3" t="s">
        <v>651</v>
      </c>
      <c r="G154" s="3" t="s">
        <v>22</v>
      </c>
      <c r="H154" t="str">
        <f t="shared" si="21"/>
        <v>АРТ-153</v>
      </c>
      <c r="I154" t="str">
        <f t="shared" si="22"/>
        <v xml:space="preserve">Телевизор Panasonic Hz2000</v>
      </c>
      <c r="J154" t="str">
        <f>IFERROR(VLOOKUP(TRIM(C154),Справочники!$A$3:$B$13,2,0),"Нет в справочнике")</f>
        <v>Телевизоры</v>
      </c>
      <c r="K154" t="str">
        <f t="shared" si="23"/>
        <v>Panasonic</v>
      </c>
      <c r="L154" s="4">
        <f t="shared" si="24"/>
        <v>102000</v>
      </c>
      <c r="M154" s="4">
        <f t="shared" si="25"/>
        <v>158000</v>
      </c>
      <c r="N154" t="str">
        <f>IFERROR(VLOOKUP(TRIM(G154),Справочники!$P$3:$Q$7,2,0),"Нет в справочнике")</f>
        <v>шт.</v>
      </c>
      <c r="O154" t="str">
        <f t="shared" si="26"/>
        <v>ОК</v>
      </c>
      <c r="P154" t="str">
        <f t="shared" si="27"/>
        <v>Уникальный</v>
      </c>
    </row>
    <row r="155">
      <c r="A155" s="3" t="s">
        <v>652</v>
      </c>
      <c r="B155" s="3" t="s">
        <v>653</v>
      </c>
      <c r="C155" s="3" t="s">
        <v>98</v>
      </c>
      <c r="D155" s="3" t="s">
        <v>654</v>
      </c>
      <c r="E155" s="3" t="s">
        <v>655</v>
      </c>
      <c r="F155" s="3" t="s">
        <v>656</v>
      </c>
      <c r="G155" s="3" t="s">
        <v>42</v>
      </c>
      <c r="H155" t="str">
        <f t="shared" si="21"/>
        <v>АРТ-154</v>
      </c>
      <c r="I155" t="str">
        <f t="shared" si="22"/>
        <v xml:space="preserve">Наушники Audio-Technica Ath-M50X</v>
      </c>
      <c r="J155" t="str">
        <f>IFERROR(VLOOKUP(TRIM(C155),Справочники!$A$3:$B$13,2,0),"Нет в справочнике")</f>
        <v>Наушники</v>
      </c>
      <c r="K155" t="str">
        <f t="shared" si="23"/>
        <v>Audio-Technica</v>
      </c>
      <c r="L155" s="4">
        <f t="shared" si="24"/>
        <v>10000</v>
      </c>
      <c r="M155" s="4">
        <f t="shared" si="25"/>
        <v>16990</v>
      </c>
      <c r="N155" t="str">
        <f>IFERROR(VLOOKUP(TRIM(G155),Справочники!$P$3:$Q$7,2,0),"Нет в справочнике")</f>
        <v>шт.</v>
      </c>
      <c r="O155" t="str">
        <f t="shared" si="26"/>
        <v>ОК</v>
      </c>
      <c r="P155" t="str">
        <f t="shared" si="27"/>
        <v>Уникальный</v>
      </c>
    </row>
    <row r="156">
      <c r="A156" s="3" t="s">
        <v>657</v>
      </c>
      <c r="B156" s="3" t="s">
        <v>658</v>
      </c>
      <c r="C156" s="3" t="s">
        <v>98</v>
      </c>
      <c r="D156" s="3" t="s">
        <v>659</v>
      </c>
      <c r="E156" s="3" t="s">
        <v>165</v>
      </c>
      <c r="F156" s="3" t="s">
        <v>660</v>
      </c>
      <c r="G156" s="3" t="s">
        <v>28</v>
      </c>
      <c r="H156" t="str">
        <f t="shared" si="21"/>
        <v>АРТ-155</v>
      </c>
      <c r="I156" t="str">
        <f t="shared" si="22"/>
        <v xml:space="preserve">Наушники Audio-Technica Ath-M50X</v>
      </c>
      <c r="J156" t="str">
        <f>IFERROR(VLOOKUP(TRIM(C156),Справочники!$A$3:$B$13,2,0),"Нет в справочнике")</f>
        <v>Наушники</v>
      </c>
      <c r="K156" t="str">
        <f t="shared" si="23"/>
        <v>Audio-Technica</v>
      </c>
      <c r="L156" s="4">
        <f t="shared" si="24"/>
        <v>9500</v>
      </c>
      <c r="M156" s="4">
        <f t="shared" si="25"/>
        <v>16000</v>
      </c>
      <c r="N156" t="str">
        <f>IFERROR(VLOOKUP(TRIM(G156),Справочники!$P$3:$Q$7,2,0),"Нет в справочнике")</f>
        <v>шт.</v>
      </c>
      <c r="O156" t="str">
        <f t="shared" si="26"/>
        <v>ОК</v>
      </c>
      <c r="P156" t="str">
        <f t="shared" si="27"/>
        <v>Уникальный</v>
      </c>
    </row>
    <row r="157">
      <c r="A157" s="3" t="s">
        <v>661</v>
      </c>
      <c r="B157" s="3" t="s">
        <v>662</v>
      </c>
      <c r="C157" s="3" t="s">
        <v>98</v>
      </c>
      <c r="D157" s="3" t="s">
        <v>663</v>
      </c>
      <c r="E157" s="3" t="s">
        <v>170</v>
      </c>
      <c r="F157" s="3" t="s">
        <v>664</v>
      </c>
      <c r="G157" s="3" t="s">
        <v>22</v>
      </c>
      <c r="H157" t="str">
        <f t="shared" si="21"/>
        <v>АРТ-156</v>
      </c>
      <c r="I157" t="str">
        <f t="shared" si="22"/>
        <v xml:space="preserve">Наушники Audio-Technica Ath-M50X</v>
      </c>
      <c r="J157" t="str">
        <f>IFERROR(VLOOKUP(TRIM(C157),Справочники!$A$3:$B$13,2,0),"Нет в справочнике")</f>
        <v>Наушники</v>
      </c>
      <c r="K157" t="str">
        <f t="shared" si="23"/>
        <v>Audio-Technica</v>
      </c>
      <c r="L157" s="4">
        <f t="shared" si="24"/>
        <v>10500</v>
      </c>
      <c r="M157" s="4">
        <f t="shared" si="25"/>
        <v>17800</v>
      </c>
      <c r="N157" t="str">
        <f>IFERROR(VLOOKUP(TRIM(G157),Справочники!$P$3:$Q$7,2,0),"Нет в справочнике")</f>
        <v>шт.</v>
      </c>
      <c r="O157" t="str">
        <f t="shared" si="26"/>
        <v>ОК</v>
      </c>
      <c r="P157" t="str">
        <f t="shared" si="27"/>
        <v>Уникальный</v>
      </c>
    </row>
    <row r="158">
      <c r="A158" s="3" t="s">
        <v>665</v>
      </c>
      <c r="B158" s="3" t="s">
        <v>666</v>
      </c>
      <c r="C158" s="3" t="s">
        <v>143</v>
      </c>
      <c r="D158" s="3" t="s">
        <v>39</v>
      </c>
      <c r="E158" s="3" t="s">
        <v>667</v>
      </c>
      <c r="F158" s="3" t="s">
        <v>668</v>
      </c>
      <c r="G158" s="3" t="s">
        <v>42</v>
      </c>
      <c r="H158" t="str">
        <f t="shared" si="21"/>
        <v>АРТ-157</v>
      </c>
      <c r="I158" t="str">
        <f t="shared" si="22"/>
        <v xml:space="preserve">Монитор Asus Proart Pa329Cv</v>
      </c>
      <c r="J158" t="str">
        <f>IFERROR(VLOOKUP(TRIM(C158),Справочники!$A$3:$B$13,2,0),"Нет в справочнике")</f>
        <v>Мониторы</v>
      </c>
      <c r="K158" t="str">
        <f t="shared" si="23"/>
        <v>Asus</v>
      </c>
      <c r="L158" s="4">
        <f t="shared" si="24"/>
        <v>60000</v>
      </c>
      <c r="M158" s="4">
        <f t="shared" si="25"/>
        <v>92900</v>
      </c>
      <c r="N158" t="str">
        <f>IFERROR(VLOOKUP(TRIM(G158),Справочники!$P$3:$Q$7,2,0),"Нет в справочнике")</f>
        <v>шт.</v>
      </c>
      <c r="O158" t="str">
        <f t="shared" si="26"/>
        <v>ОК</v>
      </c>
      <c r="P158" t="str">
        <f t="shared" si="27"/>
        <v>Уникальный</v>
      </c>
    </row>
    <row r="159">
      <c r="A159" s="3" t="s">
        <v>669</v>
      </c>
      <c r="B159" s="3" t="s">
        <v>670</v>
      </c>
      <c r="C159" s="3" t="s">
        <v>143</v>
      </c>
      <c r="D159" s="3" t="s">
        <v>46</v>
      </c>
      <c r="E159" s="3" t="s">
        <v>135</v>
      </c>
      <c r="F159" s="3" t="s">
        <v>114</v>
      </c>
      <c r="G159" s="3" t="s">
        <v>35</v>
      </c>
      <c r="H159" t="str">
        <f t="shared" si="21"/>
        <v>АРТ-158</v>
      </c>
      <c r="I159" t="str">
        <f t="shared" si="22"/>
        <v xml:space="preserve">Монитор Asus Proart Pa329Cv</v>
      </c>
      <c r="J159" t="str">
        <f>IFERROR(VLOOKUP(TRIM(C159),Справочники!$A$3:$B$13,2,0),"Нет в справочнике")</f>
        <v>Мониторы</v>
      </c>
      <c r="K159" t="str">
        <f t="shared" si="23"/>
        <v>Asus</v>
      </c>
      <c r="L159" s="4">
        <f t="shared" si="24"/>
        <v>58500</v>
      </c>
      <c r="M159" s="4">
        <f t="shared" si="25"/>
        <v>90000</v>
      </c>
      <c r="N159" t="str">
        <f>IFERROR(VLOOKUP(TRIM(G159),Справочники!$P$3:$Q$7,2,0),"Нет в справочнике")</f>
        <v>шт.</v>
      </c>
      <c r="O159" t="str">
        <f t="shared" si="26"/>
        <v>ОК</v>
      </c>
      <c r="P159" t="str">
        <f t="shared" si="27"/>
        <v>Уникальный</v>
      </c>
    </row>
    <row r="160">
      <c r="A160" s="3" t="s">
        <v>671</v>
      </c>
      <c r="B160" s="3" t="s">
        <v>672</v>
      </c>
      <c r="C160" s="3" t="s">
        <v>143</v>
      </c>
      <c r="D160" s="3" t="s">
        <v>39</v>
      </c>
      <c r="E160" s="3" t="s">
        <v>673</v>
      </c>
      <c r="F160" s="3" t="s">
        <v>674</v>
      </c>
      <c r="G160" s="3" t="s">
        <v>22</v>
      </c>
      <c r="H160" t="str">
        <f t="shared" si="21"/>
        <v>АРТ-159</v>
      </c>
      <c r="I160" t="str">
        <f t="shared" si="22"/>
        <v xml:space="preserve">Монитор Asus Proart Pa329Cv</v>
      </c>
      <c r="J160" t="str">
        <f>IFERROR(VLOOKUP(TRIM(C160),Справочники!$A$3:$B$13,2,0),"Нет в справочнике")</f>
        <v>Мониторы</v>
      </c>
      <c r="K160" t="str">
        <f t="shared" si="23"/>
        <v>Asus</v>
      </c>
      <c r="L160" s="4">
        <f t="shared" si="24"/>
        <v>61500</v>
      </c>
      <c r="M160" s="4">
        <f t="shared" si="25"/>
        <v>95500</v>
      </c>
      <c r="N160" t="str">
        <f>IFERROR(VLOOKUP(TRIM(G160),Справочники!$P$3:$Q$7,2,0),"Нет в справочнике")</f>
        <v>шт.</v>
      </c>
      <c r="O160" t="str">
        <f t="shared" si="26"/>
        <v>ОК</v>
      </c>
      <c r="P160" t="str">
        <f t="shared" si="27"/>
        <v>Уникальный</v>
      </c>
    </row>
    <row r="161">
      <c r="A161" s="3" t="s">
        <v>675</v>
      </c>
      <c r="B161" s="3" t="s">
        <v>676</v>
      </c>
      <c r="C161" s="3" t="s">
        <v>157</v>
      </c>
      <c r="D161" s="3" t="s">
        <v>677</v>
      </c>
      <c r="E161" s="3" t="s">
        <v>678</v>
      </c>
      <c r="F161" s="3" t="s">
        <v>174</v>
      </c>
      <c r="G161" s="3" t="s">
        <v>42</v>
      </c>
      <c r="H161" t="str">
        <f t="shared" si="21"/>
        <v>АРТ-160</v>
      </c>
      <c r="I161" t="str">
        <f t="shared" si="22"/>
        <v xml:space="preserve">Клавиатура Ducky One 3 Mini</v>
      </c>
      <c r="J161" t="str">
        <f>IFERROR(VLOOKUP(TRIM(C161),Справочники!$A$3:$B$13,2,0),"Нет в справочнике")</f>
        <v>Аксессуары</v>
      </c>
      <c r="K161" t="str">
        <f t="shared" si="23"/>
        <v>Ducky</v>
      </c>
      <c r="L161" s="4">
        <f t="shared" si="24"/>
        <v>5000</v>
      </c>
      <c r="M161" s="4">
        <f t="shared" si="25"/>
        <v>8990</v>
      </c>
      <c r="N161" t="str">
        <f>IFERROR(VLOOKUP(TRIM(G161),Справочники!$P$3:$Q$7,2,0),"Нет в справочнике")</f>
        <v>шт.</v>
      </c>
      <c r="O161" t="str">
        <f t="shared" si="26"/>
        <v>ОК</v>
      </c>
      <c r="P161" t="str">
        <f t="shared" si="27"/>
        <v>Уникальный</v>
      </c>
    </row>
    <row r="162">
      <c r="A162" s="3" t="s">
        <v>679</v>
      </c>
      <c r="B162" s="3" t="s">
        <v>680</v>
      </c>
      <c r="C162" s="3" t="s">
        <v>157</v>
      </c>
      <c r="D162" s="3" t="s">
        <v>681</v>
      </c>
      <c r="E162" s="3" t="s">
        <v>682</v>
      </c>
      <c r="F162" s="3" t="s">
        <v>178</v>
      </c>
      <c r="G162" s="3" t="s">
        <v>28</v>
      </c>
      <c r="H162" t="str">
        <f t="shared" si="21"/>
        <v>АРТ-161</v>
      </c>
      <c r="I162" t="str">
        <f t="shared" si="22"/>
        <v xml:space="preserve">Клавиатура Ducky One 3 Mini</v>
      </c>
      <c r="J162" t="str">
        <f>IFERROR(VLOOKUP(TRIM(C162),Справочники!$A$3:$B$13,2,0),"Нет в справочнике")</f>
        <v>Аксессуары</v>
      </c>
      <c r="K162" t="str">
        <f t="shared" si="23"/>
        <v>Ducky</v>
      </c>
      <c r="L162" s="4">
        <f t="shared" si="24"/>
        <v>4700</v>
      </c>
      <c r="M162" s="4">
        <f t="shared" si="25"/>
        <v>8500</v>
      </c>
      <c r="N162" t="str">
        <f>IFERROR(VLOOKUP(TRIM(G162),Справочники!$P$3:$Q$7,2,0),"Нет в справочнике")</f>
        <v>шт.</v>
      </c>
      <c r="O162" t="str">
        <f t="shared" si="26"/>
        <v>ОК</v>
      </c>
      <c r="P162" t="str">
        <f t="shared" si="27"/>
        <v>Уникальный</v>
      </c>
    </row>
    <row r="163">
      <c r="A163" s="3" t="s">
        <v>683</v>
      </c>
      <c r="B163" s="3" t="s">
        <v>684</v>
      </c>
      <c r="C163" s="3" t="s">
        <v>157</v>
      </c>
      <c r="D163" s="3" t="s">
        <v>685</v>
      </c>
      <c r="E163" s="3" t="s">
        <v>164</v>
      </c>
      <c r="F163" s="3" t="s">
        <v>165</v>
      </c>
      <c r="G163" s="3" t="s">
        <v>22</v>
      </c>
      <c r="H163" t="str">
        <f t="shared" si="21"/>
        <v>АРТ-162</v>
      </c>
      <c r="I163" t="str">
        <f t="shared" si="22"/>
        <v xml:space="preserve">Клавиатура Ducky One 3 Mini</v>
      </c>
      <c r="J163" t="str">
        <f>IFERROR(VLOOKUP(TRIM(C163),Справочники!$A$3:$B$13,2,0),"Нет в справочнике")</f>
        <v>Аксессуары</v>
      </c>
      <c r="K163" t="str">
        <f t="shared" si="23"/>
        <v>Ducky</v>
      </c>
      <c r="L163" s="4">
        <f t="shared" si="24"/>
        <v>5200</v>
      </c>
      <c r="M163" s="4">
        <f t="shared" si="25"/>
        <v>9500</v>
      </c>
      <c r="N163" t="str">
        <f>IFERROR(VLOOKUP(TRIM(G163),Справочники!$P$3:$Q$7,2,0),"Нет в справочнике")</f>
        <v>шт.</v>
      </c>
      <c r="O163" t="str">
        <f t="shared" si="26"/>
        <v>ОК</v>
      </c>
      <c r="P163" t="str">
        <f t="shared" si="27"/>
        <v>Уникальный</v>
      </c>
    </row>
    <row r="164">
      <c r="A164" s="3" t="s">
        <v>686</v>
      </c>
      <c r="B164" s="3" t="s">
        <v>687</v>
      </c>
      <c r="C164" s="3" t="s">
        <v>199</v>
      </c>
      <c r="D164" s="3" t="s">
        <v>185</v>
      </c>
      <c r="E164" s="3" t="s">
        <v>100</v>
      </c>
      <c r="F164" s="3" t="s">
        <v>688</v>
      </c>
      <c r="G164" s="3" t="s">
        <v>42</v>
      </c>
      <c r="H164" t="str">
        <f t="shared" ref="H164:H227" si="28">"АРТ-"&amp;TEXT(VALUE(LEFT(SUBSTITUTE(SUBSTITUTE(SUBSTITUTE(SUBSTITUTE(TRIM(A164),"№",""),"АРТ-",""),"АРТ_",""),"АРТ",""),3)),"000")</f>
        <v>АРТ-163</v>
      </c>
      <c r="I164" t="str">
        <f t="shared" ref="I164:I227" si="29">PROPER(TRIM(IFERROR(LEFT(B164,FIND("(",B164)-1),B164)))</f>
        <v xml:space="preserve">Смарт-Часы Huawei Watch Gt4</v>
      </c>
      <c r="J164" t="str">
        <f>IFERROR(VLOOKUP(TRIM(C164),Справочники!$A$3:$B$13,2,0),"Нет в справочнике")</f>
        <v>Часы</v>
      </c>
      <c r="K164" t="str">
        <f t="shared" ref="K164:K227" si="30">IF(LEN(TRIM(D164))&lt;=3,UPPER(TRIM(D164)),PROPER(TRIM(D164)))</f>
        <v>Huawei</v>
      </c>
      <c r="L164" s="4">
        <f t="shared" ref="L164:L227" si="31">ROUND(VALUE(SUBSTITUTE(SUBSTITUTE(SUBSTITUTE(SUBSTITUTE(SUBSTITUTE(TRIM(E164)," ",""),"руб.",""),"₽",""),",",""),".",""))/IF(OR(ISNUMBER(FIND(",",SUBSTITUTE(SUBSTITUTE(SUBSTITUTE(TRIM(E164)," ",""),"руб.",""),"₽",""))),ISNUMBER(FIND(".",SUBSTITUTE(SUBSTITUTE(SUBSTITUTE(TRIM(E164)," ",""),"руб.",""),"₽","")))),100,1),2)</f>
        <v>18000</v>
      </c>
      <c r="M164" s="4">
        <f t="shared" ref="M164:M227" si="32">ROUND(VALUE(SUBSTITUTE(SUBSTITUTE(SUBSTITUTE(SUBSTITUTE(SUBSTITUTE(TRIM(F164)," ",""),"руб.",""),"₽",""),",",""),".",""))/IF(OR(ISNUMBER(FIND(",",SUBSTITUTE(SUBSTITUTE(SUBSTITUTE(TRIM(F164)," ",""),"руб.",""),"₽",""))),ISNUMBER(FIND(".",SUBSTITUTE(SUBSTITUTE(SUBSTITUTE(TRIM(F164)," ",""),"руб.",""),"₽","")))),100,1),2)</f>
        <v>29990</v>
      </c>
      <c r="N164" t="str">
        <f>IFERROR(VLOOKUP(TRIM(G164),Справочники!$P$3:$Q$7,2,0),"Нет в справочнике")</f>
        <v>шт.</v>
      </c>
      <c r="O164" t="str">
        <f t="shared" ref="O164:O227" si="33">IF(M164&gt;=L164,"ОК","Розница ниже закупки")</f>
        <v>ОК</v>
      </c>
      <c r="P164" t="str">
        <f t="shared" ref="P164:P227" si="34">IF(COUNTIF($H$2:$H$502,H164)&gt;1,"Повтор артикула","Уникальный")</f>
        <v>Уникальный</v>
      </c>
    </row>
    <row r="165">
      <c r="A165" s="3" t="s">
        <v>689</v>
      </c>
      <c r="B165" s="3" t="s">
        <v>690</v>
      </c>
      <c r="C165" s="3" t="s">
        <v>199</v>
      </c>
      <c r="D165" s="3" t="s">
        <v>190</v>
      </c>
      <c r="E165" s="3" t="s">
        <v>691</v>
      </c>
      <c r="F165" s="3" t="s">
        <v>692</v>
      </c>
      <c r="G165" s="3" t="s">
        <v>35</v>
      </c>
      <c r="H165" t="str">
        <f t="shared" si="28"/>
        <v>АРТ-164</v>
      </c>
      <c r="I165" t="str">
        <f t="shared" si="29"/>
        <v xml:space="preserve">Смарт-Часы Huawei Watch Gt4</v>
      </c>
      <c r="J165" t="str">
        <f>IFERROR(VLOOKUP(TRIM(C165),Справочники!$A$3:$B$13,2,0),"Нет в справочнике")</f>
        <v>Часы</v>
      </c>
      <c r="K165" t="str">
        <f t="shared" si="30"/>
        <v>Huawei</v>
      </c>
      <c r="L165" s="4">
        <f t="shared" si="31"/>
        <v>17000</v>
      </c>
      <c r="M165" s="4">
        <f t="shared" si="32"/>
        <v>28500</v>
      </c>
      <c r="N165" t="str">
        <f>IFERROR(VLOOKUP(TRIM(G165),Справочники!$P$3:$Q$7,2,0),"Нет в справочнике")</f>
        <v>шт.</v>
      </c>
      <c r="O165" t="str">
        <f t="shared" si="33"/>
        <v>ОК</v>
      </c>
      <c r="P165" t="str">
        <f t="shared" si="34"/>
        <v>Уникальный</v>
      </c>
    </row>
    <row r="166">
      <c r="A166" s="3" t="s">
        <v>693</v>
      </c>
      <c r="B166" s="3" t="s">
        <v>694</v>
      </c>
      <c r="C166" s="3" t="s">
        <v>199</v>
      </c>
      <c r="D166" s="3" t="s">
        <v>195</v>
      </c>
      <c r="E166" s="3" t="s">
        <v>344</v>
      </c>
      <c r="F166" s="3" t="s">
        <v>566</v>
      </c>
      <c r="G166" s="3" t="s">
        <v>22</v>
      </c>
      <c r="H166" t="str">
        <f t="shared" si="28"/>
        <v>АРТ-165</v>
      </c>
      <c r="I166" t="str">
        <f t="shared" si="29"/>
        <v xml:space="preserve">Смарт-Часы Huawei Watch Gt4</v>
      </c>
      <c r="J166" t="str">
        <f>IFERROR(VLOOKUP(TRIM(C166),Справочники!$A$3:$B$13,2,0),"Нет в справочнике")</f>
        <v>Часы</v>
      </c>
      <c r="K166" t="str">
        <f t="shared" si="30"/>
        <v>Huawei</v>
      </c>
      <c r="L166" s="4">
        <f t="shared" si="31"/>
        <v>19000</v>
      </c>
      <c r="M166" s="4">
        <f t="shared" si="32"/>
        <v>31000</v>
      </c>
      <c r="N166" t="str">
        <f>IFERROR(VLOOKUP(TRIM(G166),Справочники!$P$3:$Q$7,2,0),"Нет в справочнике")</f>
        <v>шт.</v>
      </c>
      <c r="O166" t="str">
        <f t="shared" si="33"/>
        <v>ОК</v>
      </c>
      <c r="P166" t="str">
        <f t="shared" si="34"/>
        <v>Уникальный</v>
      </c>
    </row>
    <row r="167">
      <c r="A167" s="3" t="s">
        <v>695</v>
      </c>
      <c r="B167" s="3" t="s">
        <v>696</v>
      </c>
      <c r="C167" s="3" t="s">
        <v>69</v>
      </c>
      <c r="D167" s="3" t="s">
        <v>697</v>
      </c>
      <c r="E167" s="3" t="s">
        <v>353</v>
      </c>
      <c r="F167" s="3" t="s">
        <v>698</v>
      </c>
      <c r="G167" s="3" t="s">
        <v>42</v>
      </c>
      <c r="H167" t="str">
        <f t="shared" si="28"/>
        <v>АРТ-166</v>
      </c>
      <c r="I167" t="str">
        <f t="shared" si="29"/>
        <v xml:space="preserve">Планшет Microsoft Surface Pro 9</v>
      </c>
      <c r="J167" t="str">
        <f>IFERROR(VLOOKUP(TRIM(C167),Справочники!$A$3:$B$13,2,0),"Нет в справочнике")</f>
        <v>Планшеты</v>
      </c>
      <c r="K167" t="str">
        <f t="shared" si="30"/>
        <v>Microsoft</v>
      </c>
      <c r="L167" s="4">
        <f t="shared" si="31"/>
        <v>52000</v>
      </c>
      <c r="M167" s="4">
        <f t="shared" si="32"/>
        <v>82990</v>
      </c>
      <c r="N167" t="str">
        <f>IFERROR(VLOOKUP(TRIM(G167),Справочники!$P$3:$Q$7,2,0),"Нет в справочнике")</f>
        <v>шт.</v>
      </c>
      <c r="O167" t="str">
        <f t="shared" si="33"/>
        <v>ОК</v>
      </c>
      <c r="P167" t="str">
        <f t="shared" si="34"/>
        <v>Уникальный</v>
      </c>
    </row>
    <row r="168">
      <c r="A168" s="3" t="s">
        <v>699</v>
      </c>
      <c r="B168" s="3" t="s">
        <v>700</v>
      </c>
      <c r="C168" s="3" t="s">
        <v>69</v>
      </c>
      <c r="D168" s="3" t="s">
        <v>701</v>
      </c>
      <c r="E168" s="3" t="s">
        <v>702</v>
      </c>
      <c r="F168" s="3" t="s">
        <v>582</v>
      </c>
      <c r="G168" s="3" t="s">
        <v>28</v>
      </c>
      <c r="H168" t="str">
        <f t="shared" si="28"/>
        <v>АРТ-167</v>
      </c>
      <c r="I168" t="str">
        <f t="shared" si="29"/>
        <v xml:space="preserve">Планшет Microsoft Surface Pro 9</v>
      </c>
      <c r="J168" t="str">
        <f>IFERROR(VLOOKUP(TRIM(C168),Справочники!$A$3:$B$13,2,0),"Нет в справочнике")</f>
        <v>Планшеты</v>
      </c>
      <c r="K168" t="str">
        <f t="shared" si="30"/>
        <v>Microsoft</v>
      </c>
      <c r="L168" s="4">
        <f t="shared" si="31"/>
        <v>50000</v>
      </c>
      <c r="M168" s="4">
        <f t="shared" si="32"/>
        <v>80000</v>
      </c>
      <c r="N168" t="str">
        <f>IFERROR(VLOOKUP(TRIM(G168),Справочники!$P$3:$Q$7,2,0),"Нет в справочнике")</f>
        <v>шт.</v>
      </c>
      <c r="O168" t="str">
        <f t="shared" si="33"/>
        <v>ОК</v>
      </c>
      <c r="P168" t="str">
        <f t="shared" si="34"/>
        <v>Уникальный</v>
      </c>
    </row>
    <row r="169">
      <c r="A169" s="3" t="s">
        <v>703</v>
      </c>
      <c r="B169" s="3" t="s">
        <v>704</v>
      </c>
      <c r="C169" s="3" t="s">
        <v>69</v>
      </c>
      <c r="D169" s="3" t="s">
        <v>705</v>
      </c>
      <c r="E169" s="3" t="s">
        <v>255</v>
      </c>
      <c r="F169" s="3" t="s">
        <v>40</v>
      </c>
      <c r="G169" s="3" t="s">
        <v>22</v>
      </c>
      <c r="H169" t="str">
        <f t="shared" si="28"/>
        <v>АРТ-168</v>
      </c>
      <c r="I169" t="str">
        <f t="shared" si="29"/>
        <v xml:space="preserve">Планшет Microsoft Surface Pro 9</v>
      </c>
      <c r="J169" t="str">
        <f>IFERROR(VLOOKUP(TRIM(C169),Справочники!$A$3:$B$13,2,0),"Нет в справочнике")</f>
        <v>Планшеты</v>
      </c>
      <c r="K169" t="str">
        <f t="shared" si="30"/>
        <v>Microsoft</v>
      </c>
      <c r="L169" s="4">
        <f t="shared" si="31"/>
        <v>53500</v>
      </c>
      <c r="M169" s="4">
        <f t="shared" si="32"/>
        <v>85000</v>
      </c>
      <c r="N169" t="str">
        <f>IFERROR(VLOOKUP(TRIM(G169),Справочники!$P$3:$Q$7,2,0),"Нет в справочнике")</f>
        <v>шт.</v>
      </c>
      <c r="O169" t="str">
        <f t="shared" si="33"/>
        <v>ОК</v>
      </c>
      <c r="P169" t="str">
        <f t="shared" si="34"/>
        <v>Уникальный</v>
      </c>
    </row>
    <row r="170">
      <c r="A170" s="3" t="s">
        <v>706</v>
      </c>
      <c r="B170" s="3" t="s">
        <v>707</v>
      </c>
      <c r="C170" s="3" t="s">
        <v>18</v>
      </c>
      <c r="D170" s="3" t="s">
        <v>708</v>
      </c>
      <c r="E170" s="3" t="s">
        <v>415</v>
      </c>
      <c r="F170" s="3" t="s">
        <v>709</v>
      </c>
      <c r="G170" s="3" t="s">
        <v>42</v>
      </c>
      <c r="H170" t="str">
        <f t="shared" si="28"/>
        <v>АРТ-169</v>
      </c>
      <c r="I170" t="str">
        <f t="shared" si="29"/>
        <v xml:space="preserve">Смартфон Oppo Find X6</v>
      </c>
      <c r="J170" t="str">
        <f>IFERROR(VLOOKUP(TRIM(C170),Справочники!$A$3:$B$13,2,0),"Нет в справочнике")</f>
        <v>Смартфоны</v>
      </c>
      <c r="K170" t="str">
        <f t="shared" si="30"/>
        <v>Oppo</v>
      </c>
      <c r="L170" s="4">
        <f t="shared" si="31"/>
        <v>34000</v>
      </c>
      <c r="M170" s="4">
        <f t="shared" si="32"/>
        <v>57990</v>
      </c>
      <c r="N170" t="str">
        <f>IFERROR(VLOOKUP(TRIM(G170),Справочники!$P$3:$Q$7,2,0),"Нет в справочнике")</f>
        <v>шт.</v>
      </c>
      <c r="O170" t="str">
        <f t="shared" si="33"/>
        <v>ОК</v>
      </c>
      <c r="P170" t="str">
        <f t="shared" si="34"/>
        <v>Уникальный</v>
      </c>
    </row>
    <row r="171">
      <c r="A171" s="3" t="s">
        <v>710</v>
      </c>
      <c r="B171" s="3" t="s">
        <v>711</v>
      </c>
      <c r="C171" s="3" t="s">
        <v>25</v>
      </c>
      <c r="D171" s="3" t="s">
        <v>712</v>
      </c>
      <c r="E171" s="3" t="s">
        <v>311</v>
      </c>
      <c r="F171" s="3" t="s">
        <v>419</v>
      </c>
      <c r="G171" s="3" t="s">
        <v>35</v>
      </c>
      <c r="H171" t="str">
        <f t="shared" si="28"/>
        <v>АРТ-170</v>
      </c>
      <c r="I171" t="str">
        <f t="shared" si="29"/>
        <v xml:space="preserve">Смартфон Oppo Find X6</v>
      </c>
      <c r="J171" t="str">
        <f>IFERROR(VLOOKUP(TRIM(C171),Справочники!$A$3:$B$13,2,0),"Нет в справочнике")</f>
        <v>Смартфоны</v>
      </c>
      <c r="K171" t="str">
        <f t="shared" si="30"/>
        <v>Oppo</v>
      </c>
      <c r="L171" s="4">
        <f t="shared" si="31"/>
        <v>33000</v>
      </c>
      <c r="M171" s="4">
        <f t="shared" si="32"/>
        <v>56500</v>
      </c>
      <c r="N171" t="str">
        <f>IFERROR(VLOOKUP(TRIM(G171),Справочники!$P$3:$Q$7,2,0),"Нет в справочнике")</f>
        <v>шт.</v>
      </c>
      <c r="O171" t="str">
        <f t="shared" si="33"/>
        <v>ОК</v>
      </c>
      <c r="P171" t="str">
        <f t="shared" si="34"/>
        <v>Уникальный</v>
      </c>
    </row>
    <row r="172">
      <c r="A172" s="3" t="s">
        <v>713</v>
      </c>
      <c r="B172" s="3" t="s">
        <v>714</v>
      </c>
      <c r="C172" s="3" t="s">
        <v>31</v>
      </c>
      <c r="D172" s="3" t="s">
        <v>715</v>
      </c>
      <c r="E172" s="3" t="s">
        <v>129</v>
      </c>
      <c r="F172" s="3" t="s">
        <v>609</v>
      </c>
      <c r="G172" s="3" t="s">
        <v>22</v>
      </c>
      <c r="H172" t="str">
        <f t="shared" si="28"/>
        <v>АРТ-171</v>
      </c>
      <c r="I172" t="str">
        <f t="shared" si="29"/>
        <v xml:space="preserve">Смартфон Oppo Find X6</v>
      </c>
      <c r="J172" t="str">
        <f>IFERROR(VLOOKUP(TRIM(C172),Справочники!$A$3:$B$13,2,0),"Нет в справочнике")</f>
        <v>Смартфоны</v>
      </c>
      <c r="K172" t="str">
        <f t="shared" si="30"/>
        <v>Oppo</v>
      </c>
      <c r="L172" s="4">
        <f t="shared" si="31"/>
        <v>35000</v>
      </c>
      <c r="M172" s="4">
        <f t="shared" si="32"/>
        <v>59500</v>
      </c>
      <c r="N172" t="str">
        <f>IFERROR(VLOOKUP(TRIM(G172),Справочники!$P$3:$Q$7,2,0),"Нет в справочнике")</f>
        <v>шт.</v>
      </c>
      <c r="O172" t="str">
        <f t="shared" si="33"/>
        <v>ОК</v>
      </c>
      <c r="P172" t="str">
        <f t="shared" si="34"/>
        <v>Уникальный</v>
      </c>
    </row>
    <row r="173">
      <c r="A173" s="3" t="s">
        <v>716</v>
      </c>
      <c r="B173" s="3" t="s">
        <v>717</v>
      </c>
      <c r="C173" s="3" t="s">
        <v>38</v>
      </c>
      <c r="D173" s="3" t="s">
        <v>352</v>
      </c>
      <c r="E173" s="3" t="s">
        <v>265</v>
      </c>
      <c r="F173" s="3" t="s">
        <v>718</v>
      </c>
      <c r="G173" s="3" t="s">
        <v>42</v>
      </c>
      <c r="H173" t="str">
        <f t="shared" si="28"/>
        <v>АРТ-172</v>
      </c>
      <c r="I173" t="str">
        <f t="shared" si="29"/>
        <v xml:space="preserve">Ноутбук Acer Swift 5</v>
      </c>
      <c r="J173" t="str">
        <f>IFERROR(VLOOKUP(TRIM(C173),Справочники!$A$3:$B$13,2,0),"Нет в справочнике")</f>
        <v>Ноутбуки</v>
      </c>
      <c r="K173" t="str">
        <f t="shared" si="30"/>
        <v>Acer</v>
      </c>
      <c r="L173" s="4">
        <f t="shared" si="31"/>
        <v>68000</v>
      </c>
      <c r="M173" s="4">
        <f t="shared" si="32"/>
        <v>104990</v>
      </c>
      <c r="N173" t="str">
        <f>IFERROR(VLOOKUP(TRIM(G173),Справочники!$P$3:$Q$7,2,0),"Нет в справочнике")</f>
        <v>шт.</v>
      </c>
      <c r="O173" t="str">
        <f t="shared" si="33"/>
        <v>ОК</v>
      </c>
      <c r="P173" t="str">
        <f t="shared" si="34"/>
        <v>Уникальный</v>
      </c>
    </row>
    <row r="174">
      <c r="A174" s="3" t="s">
        <v>719</v>
      </c>
      <c r="B174" s="3" t="s">
        <v>720</v>
      </c>
      <c r="C174" s="3" t="s">
        <v>45</v>
      </c>
      <c r="D174" s="3" t="s">
        <v>357</v>
      </c>
      <c r="E174" s="3" t="s">
        <v>289</v>
      </c>
      <c r="F174" s="3" t="s">
        <v>650</v>
      </c>
      <c r="G174" s="3" t="s">
        <v>28</v>
      </c>
      <c r="H174" t="str">
        <f t="shared" si="28"/>
        <v>АРТ-173</v>
      </c>
      <c r="I174" t="str">
        <f t="shared" si="29"/>
        <v xml:space="preserve">Ноутбук Acer Swift 5</v>
      </c>
      <c r="J174" t="str">
        <f>IFERROR(VLOOKUP(TRIM(C174),Справочники!$A$3:$B$13,2,0),"Нет в справочнике")</f>
        <v>Ноутбуки</v>
      </c>
      <c r="K174" t="str">
        <f t="shared" si="30"/>
        <v>Acer</v>
      </c>
      <c r="L174" s="4">
        <f t="shared" si="31"/>
        <v>66000</v>
      </c>
      <c r="M174" s="4">
        <f t="shared" si="32"/>
        <v>102000</v>
      </c>
      <c r="N174" t="str">
        <f>IFERROR(VLOOKUP(TRIM(G174),Справочники!$P$3:$Q$7,2,0),"Нет в справочнике")</f>
        <v>шт.</v>
      </c>
      <c r="O174" t="str">
        <f t="shared" si="33"/>
        <v>ОК</v>
      </c>
      <c r="P174" t="str">
        <f t="shared" si="34"/>
        <v>Уникальный</v>
      </c>
    </row>
    <row r="175">
      <c r="A175" s="3" t="s">
        <v>721</v>
      </c>
      <c r="B175" s="3" t="s">
        <v>722</v>
      </c>
      <c r="C175" s="3" t="s">
        <v>38</v>
      </c>
      <c r="D175" s="3" t="s">
        <v>362</v>
      </c>
      <c r="E175" s="3" t="s">
        <v>293</v>
      </c>
      <c r="F175" s="3" t="s">
        <v>407</v>
      </c>
      <c r="G175" s="3" t="s">
        <v>22</v>
      </c>
      <c r="H175" t="str">
        <f t="shared" si="28"/>
        <v>АРТ-174</v>
      </c>
      <c r="I175" t="str">
        <f t="shared" si="29"/>
        <v xml:space="preserve">Ноутбук Acer Swift 5</v>
      </c>
      <c r="J175" t="str">
        <f>IFERROR(VLOOKUP(TRIM(C175),Справочники!$A$3:$B$13,2,0),"Нет в справочнике")</f>
        <v>Ноутбуки</v>
      </c>
      <c r="K175" t="str">
        <f t="shared" si="30"/>
        <v>Acer</v>
      </c>
      <c r="L175" s="4">
        <f t="shared" si="31"/>
        <v>69500</v>
      </c>
      <c r="M175" s="4">
        <f t="shared" si="32"/>
        <v>107500</v>
      </c>
      <c r="N175" t="str">
        <f>IFERROR(VLOOKUP(TRIM(G175),Справочники!$P$3:$Q$7,2,0),"Нет в справочнике")</f>
        <v>шт.</v>
      </c>
      <c r="O175" t="str">
        <f t="shared" si="33"/>
        <v>ОК</v>
      </c>
      <c r="P175" t="str">
        <f t="shared" si="34"/>
        <v>Уникальный</v>
      </c>
    </row>
    <row r="176">
      <c r="A176" s="3" t="s">
        <v>723</v>
      </c>
      <c r="B176" s="3" t="s">
        <v>724</v>
      </c>
      <c r="C176" s="3" t="s">
        <v>83</v>
      </c>
      <c r="D176" s="3" t="s">
        <v>725</v>
      </c>
      <c r="E176" s="3" t="s">
        <v>144</v>
      </c>
      <c r="F176" s="3" t="s">
        <v>726</v>
      </c>
      <c r="G176" s="3" t="s">
        <v>42</v>
      </c>
      <c r="H176" t="str">
        <f t="shared" si="28"/>
        <v>АРТ-175</v>
      </c>
      <c r="I176" t="str">
        <f t="shared" si="29"/>
        <v xml:space="preserve">Телевизор Vizio M-Series 65</v>
      </c>
      <c r="J176" t="str">
        <f>IFERROR(VLOOKUP(TRIM(C176),Справочники!$A$3:$B$13,2,0),"Нет в справочнике")</f>
        <v>Телевизоры</v>
      </c>
      <c r="K176" t="str">
        <f t="shared" si="30"/>
        <v>Vizio</v>
      </c>
      <c r="L176" s="4">
        <f t="shared" si="31"/>
        <v>65000</v>
      </c>
      <c r="M176" s="4">
        <f t="shared" si="32"/>
        <v>99990</v>
      </c>
      <c r="N176" t="str">
        <f>IFERROR(VLOOKUP(TRIM(G176),Справочники!$P$3:$Q$7,2,0),"Нет в справочнике")</f>
        <v>шт.</v>
      </c>
      <c r="O176" t="str">
        <f t="shared" si="33"/>
        <v>ОК</v>
      </c>
      <c r="P176" t="str">
        <f t="shared" si="34"/>
        <v>Уникальный</v>
      </c>
    </row>
    <row r="177">
      <c r="A177" s="3" t="s">
        <v>727</v>
      </c>
      <c r="B177" s="3" t="s">
        <v>728</v>
      </c>
      <c r="C177" s="3" t="s">
        <v>83</v>
      </c>
      <c r="D177" s="3" t="s">
        <v>729</v>
      </c>
      <c r="E177" s="3" t="s">
        <v>730</v>
      </c>
      <c r="F177" s="3" t="s">
        <v>440</v>
      </c>
      <c r="G177" s="3" t="s">
        <v>35</v>
      </c>
      <c r="H177" t="str">
        <f t="shared" si="28"/>
        <v>АРТ-176</v>
      </c>
      <c r="I177" t="str">
        <f t="shared" si="29"/>
        <v xml:space="preserve">Телевизор Vizio M-Series 65</v>
      </c>
      <c r="J177" t="str">
        <f>IFERROR(VLOOKUP(TRIM(C177),Справочники!$A$3:$B$13,2,0),"Нет в справочнике")</f>
        <v>Телевизоры</v>
      </c>
      <c r="K177" t="str">
        <f t="shared" si="30"/>
        <v>Vizio</v>
      </c>
      <c r="L177" s="4">
        <f t="shared" si="31"/>
        <v>63000</v>
      </c>
      <c r="M177" s="4">
        <f t="shared" si="32"/>
        <v>97000</v>
      </c>
      <c r="N177" t="str">
        <f>IFERROR(VLOOKUP(TRIM(G177),Справочники!$P$3:$Q$7,2,0),"Нет в справочнике")</f>
        <v>шт.</v>
      </c>
      <c r="O177" t="str">
        <f t="shared" si="33"/>
        <v>ОК</v>
      </c>
      <c r="P177" t="str">
        <f t="shared" si="34"/>
        <v>Уникальный</v>
      </c>
    </row>
    <row r="178">
      <c r="A178" s="3" t="s">
        <v>731</v>
      </c>
      <c r="B178" s="3" t="s">
        <v>732</v>
      </c>
      <c r="C178" s="3" t="s">
        <v>83</v>
      </c>
      <c r="D178" s="3" t="s">
        <v>733</v>
      </c>
      <c r="E178" s="3" t="s">
        <v>153</v>
      </c>
      <c r="F178" s="3" t="s">
        <v>734</v>
      </c>
      <c r="G178" s="3" t="s">
        <v>22</v>
      </c>
      <c r="H178" t="str">
        <f t="shared" si="28"/>
        <v>АРТ-177</v>
      </c>
      <c r="I178" t="str">
        <f t="shared" si="29"/>
        <v xml:space="preserve">Телевизор Vizio M-Series 65</v>
      </c>
      <c r="J178" t="str">
        <f>IFERROR(VLOOKUP(TRIM(C178),Справочники!$A$3:$B$13,2,0),"Нет в справочнике")</f>
        <v>Телевизоры</v>
      </c>
      <c r="K178" t="str">
        <f t="shared" si="30"/>
        <v>Vizio</v>
      </c>
      <c r="L178" s="4">
        <f t="shared" si="31"/>
        <v>66500</v>
      </c>
      <c r="M178" s="4">
        <f t="shared" si="32"/>
        <v>102500</v>
      </c>
      <c r="N178" t="str">
        <f>IFERROR(VLOOKUP(TRIM(G178),Справочники!$P$3:$Q$7,2,0),"Нет в справочнике")</f>
        <v>шт.</v>
      </c>
      <c r="O178" t="str">
        <f t="shared" si="33"/>
        <v>ОК</v>
      </c>
      <c r="P178" t="str">
        <f t="shared" si="34"/>
        <v>Уникальный</v>
      </c>
    </row>
    <row r="179">
      <c r="A179" s="3" t="s">
        <v>735</v>
      </c>
      <c r="B179" s="3" t="s">
        <v>736</v>
      </c>
      <c r="C179" s="3" t="s">
        <v>98</v>
      </c>
      <c r="D179" s="3" t="s">
        <v>737</v>
      </c>
      <c r="E179" s="3" t="s">
        <v>738</v>
      </c>
      <c r="F179" s="3" t="s">
        <v>739</v>
      </c>
      <c r="G179" s="3" t="s">
        <v>42</v>
      </c>
      <c r="H179" t="str">
        <f t="shared" si="28"/>
        <v>АРТ-178</v>
      </c>
      <c r="I179" t="str">
        <f t="shared" si="29"/>
        <v xml:space="preserve">Наушники Jabra Elite 85H</v>
      </c>
      <c r="J179" t="str">
        <f>IFERROR(VLOOKUP(TRIM(C179),Справочники!$A$3:$B$13,2,0),"Нет в справочнике")</f>
        <v>Наушники</v>
      </c>
      <c r="K179" t="str">
        <f t="shared" si="30"/>
        <v>Jabra</v>
      </c>
      <c r="L179" s="4">
        <f t="shared" si="31"/>
        <v>8000</v>
      </c>
      <c r="M179" s="4">
        <f t="shared" si="32"/>
        <v>13990</v>
      </c>
      <c r="N179" t="str">
        <f>IFERROR(VLOOKUP(TRIM(G179),Справочники!$P$3:$Q$7,2,0),"Нет в справочнике")</f>
        <v>шт.</v>
      </c>
      <c r="O179" t="str">
        <f t="shared" si="33"/>
        <v>ОК</v>
      </c>
      <c r="P179" t="str">
        <f t="shared" si="34"/>
        <v>Уникальный</v>
      </c>
    </row>
    <row r="180">
      <c r="A180" s="3" t="s">
        <v>740</v>
      </c>
      <c r="B180" s="3" t="s">
        <v>741</v>
      </c>
      <c r="C180" s="3" t="s">
        <v>98</v>
      </c>
      <c r="D180" s="3" t="s">
        <v>742</v>
      </c>
      <c r="E180" s="3" t="s">
        <v>366</v>
      </c>
      <c r="F180" s="3" t="s">
        <v>743</v>
      </c>
      <c r="G180" s="3" t="s">
        <v>28</v>
      </c>
      <c r="H180" t="str">
        <f t="shared" si="28"/>
        <v>АРТ-179</v>
      </c>
      <c r="I180" t="str">
        <f t="shared" si="29"/>
        <v xml:space="preserve">Наушники Jabra Elite 85H</v>
      </c>
      <c r="J180" t="str">
        <f>IFERROR(VLOOKUP(TRIM(C180),Справочники!$A$3:$B$13,2,0),"Нет в справочнике")</f>
        <v>Наушники</v>
      </c>
      <c r="K180" t="str">
        <f t="shared" si="30"/>
        <v>Jabra</v>
      </c>
      <c r="L180" s="4">
        <f t="shared" si="31"/>
        <v>7500</v>
      </c>
      <c r="M180" s="4">
        <f t="shared" si="32"/>
        <v>13000</v>
      </c>
      <c r="N180" t="str">
        <f>IFERROR(VLOOKUP(TRIM(G180),Справочники!$P$3:$Q$7,2,0),"Нет в справочнике")</f>
        <v>шт.</v>
      </c>
      <c r="O180" t="str">
        <f t="shared" si="33"/>
        <v>ОК</v>
      </c>
      <c r="P180" t="str">
        <f t="shared" si="34"/>
        <v>Уникальный</v>
      </c>
    </row>
    <row r="181">
      <c r="A181" s="3" t="s">
        <v>744</v>
      </c>
      <c r="B181" s="3" t="s">
        <v>745</v>
      </c>
      <c r="C181" s="3" t="s">
        <v>98</v>
      </c>
      <c r="D181" s="3" t="s">
        <v>746</v>
      </c>
      <c r="E181" s="3" t="s">
        <v>178</v>
      </c>
      <c r="F181" s="3" t="s">
        <v>747</v>
      </c>
      <c r="G181" s="3" t="s">
        <v>22</v>
      </c>
      <c r="H181" t="str">
        <f t="shared" si="28"/>
        <v>АРТ-180</v>
      </c>
      <c r="I181" t="str">
        <f t="shared" si="29"/>
        <v xml:space="preserve">Наушники Jabra Elite 85H</v>
      </c>
      <c r="J181" t="str">
        <f>IFERROR(VLOOKUP(TRIM(C181),Справочники!$A$3:$B$13,2,0),"Нет в справочнике")</f>
        <v>Наушники</v>
      </c>
      <c r="K181" t="str">
        <f t="shared" si="30"/>
        <v>Jabra</v>
      </c>
      <c r="L181" s="4">
        <f t="shared" si="31"/>
        <v>8500</v>
      </c>
      <c r="M181" s="4">
        <f t="shared" si="32"/>
        <v>14800</v>
      </c>
      <c r="N181" t="str">
        <f>IFERROR(VLOOKUP(TRIM(G181),Справочники!$P$3:$Q$7,2,0),"Нет в справочнике")</f>
        <v>шт.</v>
      </c>
      <c r="O181" t="str">
        <f t="shared" si="33"/>
        <v>ОК</v>
      </c>
      <c r="P181" t="str">
        <f t="shared" si="34"/>
        <v>Уникальный</v>
      </c>
    </row>
    <row r="182">
      <c r="A182" s="3" t="s">
        <v>748</v>
      </c>
      <c r="B182" s="3" t="s">
        <v>749</v>
      </c>
      <c r="C182" s="3" t="s">
        <v>143</v>
      </c>
      <c r="D182" s="3" t="s">
        <v>750</v>
      </c>
      <c r="E182" s="3" t="s">
        <v>546</v>
      </c>
      <c r="F182" s="3" t="s">
        <v>547</v>
      </c>
      <c r="G182" s="3" t="s">
        <v>42</v>
      </c>
      <c r="H182" t="str">
        <f t="shared" si="28"/>
        <v>АРТ-181</v>
      </c>
      <c r="I182" t="str">
        <f t="shared" si="29"/>
        <v xml:space="preserve">Монитор Eizo Coloredge Cs2740</v>
      </c>
      <c r="J182" t="str">
        <f>IFERROR(VLOOKUP(TRIM(C182),Справочники!$A$3:$B$13,2,0),"Нет в справочнике")</f>
        <v>Мониторы</v>
      </c>
      <c r="K182" t="str">
        <f t="shared" si="30"/>
        <v>Eizo</v>
      </c>
      <c r="L182" s="4">
        <f t="shared" si="31"/>
        <v>110000</v>
      </c>
      <c r="M182" s="4">
        <f t="shared" si="32"/>
        <v>169990</v>
      </c>
      <c r="N182" t="str">
        <f>IFERROR(VLOOKUP(TRIM(G182),Справочники!$P$3:$Q$7,2,0),"Нет в справочнике")</f>
        <v>шт.</v>
      </c>
      <c r="O182" t="str">
        <f t="shared" si="33"/>
        <v>ОК</v>
      </c>
      <c r="P182" t="str">
        <f t="shared" si="34"/>
        <v>Уникальный</v>
      </c>
    </row>
    <row r="183">
      <c r="A183" s="3" t="s">
        <v>751</v>
      </c>
      <c r="B183" s="3" t="s">
        <v>752</v>
      </c>
      <c r="C183" s="3" t="s">
        <v>143</v>
      </c>
      <c r="D183" s="3" t="s">
        <v>753</v>
      </c>
      <c r="E183" s="3" t="s">
        <v>550</v>
      </c>
      <c r="F183" s="3" t="s">
        <v>551</v>
      </c>
      <c r="G183" s="3" t="s">
        <v>35</v>
      </c>
      <c r="H183" t="str">
        <f t="shared" si="28"/>
        <v>АРТ-182</v>
      </c>
      <c r="I183" t="str">
        <f t="shared" si="29"/>
        <v xml:space="preserve">Монитор Eizo Coloredge Cs2740</v>
      </c>
      <c r="J183" t="str">
        <f>IFERROR(VLOOKUP(TRIM(C183),Справочники!$A$3:$B$13,2,0),"Нет в справочнике")</f>
        <v>Мониторы</v>
      </c>
      <c r="K183" t="str">
        <f t="shared" si="30"/>
        <v>Eizo</v>
      </c>
      <c r="L183" s="4">
        <f t="shared" si="31"/>
        <v>108000</v>
      </c>
      <c r="M183" s="4">
        <f t="shared" si="32"/>
        <v>166500</v>
      </c>
      <c r="N183" t="str">
        <f>IFERROR(VLOOKUP(TRIM(G183),Справочники!$P$3:$Q$7,2,0),"Нет в справочнике")</f>
        <v>шт.</v>
      </c>
      <c r="O183" t="str">
        <f t="shared" si="33"/>
        <v>ОК</v>
      </c>
      <c r="P183" t="str">
        <f t="shared" si="34"/>
        <v>Уникальный</v>
      </c>
    </row>
    <row r="184">
      <c r="A184" s="3" t="s">
        <v>754</v>
      </c>
      <c r="B184" s="3" t="s">
        <v>755</v>
      </c>
      <c r="C184" s="3" t="s">
        <v>143</v>
      </c>
      <c r="D184" s="3" t="s">
        <v>756</v>
      </c>
      <c r="E184" s="3" t="s">
        <v>334</v>
      </c>
      <c r="F184" s="3" t="s">
        <v>554</v>
      </c>
      <c r="G184" s="3" t="s">
        <v>22</v>
      </c>
      <c r="H184" t="str">
        <f t="shared" si="28"/>
        <v>АРТ-183</v>
      </c>
      <c r="I184" t="str">
        <f t="shared" si="29"/>
        <v xml:space="preserve">Монитор Eizo Coloredge Cs2740</v>
      </c>
      <c r="J184" t="str">
        <f>IFERROR(VLOOKUP(TRIM(C184),Справочники!$A$3:$B$13,2,0),"Нет в справочнике")</f>
        <v>Мониторы</v>
      </c>
      <c r="K184" t="str">
        <f t="shared" si="30"/>
        <v>Eizo</v>
      </c>
      <c r="L184" s="4">
        <f t="shared" si="31"/>
        <v>112000</v>
      </c>
      <c r="M184" s="4">
        <f t="shared" si="32"/>
        <v>173000</v>
      </c>
      <c r="N184" t="str">
        <f>IFERROR(VLOOKUP(TRIM(G184),Справочники!$P$3:$Q$7,2,0),"Нет в справочнике")</f>
        <v>шт.</v>
      </c>
      <c r="O184" t="str">
        <f t="shared" si="33"/>
        <v>ОК</v>
      </c>
      <c r="P184" t="str">
        <f t="shared" si="34"/>
        <v>Уникальный</v>
      </c>
    </row>
    <row r="185">
      <c r="A185" s="3" t="s">
        <v>757</v>
      </c>
      <c r="B185" s="3" t="s">
        <v>758</v>
      </c>
      <c r="C185" s="3" t="s">
        <v>157</v>
      </c>
      <c r="D185" s="3" t="s">
        <v>224</v>
      </c>
      <c r="E185" s="3" t="s">
        <v>338</v>
      </c>
      <c r="F185" s="3" t="s">
        <v>339</v>
      </c>
      <c r="G185" s="3" t="s">
        <v>42</v>
      </c>
      <c r="H185" t="str">
        <f t="shared" si="28"/>
        <v>АРТ-184</v>
      </c>
      <c r="I185" t="str">
        <f t="shared" si="29"/>
        <v xml:space="preserve">Колонка Sony Srs-Xg300</v>
      </c>
      <c r="J185" t="str">
        <f>IFERROR(VLOOKUP(TRIM(C185),Справочники!$A$3:$B$13,2,0),"Нет в справочнике")</f>
        <v>Аксессуары</v>
      </c>
      <c r="K185" t="str">
        <f t="shared" si="30"/>
        <v>Sony</v>
      </c>
      <c r="L185" s="4">
        <f t="shared" si="31"/>
        <v>12000</v>
      </c>
      <c r="M185" s="4">
        <f t="shared" si="32"/>
        <v>19990</v>
      </c>
      <c r="N185" t="str">
        <f>IFERROR(VLOOKUP(TRIM(G185),Справочники!$P$3:$Q$7,2,0),"Нет в справочнике")</f>
        <v>шт.</v>
      </c>
      <c r="O185" t="str">
        <f t="shared" si="33"/>
        <v>ОК</v>
      </c>
      <c r="P185" t="str">
        <f t="shared" si="34"/>
        <v>Уникальный</v>
      </c>
    </row>
    <row r="186">
      <c r="A186" s="3" t="s">
        <v>759</v>
      </c>
      <c r="B186" s="3" t="s">
        <v>760</v>
      </c>
      <c r="C186" s="3" t="s">
        <v>157</v>
      </c>
      <c r="D186" s="3" t="s">
        <v>104</v>
      </c>
      <c r="E186" s="3" t="s">
        <v>343</v>
      </c>
      <c r="F186" s="3" t="s">
        <v>344</v>
      </c>
      <c r="G186" s="3" t="s">
        <v>28</v>
      </c>
      <c r="H186" t="str">
        <f t="shared" si="28"/>
        <v>АРТ-185</v>
      </c>
      <c r="I186" t="str">
        <f t="shared" si="29"/>
        <v xml:space="preserve">Колонка Sony Srs-Xg300</v>
      </c>
      <c r="J186" t="str">
        <f>IFERROR(VLOOKUP(TRIM(C186),Справочники!$A$3:$B$13,2,0),"Нет в справочнике")</f>
        <v>Аксессуары</v>
      </c>
      <c r="K186" t="str">
        <f t="shared" si="30"/>
        <v>Sony</v>
      </c>
      <c r="L186" s="4">
        <f t="shared" si="31"/>
        <v>11500</v>
      </c>
      <c r="M186" s="4">
        <f t="shared" si="32"/>
        <v>19000</v>
      </c>
      <c r="N186" t="str">
        <f>IFERROR(VLOOKUP(TRIM(G186),Справочники!$P$3:$Q$7,2,0),"Нет в справочнике")</f>
        <v>шт.</v>
      </c>
      <c r="O186" t="str">
        <f t="shared" si="33"/>
        <v>ОК</v>
      </c>
      <c r="P186" t="str">
        <f t="shared" si="34"/>
        <v>Уникальный</v>
      </c>
    </row>
    <row r="187">
      <c r="A187" s="3" t="s">
        <v>761</v>
      </c>
      <c r="B187" s="3" t="s">
        <v>762</v>
      </c>
      <c r="C187" s="3" t="s">
        <v>157</v>
      </c>
      <c r="D187" s="3" t="s">
        <v>99</v>
      </c>
      <c r="E187" s="3" t="s">
        <v>348</v>
      </c>
      <c r="F187" s="3" t="s">
        <v>349</v>
      </c>
      <c r="G187" s="3" t="s">
        <v>22</v>
      </c>
      <c r="H187" t="str">
        <f t="shared" si="28"/>
        <v>АРТ-186</v>
      </c>
      <c r="I187" t="str">
        <f t="shared" si="29"/>
        <v xml:space="preserve">Колонка Sony Srs-Xg300</v>
      </c>
      <c r="J187" t="str">
        <f>IFERROR(VLOOKUP(TRIM(C187),Справочники!$A$3:$B$13,2,0),"Нет в справочнике")</f>
        <v>Аксессуары</v>
      </c>
      <c r="K187" t="str">
        <f t="shared" si="30"/>
        <v>Sony</v>
      </c>
      <c r="L187" s="4">
        <f t="shared" si="31"/>
        <v>12500</v>
      </c>
      <c r="M187" s="4">
        <f t="shared" si="32"/>
        <v>20800</v>
      </c>
      <c r="N187" t="str">
        <f>IFERROR(VLOOKUP(TRIM(G187),Справочники!$P$3:$Q$7,2,0),"Нет в справочнике")</f>
        <v>шт.</v>
      </c>
      <c r="O187" t="str">
        <f t="shared" si="33"/>
        <v>ОК</v>
      </c>
      <c r="P187" t="str">
        <f t="shared" si="34"/>
        <v>Уникальный</v>
      </c>
    </row>
    <row r="188">
      <c r="A188" s="3" t="s">
        <v>763</v>
      </c>
      <c r="B188" s="3" t="s">
        <v>764</v>
      </c>
      <c r="C188" s="3" t="s">
        <v>199</v>
      </c>
      <c r="D188" s="3" t="s">
        <v>19</v>
      </c>
      <c r="E188" s="3" t="s">
        <v>558</v>
      </c>
      <c r="F188" s="3" t="s">
        <v>765</v>
      </c>
      <c r="G188" s="3" t="s">
        <v>42</v>
      </c>
      <c r="H188" t="str">
        <f t="shared" si="28"/>
        <v>АРТ-187</v>
      </c>
      <c r="I188" t="str">
        <f t="shared" si="29"/>
        <v xml:space="preserve">Смарт-Часы Apple Watch Series 9</v>
      </c>
      <c r="J188" t="str">
        <f>IFERROR(VLOOKUP(TRIM(C188),Справочники!$A$3:$B$13,2,0),"Нет в справочнике")</f>
        <v>Часы</v>
      </c>
      <c r="K188" t="str">
        <f t="shared" si="30"/>
        <v>Apple</v>
      </c>
      <c r="L188" s="4">
        <f t="shared" si="31"/>
        <v>30000</v>
      </c>
      <c r="M188" s="4">
        <f t="shared" si="32"/>
        <v>49990</v>
      </c>
      <c r="N188" t="str">
        <f>IFERROR(VLOOKUP(TRIM(G188),Справочники!$P$3:$Q$7,2,0),"Нет в справочнике")</f>
        <v>шт.</v>
      </c>
      <c r="O188" t="str">
        <f t="shared" si="33"/>
        <v>ОК</v>
      </c>
      <c r="P188" t="str">
        <f t="shared" si="34"/>
        <v>Уникальный</v>
      </c>
    </row>
    <row r="189">
      <c r="A189" s="3" t="s">
        <v>766</v>
      </c>
      <c r="B189" s="3" t="s">
        <v>767</v>
      </c>
      <c r="C189" s="3" t="s">
        <v>199</v>
      </c>
      <c r="D189" s="3" t="s">
        <v>74</v>
      </c>
      <c r="E189" s="3" t="s">
        <v>387</v>
      </c>
      <c r="F189" s="3" t="s">
        <v>768</v>
      </c>
      <c r="G189" s="3" t="s">
        <v>35</v>
      </c>
      <c r="H189" t="str">
        <f t="shared" si="28"/>
        <v>АРТ-188</v>
      </c>
      <c r="I189" t="str">
        <f t="shared" si="29"/>
        <v xml:space="preserve">Смарт-Часы Apple Watch Series 9</v>
      </c>
      <c r="J189" t="str">
        <f>IFERROR(VLOOKUP(TRIM(C189),Справочники!$A$3:$B$13,2,0),"Нет в справочнике")</f>
        <v>Часы</v>
      </c>
      <c r="K189" t="str">
        <f t="shared" si="30"/>
        <v>Apple</v>
      </c>
      <c r="L189" s="4">
        <f t="shared" si="31"/>
        <v>29000</v>
      </c>
      <c r="M189" s="4">
        <f t="shared" si="32"/>
        <v>48500</v>
      </c>
      <c r="N189" t="str">
        <f>IFERROR(VLOOKUP(TRIM(G189),Справочники!$P$3:$Q$7,2,0),"Нет в справочнике")</f>
        <v>шт.</v>
      </c>
      <c r="O189" t="str">
        <f t="shared" si="33"/>
        <v>ОК</v>
      </c>
      <c r="P189" t="str">
        <f t="shared" si="34"/>
        <v>Уникальный</v>
      </c>
    </row>
    <row r="190">
      <c r="A190" s="3" t="s">
        <v>769</v>
      </c>
      <c r="B190" s="3" t="s">
        <v>770</v>
      </c>
      <c r="C190" s="3" t="s">
        <v>199</v>
      </c>
      <c r="D190" s="3" t="s">
        <v>32</v>
      </c>
      <c r="E190" s="3" t="s">
        <v>566</v>
      </c>
      <c r="F190" s="3" t="s">
        <v>771</v>
      </c>
      <c r="G190" s="3" t="s">
        <v>22</v>
      </c>
      <c r="H190" t="str">
        <f t="shared" si="28"/>
        <v>АРТ-189</v>
      </c>
      <c r="I190" t="str">
        <f t="shared" si="29"/>
        <v xml:space="preserve">Смарт-Часы Apple Watch Series 9</v>
      </c>
      <c r="J190" t="str">
        <f>IFERROR(VLOOKUP(TRIM(C190),Справочники!$A$3:$B$13,2,0),"Нет в справочнике")</f>
        <v>Часы</v>
      </c>
      <c r="K190" t="str">
        <f t="shared" si="30"/>
        <v>Apple</v>
      </c>
      <c r="L190" s="4">
        <f t="shared" si="31"/>
        <v>31000</v>
      </c>
      <c r="M190" s="4">
        <f t="shared" si="32"/>
        <v>51500</v>
      </c>
      <c r="N190" t="str">
        <f>IFERROR(VLOOKUP(TRIM(G190),Справочники!$P$3:$Q$7,2,0),"Нет в справочнике")</f>
        <v>шт.</v>
      </c>
      <c r="O190" t="str">
        <f t="shared" si="33"/>
        <v>ОК</v>
      </c>
      <c r="P190" t="str">
        <f t="shared" si="34"/>
        <v>Уникальный</v>
      </c>
    </row>
    <row r="191">
      <c r="A191" s="3" t="s">
        <v>772</v>
      </c>
      <c r="B191" s="3" t="s">
        <v>773</v>
      </c>
      <c r="C191" s="3" t="s">
        <v>69</v>
      </c>
      <c r="D191" s="3" t="s">
        <v>774</v>
      </c>
      <c r="E191" s="3" t="s">
        <v>236</v>
      </c>
      <c r="F191" s="3" t="s">
        <v>237</v>
      </c>
      <c r="G191" s="3" t="s">
        <v>42</v>
      </c>
      <c r="H191" t="str">
        <f t="shared" si="28"/>
        <v>АРТ-190</v>
      </c>
      <c r="I191" t="str">
        <f t="shared" si="29"/>
        <v xml:space="preserve">Планшет Amazon Fire Hd 10</v>
      </c>
      <c r="J191" t="str">
        <f>IFERROR(VLOOKUP(TRIM(C191),Справочники!$A$3:$B$13,2,0),"Нет в справочнике")</f>
        <v>Планшеты</v>
      </c>
      <c r="K191" t="str">
        <f t="shared" si="30"/>
        <v>Amazon</v>
      </c>
      <c r="L191" s="4">
        <f t="shared" si="31"/>
        <v>15000</v>
      </c>
      <c r="M191" s="4">
        <f t="shared" si="32"/>
        <v>24990</v>
      </c>
      <c r="N191" t="str">
        <f>IFERROR(VLOOKUP(TRIM(G191),Справочники!$P$3:$Q$7,2,0),"Нет в справочнике")</f>
        <v>шт.</v>
      </c>
      <c r="O191" t="str">
        <f t="shared" si="33"/>
        <v>ОК</v>
      </c>
      <c r="P191" t="str">
        <f t="shared" si="34"/>
        <v>Уникальный</v>
      </c>
    </row>
    <row r="192">
      <c r="A192" s="3" t="s">
        <v>775</v>
      </c>
      <c r="B192" s="3" t="s">
        <v>776</v>
      </c>
      <c r="C192" s="3" t="s">
        <v>69</v>
      </c>
      <c r="D192" s="3" t="s">
        <v>777</v>
      </c>
      <c r="E192" s="3" t="s">
        <v>591</v>
      </c>
      <c r="F192" s="3" t="s">
        <v>778</v>
      </c>
      <c r="G192" s="3" t="s">
        <v>28</v>
      </c>
      <c r="H192" t="str">
        <f t="shared" si="28"/>
        <v>АРТ-191</v>
      </c>
      <c r="I192" t="str">
        <f t="shared" si="29"/>
        <v xml:space="preserve">Планшет Amazon Fire Hd 10</v>
      </c>
      <c r="J192" t="str">
        <f>IFERROR(VLOOKUP(TRIM(C192),Справочники!$A$3:$B$13,2,0),"Нет в справочнике")</f>
        <v>Планшеты</v>
      </c>
      <c r="K192" t="str">
        <f t="shared" si="30"/>
        <v>Amazon</v>
      </c>
      <c r="L192" s="4">
        <f t="shared" si="31"/>
        <v>14000</v>
      </c>
      <c r="M192" s="4">
        <f t="shared" si="32"/>
        <v>23500</v>
      </c>
      <c r="N192" t="str">
        <f>IFERROR(VLOOKUP(TRIM(G192),Справочники!$P$3:$Q$7,2,0),"Нет в справочнике")</f>
        <v>шт.</v>
      </c>
      <c r="O192" t="str">
        <f t="shared" si="33"/>
        <v>ОК</v>
      </c>
      <c r="P192" t="str">
        <f t="shared" si="34"/>
        <v>Уникальный</v>
      </c>
    </row>
    <row r="193">
      <c r="A193" s="3" t="s">
        <v>779</v>
      </c>
      <c r="B193" s="3" t="s">
        <v>780</v>
      </c>
      <c r="C193" s="3" t="s">
        <v>69</v>
      </c>
      <c r="D193" s="3" t="s">
        <v>781</v>
      </c>
      <c r="E193" s="3" t="s">
        <v>660</v>
      </c>
      <c r="F193" s="3" t="s">
        <v>782</v>
      </c>
      <c r="G193" s="3" t="s">
        <v>22</v>
      </c>
      <c r="H193" t="str">
        <f t="shared" si="28"/>
        <v>АРТ-192</v>
      </c>
      <c r="I193" t="str">
        <f t="shared" si="29"/>
        <v xml:space="preserve">Планшет Amazon Fire Hd 10</v>
      </c>
      <c r="J193" t="str">
        <f>IFERROR(VLOOKUP(TRIM(C193),Справочники!$A$3:$B$13,2,0),"Нет в справочнике")</f>
        <v>Планшеты</v>
      </c>
      <c r="K193" t="str">
        <f t="shared" si="30"/>
        <v>Amazon</v>
      </c>
      <c r="L193" s="4">
        <f t="shared" si="31"/>
        <v>16000</v>
      </c>
      <c r="M193" s="4">
        <f t="shared" si="32"/>
        <v>26500</v>
      </c>
      <c r="N193" t="str">
        <f>IFERROR(VLOOKUP(TRIM(G193),Справочники!$P$3:$Q$7,2,0),"Нет в справочнике")</f>
        <v>шт.</v>
      </c>
      <c r="O193" t="str">
        <f t="shared" si="33"/>
        <v>ОК</v>
      </c>
      <c r="P193" t="str">
        <f t="shared" si="34"/>
        <v>Уникальный</v>
      </c>
    </row>
    <row r="194">
      <c r="A194" s="3" t="s">
        <v>783</v>
      </c>
      <c r="B194" s="3" t="s">
        <v>784</v>
      </c>
      <c r="C194" s="3" t="s">
        <v>38</v>
      </c>
      <c r="D194" s="3" t="s">
        <v>785</v>
      </c>
      <c r="E194" s="3" t="s">
        <v>40</v>
      </c>
      <c r="F194" s="3" t="s">
        <v>786</v>
      </c>
      <c r="G194" s="3" t="s">
        <v>42</v>
      </c>
      <c r="H194" t="str">
        <f t="shared" si="28"/>
        <v>АРТ-193</v>
      </c>
      <c r="I194" t="str">
        <f t="shared" si="29"/>
        <v xml:space="preserve">Ноутбук Framework Laptop 13</v>
      </c>
      <c r="J194" t="str">
        <f>IFERROR(VLOOKUP(TRIM(C194),Справочники!$A$3:$B$13,2,0),"Нет в справочнике")</f>
        <v>Ноутбуки</v>
      </c>
      <c r="K194" t="str">
        <f t="shared" si="30"/>
        <v>Framework</v>
      </c>
      <c r="L194" s="4">
        <f t="shared" si="31"/>
        <v>85000</v>
      </c>
      <c r="M194" s="4">
        <f t="shared" si="32"/>
        <v>129990</v>
      </c>
      <c r="N194" t="str">
        <f>IFERROR(VLOOKUP(TRIM(G194),Справочники!$P$3:$Q$7,2,0),"Нет в справочнике")</f>
        <v>шт.</v>
      </c>
      <c r="O194" t="str">
        <f t="shared" si="33"/>
        <v>ОК</v>
      </c>
      <c r="P194" t="str">
        <f t="shared" si="34"/>
        <v>Уникальный</v>
      </c>
    </row>
    <row r="195">
      <c r="A195" s="3" t="s">
        <v>787</v>
      </c>
      <c r="B195" s="3" t="s">
        <v>788</v>
      </c>
      <c r="C195" s="3" t="s">
        <v>45</v>
      </c>
      <c r="D195" s="3" t="s">
        <v>789</v>
      </c>
      <c r="E195" s="3" t="s">
        <v>790</v>
      </c>
      <c r="F195" s="3" t="s">
        <v>307</v>
      </c>
      <c r="G195" s="3" t="s">
        <v>35</v>
      </c>
      <c r="H195" t="str">
        <f t="shared" si="28"/>
        <v>АРТ-194</v>
      </c>
      <c r="I195" t="str">
        <f t="shared" si="29"/>
        <v xml:space="preserve">Ноутбук Framework Laptop 13</v>
      </c>
      <c r="J195" t="str">
        <f>IFERROR(VLOOKUP(TRIM(C195),Справочники!$A$3:$B$13,2,0),"Нет в справочнике")</f>
        <v>Ноутбуки</v>
      </c>
      <c r="K195" t="str">
        <f t="shared" si="30"/>
        <v>Framework</v>
      </c>
      <c r="L195" s="4">
        <f t="shared" si="31"/>
        <v>83000</v>
      </c>
      <c r="M195" s="4">
        <f t="shared" si="32"/>
        <v>127000</v>
      </c>
      <c r="N195" t="str">
        <f>IFERROR(VLOOKUP(TRIM(G195),Справочники!$P$3:$Q$7,2,0),"Нет в справочнике")</f>
        <v>шт.</v>
      </c>
      <c r="O195" t="str">
        <f t="shared" si="33"/>
        <v>ОК</v>
      </c>
      <c r="P195" t="str">
        <f t="shared" si="34"/>
        <v>Уникальный</v>
      </c>
    </row>
    <row r="196">
      <c r="A196" s="3" t="s">
        <v>791</v>
      </c>
      <c r="B196" s="3" t="s">
        <v>792</v>
      </c>
      <c r="C196" s="3" t="s">
        <v>38</v>
      </c>
      <c r="D196" s="3" t="s">
        <v>793</v>
      </c>
      <c r="E196" s="3" t="s">
        <v>229</v>
      </c>
      <c r="F196" s="3" t="s">
        <v>794</v>
      </c>
      <c r="G196" s="3" t="s">
        <v>22</v>
      </c>
      <c r="H196" t="str">
        <f t="shared" si="28"/>
        <v>АРТ-195</v>
      </c>
      <c r="I196" t="str">
        <f t="shared" si="29"/>
        <v xml:space="preserve">Ноутбук Framework Laptop 13</v>
      </c>
      <c r="J196" t="str">
        <f>IFERROR(VLOOKUP(TRIM(C196),Справочники!$A$3:$B$13,2,0),"Нет в справочнике")</f>
        <v>Ноутбуки</v>
      </c>
      <c r="K196" t="str">
        <f t="shared" si="30"/>
        <v>Framework</v>
      </c>
      <c r="L196" s="4">
        <f t="shared" si="31"/>
        <v>86500</v>
      </c>
      <c r="M196" s="4">
        <f t="shared" si="32"/>
        <v>132500</v>
      </c>
      <c r="N196" t="str">
        <f>IFERROR(VLOOKUP(TRIM(G196),Справочники!$P$3:$Q$7,2,0),"Нет в справочнике")</f>
        <v>шт.</v>
      </c>
      <c r="O196" t="str">
        <f t="shared" si="33"/>
        <v>ОК</v>
      </c>
      <c r="P196" t="str">
        <f t="shared" si="34"/>
        <v>Уникальный</v>
      </c>
    </row>
    <row r="197">
      <c r="A197" s="3" t="s">
        <v>795</v>
      </c>
      <c r="B197" s="3" t="s">
        <v>796</v>
      </c>
      <c r="C197" s="3" t="s">
        <v>18</v>
      </c>
      <c r="D197" s="3" t="s">
        <v>797</v>
      </c>
      <c r="E197" s="3" t="s">
        <v>566</v>
      </c>
      <c r="F197" s="3" t="s">
        <v>798</v>
      </c>
      <c r="G197" s="3" t="s">
        <v>42</v>
      </c>
      <c r="H197" t="str">
        <f t="shared" si="28"/>
        <v>АРТ-196</v>
      </c>
      <c r="I197" t="str">
        <f t="shared" si="29"/>
        <v xml:space="preserve">Смартфон Vivo X90</v>
      </c>
      <c r="J197" t="str">
        <f>IFERROR(VLOOKUP(TRIM(C197),Справочники!$A$3:$B$13,2,0),"Нет в справочнике")</f>
        <v>Смартфоны</v>
      </c>
      <c r="K197" t="str">
        <f t="shared" si="30"/>
        <v>Vivo</v>
      </c>
      <c r="L197" s="4">
        <f t="shared" si="31"/>
        <v>31000</v>
      </c>
      <c r="M197" s="4">
        <f t="shared" si="32"/>
        <v>53990</v>
      </c>
      <c r="N197" t="str">
        <f>IFERROR(VLOOKUP(TRIM(G197),Справочники!$P$3:$Q$7,2,0),"Нет в справочнике")</f>
        <v>шт.</v>
      </c>
      <c r="O197" t="str">
        <f t="shared" si="33"/>
        <v>ОК</v>
      </c>
      <c r="P197" t="str">
        <f t="shared" si="34"/>
        <v>Уникальный</v>
      </c>
    </row>
    <row r="198">
      <c r="A198" s="3" t="s">
        <v>799</v>
      </c>
      <c r="B198" s="3" t="s">
        <v>800</v>
      </c>
      <c r="C198" s="3" t="s">
        <v>25</v>
      </c>
      <c r="D198" s="3" t="s">
        <v>801</v>
      </c>
      <c r="E198" s="3" t="s">
        <v>558</v>
      </c>
      <c r="F198" s="3" t="s">
        <v>802</v>
      </c>
      <c r="G198" s="3" t="s">
        <v>28</v>
      </c>
      <c r="H198" t="str">
        <f t="shared" si="28"/>
        <v>АРТ-197</v>
      </c>
      <c r="I198" t="str">
        <f t="shared" si="29"/>
        <v xml:space="preserve">Смартфон Vivo X90</v>
      </c>
      <c r="J198" t="str">
        <f>IFERROR(VLOOKUP(TRIM(C198),Справочники!$A$3:$B$13,2,0),"Нет в справочнике")</f>
        <v>Смартфоны</v>
      </c>
      <c r="K198" t="str">
        <f t="shared" si="30"/>
        <v>Vivo</v>
      </c>
      <c r="L198" s="4">
        <f t="shared" si="31"/>
        <v>30000</v>
      </c>
      <c r="M198" s="4">
        <f t="shared" si="32"/>
        <v>52500</v>
      </c>
      <c r="N198" t="str">
        <f>IFERROR(VLOOKUP(TRIM(G198),Справочники!$P$3:$Q$7,2,0),"Нет в справочнике")</f>
        <v>шт.</v>
      </c>
      <c r="O198" t="str">
        <f t="shared" si="33"/>
        <v>ОК</v>
      </c>
      <c r="P198" t="str">
        <f t="shared" si="34"/>
        <v>Уникальный</v>
      </c>
    </row>
    <row r="199">
      <c r="A199" s="3" t="s">
        <v>803</v>
      </c>
      <c r="B199" s="3" t="s">
        <v>804</v>
      </c>
      <c r="C199" s="3" t="s">
        <v>31</v>
      </c>
      <c r="D199" s="3" t="s">
        <v>805</v>
      </c>
      <c r="E199" s="3" t="s">
        <v>249</v>
      </c>
      <c r="F199" s="3" t="s">
        <v>317</v>
      </c>
      <c r="G199" s="3" t="s">
        <v>22</v>
      </c>
      <c r="H199" t="str">
        <f t="shared" si="28"/>
        <v>АРТ-198</v>
      </c>
      <c r="I199" t="str">
        <f t="shared" si="29"/>
        <v xml:space="preserve">Смартфон Vivo X90</v>
      </c>
      <c r="J199" t="str">
        <f>IFERROR(VLOOKUP(TRIM(C199),Справочники!$A$3:$B$13,2,0),"Нет в справочнике")</f>
        <v>Смартфоны</v>
      </c>
      <c r="K199" t="str">
        <f t="shared" si="30"/>
        <v>Vivo</v>
      </c>
      <c r="L199" s="4">
        <f t="shared" si="31"/>
        <v>32000</v>
      </c>
      <c r="M199" s="4">
        <f t="shared" si="32"/>
        <v>55500</v>
      </c>
      <c r="N199" t="str">
        <f>IFERROR(VLOOKUP(TRIM(G199),Справочники!$P$3:$Q$7,2,0),"Нет в справочнике")</f>
        <v>шт.</v>
      </c>
      <c r="O199" t="str">
        <f t="shared" si="33"/>
        <v>ОК</v>
      </c>
      <c r="P199" t="str">
        <f t="shared" si="34"/>
        <v>Уникальный</v>
      </c>
    </row>
    <row r="200">
      <c r="A200" s="3" t="s">
        <v>806</v>
      </c>
      <c r="B200" s="3" t="s">
        <v>807</v>
      </c>
      <c r="C200" s="3" t="s">
        <v>83</v>
      </c>
      <c r="D200" s="3" t="s">
        <v>325</v>
      </c>
      <c r="E200" s="3" t="s">
        <v>432</v>
      </c>
      <c r="F200" s="3" t="s">
        <v>808</v>
      </c>
      <c r="G200" s="3" t="s">
        <v>42</v>
      </c>
      <c r="H200" t="str">
        <f t="shared" si="28"/>
        <v>АРТ-199</v>
      </c>
      <c r="I200" t="str">
        <f t="shared" si="29"/>
        <v xml:space="preserve">Телевизор Tcl 55C835</v>
      </c>
      <c r="J200" t="str">
        <f>IFERROR(VLOOKUP(TRIM(C200),Справочники!$A$3:$B$13,2,0),"Нет в справочнике")</f>
        <v>Телевизоры</v>
      </c>
      <c r="K200" t="str">
        <f t="shared" si="30"/>
        <v>TCL</v>
      </c>
      <c r="L200" s="4">
        <f t="shared" si="31"/>
        <v>62000</v>
      </c>
      <c r="M200" s="4">
        <f t="shared" si="32"/>
        <v>95990</v>
      </c>
      <c r="N200" t="str">
        <f>IFERROR(VLOOKUP(TRIM(G200),Справочники!$P$3:$Q$7,2,0),"Нет в справочнике")</f>
        <v>шт.</v>
      </c>
      <c r="O200" t="str">
        <f t="shared" si="33"/>
        <v>ОК</v>
      </c>
      <c r="P200" t="str">
        <f t="shared" si="34"/>
        <v>Уникальный</v>
      </c>
    </row>
    <row r="201">
      <c r="A201" s="3" t="s">
        <v>809</v>
      </c>
      <c r="B201" s="3" t="s">
        <v>810</v>
      </c>
      <c r="C201" s="3" t="s">
        <v>83</v>
      </c>
      <c r="D201" s="3" t="s">
        <v>330</v>
      </c>
      <c r="E201" s="3" t="s">
        <v>667</v>
      </c>
      <c r="F201" s="3" t="s">
        <v>811</v>
      </c>
      <c r="G201" s="3" t="s">
        <v>35</v>
      </c>
      <c r="H201" t="str">
        <f t="shared" si="28"/>
        <v>АРТ-200</v>
      </c>
      <c r="I201" t="str">
        <f t="shared" si="29"/>
        <v xml:space="preserve">Телевизор Tcl 55C835</v>
      </c>
      <c r="J201" t="str">
        <f>IFERROR(VLOOKUP(TRIM(C201),Справочники!$A$3:$B$13,2,0),"Нет в справочнике")</f>
        <v>Телевизоры</v>
      </c>
      <c r="K201" t="str">
        <f t="shared" si="30"/>
        <v>TCL</v>
      </c>
      <c r="L201" s="4">
        <f t="shared" si="31"/>
        <v>60000</v>
      </c>
      <c r="M201" s="4">
        <f t="shared" si="32"/>
        <v>93000</v>
      </c>
      <c r="N201" t="str">
        <f>IFERROR(VLOOKUP(TRIM(G201),Справочники!$P$3:$Q$7,2,0),"Нет в справочнике")</f>
        <v>шт.</v>
      </c>
      <c r="O201" t="str">
        <f t="shared" si="33"/>
        <v>ОК</v>
      </c>
      <c r="P201" t="str">
        <f t="shared" si="34"/>
        <v>Уникальный</v>
      </c>
    </row>
    <row r="202">
      <c r="A202" s="3" t="s">
        <v>812</v>
      </c>
      <c r="B202" s="3" t="s">
        <v>813</v>
      </c>
      <c r="C202" s="3" t="s">
        <v>83</v>
      </c>
      <c r="D202" s="3" t="s">
        <v>325</v>
      </c>
      <c r="E202" s="3" t="s">
        <v>192</v>
      </c>
      <c r="F202" s="3" t="s">
        <v>814</v>
      </c>
      <c r="G202" s="3" t="s">
        <v>22</v>
      </c>
      <c r="H202" t="str">
        <f t="shared" si="28"/>
        <v>АРТ-201</v>
      </c>
      <c r="I202" t="str">
        <f t="shared" si="29"/>
        <v xml:space="preserve">Телевизор Tcl 55C835</v>
      </c>
      <c r="J202" t="str">
        <f>IFERROR(VLOOKUP(TRIM(C202),Справочники!$A$3:$B$13,2,0),"Нет в справочнике")</f>
        <v>Телевизоры</v>
      </c>
      <c r="K202" t="str">
        <f t="shared" si="30"/>
        <v>TCL</v>
      </c>
      <c r="L202" s="4">
        <f t="shared" si="31"/>
        <v>63500</v>
      </c>
      <c r="M202" s="4">
        <f t="shared" si="32"/>
        <v>98500</v>
      </c>
      <c r="N202" t="str">
        <f>IFERROR(VLOOKUP(TRIM(G202),Справочники!$P$3:$Q$7,2,0),"Нет в справочнике")</f>
        <v>шт.</v>
      </c>
      <c r="O202" t="str">
        <f t="shared" si="33"/>
        <v>ОК</v>
      </c>
      <c r="P202" t="str">
        <f t="shared" si="34"/>
        <v>Уникальный</v>
      </c>
    </row>
    <row r="203">
      <c r="A203" s="3" t="s">
        <v>815</v>
      </c>
      <c r="B203" s="3" t="s">
        <v>816</v>
      </c>
      <c r="C203" s="3" t="s">
        <v>98</v>
      </c>
      <c r="D203" s="3" t="s">
        <v>158</v>
      </c>
      <c r="E203" s="3" t="s">
        <v>159</v>
      </c>
      <c r="F203" s="3" t="s">
        <v>160</v>
      </c>
      <c r="G203" s="3" t="s">
        <v>42</v>
      </c>
      <c r="H203" t="str">
        <f t="shared" si="28"/>
        <v>АРТ-202</v>
      </c>
      <c r="I203" t="str">
        <f t="shared" si="29"/>
        <v xml:space="preserve">Наушники Logitech G435</v>
      </c>
      <c r="J203" t="str">
        <f>IFERROR(VLOOKUP(TRIM(C203),Справочники!$A$3:$B$13,2,0),"Нет в справочнике")</f>
        <v>Наушники</v>
      </c>
      <c r="K203" t="str">
        <f t="shared" si="30"/>
        <v>Logitech</v>
      </c>
      <c r="L203" s="4">
        <f t="shared" si="31"/>
        <v>5500</v>
      </c>
      <c r="M203" s="4">
        <f t="shared" si="32"/>
        <v>9990</v>
      </c>
      <c r="N203" t="str">
        <f>IFERROR(VLOOKUP(TRIM(G203),Справочники!$P$3:$Q$7,2,0),"Нет в справочнике")</f>
        <v>шт.</v>
      </c>
      <c r="O203" t="str">
        <f t="shared" si="33"/>
        <v>ОК</v>
      </c>
      <c r="P203" t="str">
        <f t="shared" si="34"/>
        <v>Уникальный</v>
      </c>
    </row>
    <row r="204">
      <c r="A204" s="3" t="s">
        <v>817</v>
      </c>
      <c r="B204" s="3" t="s">
        <v>818</v>
      </c>
      <c r="C204" s="3" t="s">
        <v>98</v>
      </c>
      <c r="D204" s="3" t="s">
        <v>163</v>
      </c>
      <c r="E204" s="3" t="s">
        <v>678</v>
      </c>
      <c r="F204" s="3" t="s">
        <v>182</v>
      </c>
      <c r="G204" s="3" t="s">
        <v>28</v>
      </c>
      <c r="H204" t="str">
        <f t="shared" si="28"/>
        <v>АРТ-203</v>
      </c>
      <c r="I204" t="str">
        <f t="shared" si="29"/>
        <v xml:space="preserve">Наушники Logitech G435</v>
      </c>
      <c r="J204" t="str">
        <f>IFERROR(VLOOKUP(TRIM(C204),Справочники!$A$3:$B$13,2,0),"Нет в справочнике")</f>
        <v>Наушники</v>
      </c>
      <c r="K204" t="str">
        <f t="shared" si="30"/>
        <v>Logitech</v>
      </c>
      <c r="L204" s="4">
        <f t="shared" si="31"/>
        <v>5000</v>
      </c>
      <c r="M204" s="4">
        <f t="shared" si="32"/>
        <v>9200</v>
      </c>
      <c r="N204" t="str">
        <f>IFERROR(VLOOKUP(TRIM(G204),Справочники!$P$3:$Q$7,2,0),"Нет в справочнике")</f>
        <v>шт.</v>
      </c>
      <c r="O204" t="str">
        <f t="shared" si="33"/>
        <v>ОК</v>
      </c>
      <c r="P204" t="str">
        <f t="shared" si="34"/>
        <v>Уникальный</v>
      </c>
    </row>
    <row r="205">
      <c r="A205" s="3" t="s">
        <v>819</v>
      </c>
      <c r="B205" s="3" t="s">
        <v>820</v>
      </c>
      <c r="C205" s="3" t="s">
        <v>98</v>
      </c>
      <c r="D205" s="3" t="s">
        <v>168</v>
      </c>
      <c r="E205" s="3" t="s">
        <v>423</v>
      </c>
      <c r="F205" s="3" t="s">
        <v>821</v>
      </c>
      <c r="G205" s="3" t="s">
        <v>22</v>
      </c>
      <c r="H205" t="str">
        <f t="shared" si="28"/>
        <v>АРТ-204</v>
      </c>
      <c r="I205" t="str">
        <f t="shared" si="29"/>
        <v xml:space="preserve">Наушники Logitech G435</v>
      </c>
      <c r="J205" t="str">
        <f>IFERROR(VLOOKUP(TRIM(C205),Справочники!$A$3:$B$13,2,0),"Нет в справочнике")</f>
        <v>Наушники</v>
      </c>
      <c r="K205" t="str">
        <f t="shared" si="30"/>
        <v>Logitech</v>
      </c>
      <c r="L205" s="4">
        <f t="shared" si="31"/>
        <v>6000</v>
      </c>
      <c r="M205" s="4">
        <f t="shared" si="32"/>
        <v>10800</v>
      </c>
      <c r="N205" t="str">
        <f>IFERROR(VLOOKUP(TRIM(G205),Справочники!$P$3:$Q$7,2,0),"Нет в справочнике")</f>
        <v>шт.</v>
      </c>
      <c r="O205" t="str">
        <f t="shared" si="33"/>
        <v>ОК</v>
      </c>
      <c r="P205" t="str">
        <f t="shared" si="34"/>
        <v>Уникальный</v>
      </c>
    </row>
    <row r="206">
      <c r="A206" s="3" t="s">
        <v>822</v>
      </c>
      <c r="B206" s="3" t="s">
        <v>823</v>
      </c>
      <c r="C206" s="3" t="s">
        <v>143</v>
      </c>
      <c r="D206" s="3" t="s">
        <v>459</v>
      </c>
      <c r="E206" s="3" t="s">
        <v>196</v>
      </c>
      <c r="F206" s="3" t="s">
        <v>824</v>
      </c>
      <c r="G206" s="3" t="s">
        <v>42</v>
      </c>
      <c r="H206" t="str">
        <f t="shared" si="28"/>
        <v>АРТ-205</v>
      </c>
      <c r="I206" t="str">
        <f t="shared" si="29"/>
        <v xml:space="preserve">Монитор Msi Optix Mag274Qrf</v>
      </c>
      <c r="J206" t="str">
        <f>IFERROR(VLOOKUP(TRIM(C206),Справочники!$A$3:$B$13,2,0),"Нет в справочнике")</f>
        <v>Мониторы</v>
      </c>
      <c r="K206" t="str">
        <f t="shared" si="30"/>
        <v>MSI</v>
      </c>
      <c r="L206" s="4">
        <f t="shared" si="31"/>
        <v>41000</v>
      </c>
      <c r="M206" s="4">
        <f t="shared" si="32"/>
        <v>64990</v>
      </c>
      <c r="N206" t="str">
        <f>IFERROR(VLOOKUP(TRIM(G206),Справочники!$P$3:$Q$7,2,0),"Нет в справочнике")</f>
        <v>шт.</v>
      </c>
      <c r="O206" t="str">
        <f t="shared" si="33"/>
        <v>ОК</v>
      </c>
      <c r="P206" t="str">
        <f t="shared" si="34"/>
        <v>Уникальный</v>
      </c>
    </row>
    <row r="207">
      <c r="A207" s="3" t="s">
        <v>825</v>
      </c>
      <c r="B207" s="3" t="s">
        <v>826</v>
      </c>
      <c r="C207" s="3" t="s">
        <v>143</v>
      </c>
      <c r="D207" s="3" t="s">
        <v>463</v>
      </c>
      <c r="E207" s="3" t="s">
        <v>61</v>
      </c>
      <c r="F207" s="3" t="s">
        <v>827</v>
      </c>
      <c r="G207" s="3" t="s">
        <v>35</v>
      </c>
      <c r="H207" t="str">
        <f t="shared" si="28"/>
        <v>АРТ-206</v>
      </c>
      <c r="I207" t="str">
        <f t="shared" si="29"/>
        <v xml:space="preserve">Монитор Msi Optix Mag274Qrf</v>
      </c>
      <c r="J207" t="str">
        <f>IFERROR(VLOOKUP(TRIM(C207),Справочники!$A$3:$B$13,2,0),"Нет в справочнике")</f>
        <v>Мониторы</v>
      </c>
      <c r="K207" t="str">
        <f t="shared" si="30"/>
        <v>MSI</v>
      </c>
      <c r="L207" s="4">
        <f t="shared" si="31"/>
        <v>39500</v>
      </c>
      <c r="M207" s="4">
        <f t="shared" si="32"/>
        <v>62500</v>
      </c>
      <c r="N207" t="str">
        <f>IFERROR(VLOOKUP(TRIM(G207),Справочники!$P$3:$Q$7,2,0),"Нет в справочнике")</f>
        <v>шт.</v>
      </c>
      <c r="O207" t="str">
        <f t="shared" si="33"/>
        <v>ОК</v>
      </c>
      <c r="P207" t="str">
        <f t="shared" si="34"/>
        <v>Уникальный</v>
      </c>
    </row>
    <row r="208">
      <c r="A208" s="3" t="s">
        <v>828</v>
      </c>
      <c r="B208" s="3" t="s">
        <v>829</v>
      </c>
      <c r="C208" s="3" t="s">
        <v>143</v>
      </c>
      <c r="D208" s="3" t="s">
        <v>459</v>
      </c>
      <c r="E208" s="3" t="s">
        <v>830</v>
      </c>
      <c r="F208" s="3" t="s">
        <v>831</v>
      </c>
      <c r="G208" s="3" t="s">
        <v>22</v>
      </c>
      <c r="H208" t="str">
        <f t="shared" si="28"/>
        <v>АРТ-207</v>
      </c>
      <c r="I208" t="str">
        <f t="shared" si="29"/>
        <v xml:space="preserve">Монитор Msi Optix Mag274Qrf</v>
      </c>
      <c r="J208" t="str">
        <f>IFERROR(VLOOKUP(TRIM(C208),Справочники!$A$3:$B$13,2,0),"Нет в справочнике")</f>
        <v>Мониторы</v>
      </c>
      <c r="K208" t="str">
        <f t="shared" si="30"/>
        <v>MSI</v>
      </c>
      <c r="L208" s="4">
        <f t="shared" si="31"/>
        <v>42500</v>
      </c>
      <c r="M208" s="4">
        <f t="shared" si="32"/>
        <v>67000</v>
      </c>
      <c r="N208" t="str">
        <f>IFERROR(VLOOKUP(TRIM(G208),Справочники!$P$3:$Q$7,2,0),"Нет в справочнике")</f>
        <v>шт.</v>
      </c>
      <c r="O208" t="str">
        <f t="shared" si="33"/>
        <v>ОК</v>
      </c>
      <c r="P208" t="str">
        <f t="shared" si="34"/>
        <v>Уникальный</v>
      </c>
    </row>
    <row r="209">
      <c r="A209" s="3" t="s">
        <v>832</v>
      </c>
      <c r="B209" s="3" t="s">
        <v>833</v>
      </c>
      <c r="C209" s="3" t="s">
        <v>157</v>
      </c>
      <c r="D209" s="3" t="s">
        <v>834</v>
      </c>
      <c r="E209" s="3" t="s">
        <v>273</v>
      </c>
      <c r="F209" s="3" t="s">
        <v>274</v>
      </c>
      <c r="G209" s="3" t="s">
        <v>42</v>
      </c>
      <c r="H209" t="str">
        <f t="shared" si="28"/>
        <v>АРТ-208</v>
      </c>
      <c r="I209" t="str">
        <f t="shared" si="29"/>
        <v xml:space="preserve">Клавиатура Corsair K70 Rgb</v>
      </c>
      <c r="J209" t="str">
        <f>IFERROR(VLOOKUP(TRIM(C209),Справочники!$A$3:$B$13,2,0),"Нет в справочнике")</f>
        <v>Аксессуары</v>
      </c>
      <c r="K209" t="str">
        <f t="shared" si="30"/>
        <v>Corsair</v>
      </c>
      <c r="L209" s="4">
        <f t="shared" si="31"/>
        <v>6500</v>
      </c>
      <c r="M209" s="4">
        <f t="shared" si="32"/>
        <v>10990</v>
      </c>
      <c r="N209" t="str">
        <f>IFERROR(VLOOKUP(TRIM(G209),Справочники!$P$3:$Q$7,2,0),"Нет в справочнике")</f>
        <v>шт.</v>
      </c>
      <c r="O209" t="str">
        <f t="shared" si="33"/>
        <v>ОК</v>
      </c>
      <c r="P209" t="str">
        <f t="shared" si="34"/>
        <v>Уникальный</v>
      </c>
    </row>
    <row r="210">
      <c r="A210" s="3" t="s">
        <v>835</v>
      </c>
      <c r="B210" s="3" t="s">
        <v>836</v>
      </c>
      <c r="C210" s="3" t="s">
        <v>157</v>
      </c>
      <c r="D210" s="3" t="s">
        <v>837</v>
      </c>
      <c r="E210" s="3" t="s">
        <v>423</v>
      </c>
      <c r="F210" s="3" t="s">
        <v>170</v>
      </c>
      <c r="G210" s="3" t="s">
        <v>28</v>
      </c>
      <c r="H210" t="str">
        <f t="shared" si="28"/>
        <v>АРТ-209</v>
      </c>
      <c r="I210" t="str">
        <f t="shared" si="29"/>
        <v xml:space="preserve">Клавиатура Corsair K70 Rgb</v>
      </c>
      <c r="J210" t="str">
        <f>IFERROR(VLOOKUP(TRIM(C210),Справочники!$A$3:$B$13,2,0),"Нет в справочнике")</f>
        <v>Аксессуары</v>
      </c>
      <c r="K210" t="str">
        <f t="shared" si="30"/>
        <v>Corsair</v>
      </c>
      <c r="L210" s="4">
        <f t="shared" si="31"/>
        <v>6000</v>
      </c>
      <c r="M210" s="4">
        <f t="shared" si="32"/>
        <v>10500</v>
      </c>
      <c r="N210" t="str">
        <f>IFERROR(VLOOKUP(TRIM(G210),Справочники!$P$3:$Q$7,2,0),"Нет в справочнике")</f>
        <v>шт.</v>
      </c>
      <c r="O210" t="str">
        <f t="shared" si="33"/>
        <v>ОК</v>
      </c>
      <c r="P210" t="str">
        <f t="shared" si="34"/>
        <v>Уникальный</v>
      </c>
    </row>
    <row r="211">
      <c r="A211" s="3" t="s">
        <v>838</v>
      </c>
      <c r="B211" s="3" t="s">
        <v>839</v>
      </c>
      <c r="C211" s="3" t="s">
        <v>157</v>
      </c>
      <c r="D211" s="3" t="s">
        <v>840</v>
      </c>
      <c r="E211" s="3" t="s">
        <v>841</v>
      </c>
      <c r="F211" s="3" t="s">
        <v>343</v>
      </c>
      <c r="G211" s="3" t="s">
        <v>22</v>
      </c>
      <c r="H211" t="str">
        <f t="shared" si="28"/>
        <v>АРТ-210</v>
      </c>
      <c r="I211" t="str">
        <f t="shared" si="29"/>
        <v xml:space="preserve">Клавиатура Corsair K70 Rgb</v>
      </c>
      <c r="J211" t="str">
        <f>IFERROR(VLOOKUP(TRIM(C211),Справочники!$A$3:$B$13,2,0),"Нет в справочнике")</f>
        <v>Аксессуары</v>
      </c>
      <c r="K211" t="str">
        <f t="shared" si="30"/>
        <v>Corsair</v>
      </c>
      <c r="L211" s="4">
        <f t="shared" si="31"/>
        <v>7000</v>
      </c>
      <c r="M211" s="4">
        <f t="shared" si="32"/>
        <v>11500</v>
      </c>
      <c r="N211" t="str">
        <f>IFERROR(VLOOKUP(TRIM(G211),Справочники!$P$3:$Q$7,2,0),"Нет в справочнике")</f>
        <v>шт.</v>
      </c>
      <c r="O211" t="str">
        <f t="shared" si="33"/>
        <v>ОК</v>
      </c>
      <c r="P211" t="str">
        <f t="shared" si="34"/>
        <v>Уникальный</v>
      </c>
    </row>
    <row r="212">
      <c r="A212" s="3" t="s">
        <v>842</v>
      </c>
      <c r="B212" s="3" t="s">
        <v>843</v>
      </c>
      <c r="C212" s="3" t="s">
        <v>18</v>
      </c>
      <c r="D212" s="3" t="s">
        <v>844</v>
      </c>
      <c r="E212" s="3" t="s">
        <v>418</v>
      </c>
      <c r="F212" s="3" t="s">
        <v>845</v>
      </c>
      <c r="G212" s="3" t="s">
        <v>42</v>
      </c>
      <c r="H212" t="str">
        <f t="shared" si="28"/>
        <v>АРТ-211</v>
      </c>
      <c r="I212" t="str">
        <f t="shared" si="29"/>
        <v xml:space="preserve">Смартфон Honor Magic 5</v>
      </c>
      <c r="J212" t="str">
        <f>IFERROR(VLOOKUP(TRIM(C212),Справочники!$A$3:$B$13,2,0),"Нет в справочнике")</f>
        <v>Смартфоны</v>
      </c>
      <c r="K212" t="str">
        <f t="shared" si="30"/>
        <v>Honor</v>
      </c>
      <c r="L212" s="4">
        <f t="shared" si="31"/>
        <v>36000</v>
      </c>
      <c r="M212" s="4">
        <f t="shared" si="32"/>
        <v>59990</v>
      </c>
      <c r="N212" t="str">
        <f>IFERROR(VLOOKUP(TRIM(G212),Справочники!$P$3:$Q$7,2,0),"Нет в справочнике")</f>
        <v>шт.</v>
      </c>
      <c r="O212" t="str">
        <f t="shared" si="33"/>
        <v>ОК</v>
      </c>
      <c r="P212" t="str">
        <f t="shared" si="34"/>
        <v>Уникальный</v>
      </c>
    </row>
    <row r="213">
      <c r="A213" s="3" t="s">
        <v>846</v>
      </c>
      <c r="B213" s="3" t="s">
        <v>847</v>
      </c>
      <c r="C213" s="3" t="s">
        <v>25</v>
      </c>
      <c r="D213" s="3" t="s">
        <v>848</v>
      </c>
      <c r="E213" s="3" t="s">
        <v>129</v>
      </c>
      <c r="F213" s="3" t="s">
        <v>135</v>
      </c>
      <c r="G213" s="3" t="s">
        <v>35</v>
      </c>
      <c r="H213" t="str">
        <f t="shared" si="28"/>
        <v>АРТ-212</v>
      </c>
      <c r="I213" t="str">
        <f t="shared" si="29"/>
        <v xml:space="preserve">Смартфон Honor Magic 5</v>
      </c>
      <c r="J213" t="str">
        <f>IFERROR(VLOOKUP(TRIM(C213),Справочники!$A$3:$B$13,2,0),"Нет в справочнике")</f>
        <v>Смартфоны</v>
      </c>
      <c r="K213" t="str">
        <f t="shared" si="30"/>
        <v>Honor</v>
      </c>
      <c r="L213" s="4">
        <f t="shared" si="31"/>
        <v>35000</v>
      </c>
      <c r="M213" s="4">
        <f t="shared" si="32"/>
        <v>58500</v>
      </c>
      <c r="N213" t="str">
        <f>IFERROR(VLOOKUP(TRIM(G213),Справочники!$P$3:$Q$7,2,0),"Нет в справочнике")</f>
        <v>шт.</v>
      </c>
      <c r="O213" t="str">
        <f t="shared" si="33"/>
        <v>ОК</v>
      </c>
      <c r="P213" t="str">
        <f t="shared" si="34"/>
        <v>Уникальный</v>
      </c>
    </row>
    <row r="214">
      <c r="A214" s="3" t="s">
        <v>849</v>
      </c>
      <c r="B214" s="3" t="s">
        <v>850</v>
      </c>
      <c r="C214" s="3" t="s">
        <v>31</v>
      </c>
      <c r="D214" s="3" t="s">
        <v>851</v>
      </c>
      <c r="E214" s="3" t="s">
        <v>852</v>
      </c>
      <c r="F214" s="3" t="s">
        <v>673</v>
      </c>
      <c r="G214" s="3" t="s">
        <v>22</v>
      </c>
      <c r="H214" t="str">
        <f t="shared" si="28"/>
        <v>АРТ-213</v>
      </c>
      <c r="I214" t="str">
        <f t="shared" si="29"/>
        <v xml:space="preserve">Смартфон Honor Magic 5</v>
      </c>
      <c r="J214" t="str">
        <f>IFERROR(VLOOKUP(TRIM(C214),Справочники!$A$3:$B$13,2,0),"Нет в справочнике")</f>
        <v>Смартфоны</v>
      </c>
      <c r="K214" t="str">
        <f t="shared" si="30"/>
        <v>Honor</v>
      </c>
      <c r="L214" s="4">
        <f t="shared" si="31"/>
        <v>37000</v>
      </c>
      <c r="M214" s="4">
        <f t="shared" si="32"/>
        <v>61500</v>
      </c>
      <c r="N214" t="str">
        <f>IFERROR(VLOOKUP(TRIM(G214),Справочники!$P$3:$Q$7,2,0),"Нет в справочнике")</f>
        <v>шт.</v>
      </c>
      <c r="O214" t="str">
        <f t="shared" si="33"/>
        <v>ОК</v>
      </c>
      <c r="P214" t="str">
        <f t="shared" si="34"/>
        <v>Уникальный</v>
      </c>
    </row>
    <row r="215">
      <c r="A215" s="3" t="s">
        <v>853</v>
      </c>
      <c r="B215" s="3" t="s">
        <v>854</v>
      </c>
      <c r="C215" s="3" t="s">
        <v>69</v>
      </c>
      <c r="D215" s="3" t="s">
        <v>55</v>
      </c>
      <c r="E215" s="3" t="s">
        <v>660</v>
      </c>
      <c r="F215" s="3" t="s">
        <v>855</v>
      </c>
      <c r="G215" s="3" t="s">
        <v>42</v>
      </c>
      <c r="H215" t="str">
        <f t="shared" si="28"/>
        <v>АРТ-214</v>
      </c>
      <c r="I215" t="str">
        <f t="shared" si="29"/>
        <v xml:space="preserve">Планшет Samsung Galaxy A8</v>
      </c>
      <c r="J215" t="str">
        <f>IFERROR(VLOOKUP(TRIM(C215),Справочники!$A$3:$B$13,2,0),"Нет в справочнике")</f>
        <v>Планшеты</v>
      </c>
      <c r="K215" t="str">
        <f t="shared" si="30"/>
        <v>Samsung</v>
      </c>
      <c r="L215" s="4">
        <f t="shared" si="31"/>
        <v>16000</v>
      </c>
      <c r="M215" s="4">
        <f t="shared" si="32"/>
        <v>26990</v>
      </c>
      <c r="N215" t="str">
        <f>IFERROR(VLOOKUP(TRIM(G215),Справочники!$P$3:$Q$7,2,0),"Нет в справочнике")</f>
        <v>шт.</v>
      </c>
      <c r="O215" t="str">
        <f t="shared" si="33"/>
        <v>ОК</v>
      </c>
      <c r="P215" t="str">
        <f t="shared" si="34"/>
        <v>Уникальный</v>
      </c>
    </row>
    <row r="216">
      <c r="A216" s="3" t="s">
        <v>856</v>
      </c>
      <c r="B216" s="3" t="s">
        <v>857</v>
      </c>
      <c r="C216" s="3" t="s">
        <v>69</v>
      </c>
      <c r="D216" s="3" t="s">
        <v>148</v>
      </c>
      <c r="E216" s="3" t="s">
        <v>236</v>
      </c>
      <c r="F216" s="3" t="s">
        <v>858</v>
      </c>
      <c r="G216" s="3" t="s">
        <v>28</v>
      </c>
      <c r="H216" t="str">
        <f t="shared" si="28"/>
        <v>АРТ-215</v>
      </c>
      <c r="I216" t="str">
        <f t="shared" si="29"/>
        <v xml:space="preserve">Планшет Samsung Galaxy A8</v>
      </c>
      <c r="J216" t="str">
        <f>IFERROR(VLOOKUP(TRIM(C216),Справочники!$A$3:$B$13,2,0),"Нет в справочнике")</f>
        <v>Планшеты</v>
      </c>
      <c r="K216" t="str">
        <f t="shared" si="30"/>
        <v>Samsung</v>
      </c>
      <c r="L216" s="4">
        <f t="shared" si="31"/>
        <v>15000</v>
      </c>
      <c r="M216" s="4">
        <f t="shared" si="32"/>
        <v>25500</v>
      </c>
      <c r="N216" t="str">
        <f>IFERROR(VLOOKUP(TRIM(G216),Справочники!$P$3:$Q$7,2,0),"Нет в справочнике")</f>
        <v>шт.</v>
      </c>
      <c r="O216" t="str">
        <f t="shared" si="33"/>
        <v>ОК</v>
      </c>
      <c r="P216" t="str">
        <f t="shared" si="34"/>
        <v>Уникальный</v>
      </c>
    </row>
    <row r="217">
      <c r="A217" s="3" t="s">
        <v>859</v>
      </c>
      <c r="B217" s="3" t="s">
        <v>860</v>
      </c>
      <c r="C217" s="3" t="s">
        <v>69</v>
      </c>
      <c r="D217" s="3" t="s">
        <v>60</v>
      </c>
      <c r="E217" s="3" t="s">
        <v>691</v>
      </c>
      <c r="F217" s="3" t="s">
        <v>692</v>
      </c>
      <c r="G217" s="3" t="s">
        <v>22</v>
      </c>
      <c r="H217" t="str">
        <f t="shared" si="28"/>
        <v>АРТ-216</v>
      </c>
      <c r="I217" t="str">
        <f t="shared" si="29"/>
        <v xml:space="preserve">Планшет Samsung Galaxy A8</v>
      </c>
      <c r="J217" t="str">
        <f>IFERROR(VLOOKUP(TRIM(C217),Справочники!$A$3:$B$13,2,0),"Нет в справочнике")</f>
        <v>Планшеты</v>
      </c>
      <c r="K217" t="str">
        <f t="shared" si="30"/>
        <v>Samsung</v>
      </c>
      <c r="L217" s="4">
        <f t="shared" si="31"/>
        <v>17000</v>
      </c>
      <c r="M217" s="4">
        <f t="shared" si="32"/>
        <v>28500</v>
      </c>
      <c r="N217" t="str">
        <f>IFERROR(VLOOKUP(TRIM(G217),Справочники!$P$3:$Q$7,2,0),"Нет в справочнике")</f>
        <v>шт.</v>
      </c>
      <c r="O217" t="str">
        <f t="shared" si="33"/>
        <v>ОК</v>
      </c>
      <c r="P217" t="str">
        <f t="shared" si="34"/>
        <v>Уникальный</v>
      </c>
    </row>
    <row r="218">
      <c r="A218" s="3" t="s">
        <v>861</v>
      </c>
      <c r="B218" s="3" t="s">
        <v>862</v>
      </c>
      <c r="C218" s="3" t="s">
        <v>83</v>
      </c>
      <c r="D218" s="3" t="s">
        <v>84</v>
      </c>
      <c r="E218" s="3" t="s">
        <v>200</v>
      </c>
      <c r="F218" s="3" t="s">
        <v>201</v>
      </c>
      <c r="G218" s="3" t="s">
        <v>42</v>
      </c>
      <c r="H218" t="str">
        <f t="shared" si="28"/>
        <v>АРТ-217</v>
      </c>
      <c r="I218" t="str">
        <f t="shared" si="29"/>
        <v xml:space="preserve">Телевизор Lg Uq8000</v>
      </c>
      <c r="J218" t="str">
        <f>IFERROR(VLOOKUP(TRIM(C218),Справочники!$A$3:$B$13,2,0),"Нет в справочнике")</f>
        <v>Телевизоры</v>
      </c>
      <c r="K218" t="str">
        <f t="shared" si="30"/>
        <v>LG</v>
      </c>
      <c r="L218" s="4">
        <f t="shared" si="31"/>
        <v>45000</v>
      </c>
      <c r="M218" s="4">
        <f t="shared" si="32"/>
        <v>69990</v>
      </c>
      <c r="N218" t="str">
        <f>IFERROR(VLOOKUP(TRIM(G218),Справочники!$P$3:$Q$7,2,0),"Нет в справочнике")</f>
        <v>шт.</v>
      </c>
      <c r="O218" t="str">
        <f t="shared" si="33"/>
        <v>ОК</v>
      </c>
      <c r="P218" t="str">
        <f t="shared" si="34"/>
        <v>Уникальный</v>
      </c>
    </row>
    <row r="219">
      <c r="A219" s="3" t="s">
        <v>863</v>
      </c>
      <c r="B219" s="3" t="s">
        <v>864</v>
      </c>
      <c r="C219" s="3" t="s">
        <v>83</v>
      </c>
      <c r="D219" s="3" t="s">
        <v>89</v>
      </c>
      <c r="E219" s="3" t="s">
        <v>292</v>
      </c>
      <c r="F219" s="3" t="s">
        <v>865</v>
      </c>
      <c r="G219" s="3" t="s">
        <v>35</v>
      </c>
      <c r="H219" t="str">
        <f t="shared" si="28"/>
        <v>АРТ-218</v>
      </c>
      <c r="I219" t="str">
        <f t="shared" si="29"/>
        <v xml:space="preserve">Телевизор Lg Uq8000</v>
      </c>
      <c r="J219" t="str">
        <f>IFERROR(VLOOKUP(TRIM(C219),Справочники!$A$3:$B$13,2,0),"Нет в справочнике")</f>
        <v>Телевизоры</v>
      </c>
      <c r="K219" t="str">
        <f t="shared" si="30"/>
        <v>LG</v>
      </c>
      <c r="L219" s="4">
        <f t="shared" si="31"/>
        <v>43500</v>
      </c>
      <c r="M219" s="4">
        <f t="shared" si="32"/>
        <v>67500</v>
      </c>
      <c r="N219" t="str">
        <f>IFERROR(VLOOKUP(TRIM(G219),Справочники!$P$3:$Q$7,2,0),"Нет в справочнике")</f>
        <v>шт.</v>
      </c>
      <c r="O219" t="str">
        <f t="shared" si="33"/>
        <v>ОК</v>
      </c>
      <c r="P219" t="str">
        <f t="shared" si="34"/>
        <v>Уникальный</v>
      </c>
    </row>
    <row r="220">
      <c r="A220" s="3" t="s">
        <v>866</v>
      </c>
      <c r="B220" s="3" t="s">
        <v>867</v>
      </c>
      <c r="C220" s="3" t="s">
        <v>83</v>
      </c>
      <c r="D220" s="3" t="s">
        <v>84</v>
      </c>
      <c r="E220" s="3" t="s">
        <v>268</v>
      </c>
      <c r="F220" s="3" t="s">
        <v>403</v>
      </c>
      <c r="G220" s="3" t="s">
        <v>22</v>
      </c>
      <c r="H220" t="str">
        <f t="shared" si="28"/>
        <v>АРТ-219</v>
      </c>
      <c r="I220" t="str">
        <f t="shared" si="29"/>
        <v xml:space="preserve">Телевизор Lg Uq8000</v>
      </c>
      <c r="J220" t="str">
        <f>IFERROR(VLOOKUP(TRIM(C220),Справочники!$A$3:$B$13,2,0),"Нет в справочнике")</f>
        <v>Телевизоры</v>
      </c>
      <c r="K220" t="str">
        <f t="shared" si="30"/>
        <v>LG</v>
      </c>
      <c r="L220" s="4">
        <f t="shared" si="31"/>
        <v>46500</v>
      </c>
      <c r="M220" s="4">
        <f t="shared" si="32"/>
        <v>72000</v>
      </c>
      <c r="N220" t="str">
        <f>IFERROR(VLOOKUP(TRIM(G220),Справочники!$P$3:$Q$7,2,0),"Нет в справочнике")</f>
        <v>шт.</v>
      </c>
      <c r="O220" t="str">
        <f t="shared" si="33"/>
        <v>ОК</v>
      </c>
      <c r="P220" t="str">
        <f t="shared" si="34"/>
        <v>Уникальный</v>
      </c>
    </row>
    <row r="221">
      <c r="A221" s="3" t="s">
        <v>868</v>
      </c>
      <c r="B221" s="3" t="s">
        <v>869</v>
      </c>
      <c r="C221" s="3" t="s">
        <v>98</v>
      </c>
      <c r="D221" s="3" t="s">
        <v>870</v>
      </c>
      <c r="E221" s="3" t="s">
        <v>236</v>
      </c>
      <c r="F221" s="3" t="s">
        <v>237</v>
      </c>
      <c r="G221" s="3" t="s">
        <v>42</v>
      </c>
      <c r="H221" t="str">
        <f t="shared" si="28"/>
        <v>АРТ-220</v>
      </c>
      <c r="I221" t="str">
        <f t="shared" si="29"/>
        <v xml:space="preserve">Наушники Beats Studio Pro</v>
      </c>
      <c r="J221" t="str">
        <f>IFERROR(VLOOKUP(TRIM(C221),Справочники!$A$3:$B$13,2,0),"Нет в справочнике")</f>
        <v>Наушники</v>
      </c>
      <c r="K221" t="str">
        <f t="shared" si="30"/>
        <v>Beats</v>
      </c>
      <c r="L221" s="4">
        <f t="shared" si="31"/>
        <v>15000</v>
      </c>
      <c r="M221" s="4">
        <f t="shared" si="32"/>
        <v>24990</v>
      </c>
      <c r="N221" t="str">
        <f>IFERROR(VLOOKUP(TRIM(G221),Справочники!$P$3:$Q$7,2,0),"Нет в справочнике")</f>
        <v>шт.</v>
      </c>
      <c r="O221" t="str">
        <f t="shared" si="33"/>
        <v>ОК</v>
      </c>
      <c r="P221" t="str">
        <f t="shared" si="34"/>
        <v>Уникальный</v>
      </c>
    </row>
    <row r="222">
      <c r="A222" s="3" t="s">
        <v>871</v>
      </c>
      <c r="B222" s="3" t="s">
        <v>872</v>
      </c>
      <c r="C222" s="3" t="s">
        <v>98</v>
      </c>
      <c r="D222" s="3" t="s">
        <v>873</v>
      </c>
      <c r="E222" s="3" t="s">
        <v>240</v>
      </c>
      <c r="F222" s="3" t="s">
        <v>395</v>
      </c>
      <c r="G222" s="3" t="s">
        <v>28</v>
      </c>
      <c r="H222" t="str">
        <f t="shared" si="28"/>
        <v>АРТ-221</v>
      </c>
      <c r="I222" t="str">
        <f t="shared" si="29"/>
        <v xml:space="preserve">Наушники Beats Studio Pro</v>
      </c>
      <c r="J222" t="str">
        <f>IFERROR(VLOOKUP(TRIM(C222),Справочники!$A$3:$B$13,2,0),"Нет в справочнике")</f>
        <v>Наушники</v>
      </c>
      <c r="K222" t="str">
        <f t="shared" si="30"/>
        <v>Beats</v>
      </c>
      <c r="L222" s="4">
        <f t="shared" si="31"/>
        <v>14500</v>
      </c>
      <c r="M222" s="4">
        <f t="shared" si="32"/>
        <v>24000</v>
      </c>
      <c r="N222" t="str">
        <f>IFERROR(VLOOKUP(TRIM(G222),Справочники!$P$3:$Q$7,2,0),"Нет в справочнике")</f>
        <v>шт.</v>
      </c>
      <c r="O222" t="str">
        <f t="shared" si="33"/>
        <v>ОК</v>
      </c>
      <c r="P222" t="str">
        <f t="shared" si="34"/>
        <v>Уникальный</v>
      </c>
    </row>
    <row r="223">
      <c r="A223" s="3" t="s">
        <v>874</v>
      </c>
      <c r="B223" s="3" t="s">
        <v>875</v>
      </c>
      <c r="C223" s="3" t="s">
        <v>98</v>
      </c>
      <c r="D223" s="3" t="s">
        <v>876</v>
      </c>
      <c r="E223" s="3" t="s">
        <v>244</v>
      </c>
      <c r="F223" s="3" t="s">
        <v>399</v>
      </c>
      <c r="G223" s="3" t="s">
        <v>22</v>
      </c>
      <c r="H223" t="str">
        <f t="shared" si="28"/>
        <v>АРТ-222</v>
      </c>
      <c r="I223" t="str">
        <f t="shared" si="29"/>
        <v xml:space="preserve">Наушники Beats Studio Pro</v>
      </c>
      <c r="J223" t="str">
        <f>IFERROR(VLOOKUP(TRIM(C223),Справочники!$A$3:$B$13,2,0),"Нет в справочнике")</f>
        <v>Наушники</v>
      </c>
      <c r="K223" t="str">
        <f t="shared" si="30"/>
        <v>Beats</v>
      </c>
      <c r="L223" s="4">
        <f t="shared" si="31"/>
        <v>15800</v>
      </c>
      <c r="M223" s="4">
        <f t="shared" si="32"/>
        <v>26000</v>
      </c>
      <c r="N223" t="str">
        <f>IFERROR(VLOOKUP(TRIM(G223),Справочники!$P$3:$Q$7,2,0),"Нет в справочнике")</f>
        <v>шт.</v>
      </c>
      <c r="O223" t="str">
        <f t="shared" si="33"/>
        <v>ОК</v>
      </c>
      <c r="P223" t="str">
        <f t="shared" si="34"/>
        <v>Уникальный</v>
      </c>
    </row>
    <row r="224">
      <c r="A224" s="3" t="s">
        <v>877</v>
      </c>
      <c r="B224" s="3" t="s">
        <v>878</v>
      </c>
      <c r="C224" s="3" t="s">
        <v>143</v>
      </c>
      <c r="D224" s="3" t="s">
        <v>296</v>
      </c>
      <c r="E224" s="3" t="s">
        <v>129</v>
      </c>
      <c r="F224" s="3" t="s">
        <v>879</v>
      </c>
      <c r="G224" s="3" t="s">
        <v>42</v>
      </c>
      <c r="H224" t="str">
        <f t="shared" si="28"/>
        <v>АРТ-223</v>
      </c>
      <c r="I224" t="str">
        <f t="shared" si="29"/>
        <v xml:space="preserve">Монитор Hp E27M G4</v>
      </c>
      <c r="J224" t="str">
        <f>IFERROR(VLOOKUP(TRIM(C224),Справочники!$A$3:$B$13,2,0),"Нет в справочнике")</f>
        <v>Мониторы</v>
      </c>
      <c r="K224" t="str">
        <f t="shared" si="30"/>
        <v>HP</v>
      </c>
      <c r="L224" s="4">
        <f t="shared" si="31"/>
        <v>35000</v>
      </c>
      <c r="M224" s="4">
        <f t="shared" si="32"/>
        <v>54990</v>
      </c>
      <c r="N224" t="str">
        <f>IFERROR(VLOOKUP(TRIM(G224),Справочники!$P$3:$Q$7,2,0),"Нет в справочнике")</f>
        <v>шт.</v>
      </c>
      <c r="O224" t="str">
        <f t="shared" si="33"/>
        <v>ОК</v>
      </c>
      <c r="P224" t="str">
        <f t="shared" si="34"/>
        <v>Уникальный</v>
      </c>
    </row>
    <row r="225">
      <c r="A225" s="3" t="s">
        <v>880</v>
      </c>
      <c r="B225" s="3" t="s">
        <v>881</v>
      </c>
      <c r="C225" s="3" t="s">
        <v>143</v>
      </c>
      <c r="D225" s="3" t="s">
        <v>301</v>
      </c>
      <c r="E225" s="3" t="s">
        <v>504</v>
      </c>
      <c r="F225" s="3" t="s">
        <v>802</v>
      </c>
      <c r="G225" s="3" t="s">
        <v>35</v>
      </c>
      <c r="H225" t="str">
        <f t="shared" si="28"/>
        <v>АРТ-224</v>
      </c>
      <c r="I225" t="str">
        <f t="shared" si="29"/>
        <v xml:space="preserve">Монитор Hp E27M G4</v>
      </c>
      <c r="J225" t="str">
        <f>IFERROR(VLOOKUP(TRIM(C225),Справочники!$A$3:$B$13,2,0),"Нет в справочнике")</f>
        <v>Мониторы</v>
      </c>
      <c r="K225" t="str">
        <f t="shared" si="30"/>
        <v>HP</v>
      </c>
      <c r="L225" s="4">
        <f t="shared" si="31"/>
        <v>33500</v>
      </c>
      <c r="M225" s="4">
        <f t="shared" si="32"/>
        <v>52500</v>
      </c>
      <c r="N225" t="str">
        <f>IFERROR(VLOOKUP(TRIM(G225),Справочники!$P$3:$Q$7,2,0),"Нет в справочнике")</f>
        <v>шт.</v>
      </c>
      <c r="O225" t="str">
        <f t="shared" si="33"/>
        <v>ОК</v>
      </c>
      <c r="P225" t="str">
        <f t="shared" si="34"/>
        <v>Уникальный</v>
      </c>
    </row>
    <row r="226">
      <c r="A226" s="3" t="s">
        <v>882</v>
      </c>
      <c r="B226" s="3" t="s">
        <v>883</v>
      </c>
      <c r="C226" s="3" t="s">
        <v>143</v>
      </c>
      <c r="D226" s="3" t="s">
        <v>296</v>
      </c>
      <c r="E226" s="3" t="s">
        <v>884</v>
      </c>
      <c r="F226" s="3" t="s">
        <v>885</v>
      </c>
      <c r="G226" s="3" t="s">
        <v>22</v>
      </c>
      <c r="H226" t="str">
        <f t="shared" si="28"/>
        <v>АРТ-225</v>
      </c>
      <c r="I226" t="str">
        <f t="shared" si="29"/>
        <v xml:space="preserve">Монитор Hp E27M G4</v>
      </c>
      <c r="J226" t="str">
        <f>IFERROR(VLOOKUP(TRIM(C226),Справочники!$A$3:$B$13,2,0),"Нет в справочнике")</f>
        <v>Мониторы</v>
      </c>
      <c r="K226" t="str">
        <f t="shared" si="30"/>
        <v>HP</v>
      </c>
      <c r="L226" s="4">
        <f t="shared" si="31"/>
        <v>36500</v>
      </c>
      <c r="M226" s="4">
        <f t="shared" si="32"/>
        <v>57000</v>
      </c>
      <c r="N226" t="str">
        <f>IFERROR(VLOOKUP(TRIM(G226),Справочники!$P$3:$Q$7,2,0),"Нет в справочнике")</f>
        <v>шт.</v>
      </c>
      <c r="O226" t="str">
        <f t="shared" si="33"/>
        <v>ОК</v>
      </c>
      <c r="P226" t="str">
        <f t="shared" si="34"/>
        <v>Уникальный</v>
      </c>
    </row>
    <row r="227">
      <c r="A227" s="3" t="s">
        <v>886</v>
      </c>
      <c r="B227" s="3" t="s">
        <v>887</v>
      </c>
      <c r="C227" s="3" t="s">
        <v>157</v>
      </c>
      <c r="D227" s="3" t="s">
        <v>888</v>
      </c>
      <c r="E227" s="3" t="s">
        <v>889</v>
      </c>
      <c r="F227" s="3" t="s">
        <v>890</v>
      </c>
      <c r="G227" s="3" t="s">
        <v>42</v>
      </c>
      <c r="H227" t="str">
        <f t="shared" si="28"/>
        <v>АРТ-226</v>
      </c>
      <c r="I227" t="str">
        <f t="shared" si="29"/>
        <v xml:space="preserve">Мышь Steelseries Aerox 3</v>
      </c>
      <c r="J227" t="str">
        <f>IFERROR(VLOOKUP(TRIM(C227),Справочники!$A$3:$B$13,2,0),"Нет в справочнике")</f>
        <v>Аксессуары</v>
      </c>
      <c r="K227" t="str">
        <f t="shared" si="30"/>
        <v>Steelseries</v>
      </c>
      <c r="L227" s="4">
        <f t="shared" si="31"/>
        <v>3000</v>
      </c>
      <c r="M227" s="4">
        <f t="shared" si="32"/>
        <v>5990</v>
      </c>
      <c r="N227" t="str">
        <f>IFERROR(VLOOKUP(TRIM(G227),Справочники!$P$3:$Q$7,2,0),"Нет в справочнике")</f>
        <v>шт.</v>
      </c>
      <c r="O227" t="str">
        <f t="shared" si="33"/>
        <v>ОК</v>
      </c>
      <c r="P227" t="str">
        <f t="shared" si="34"/>
        <v>Уникальный</v>
      </c>
    </row>
    <row r="228">
      <c r="A228" s="3" t="s">
        <v>891</v>
      </c>
      <c r="B228" s="3" t="s">
        <v>892</v>
      </c>
      <c r="C228" s="3" t="s">
        <v>157</v>
      </c>
      <c r="D228" s="3" t="s">
        <v>893</v>
      </c>
      <c r="E228" s="3" t="s">
        <v>894</v>
      </c>
      <c r="F228" s="3" t="s">
        <v>159</v>
      </c>
      <c r="G228" s="3" t="s">
        <v>28</v>
      </c>
      <c r="H228" t="str">
        <f t="shared" ref="H228:H291" si="35">"АРТ-"&amp;TEXT(VALUE(LEFT(SUBSTITUTE(SUBSTITUTE(SUBSTITUTE(SUBSTITUTE(TRIM(A228),"№",""),"АРТ-",""),"АРТ_",""),"АРТ",""),3)),"000")</f>
        <v>АРТ-227</v>
      </c>
      <c r="I228" t="str">
        <f t="shared" ref="I228:I291" si="36">PROPER(TRIM(IFERROR(LEFT(B228,FIND("(",B228)-1),B228)))</f>
        <v xml:space="preserve">Мышь Steelseries Aerox 3</v>
      </c>
      <c r="J228" t="str">
        <f>IFERROR(VLOOKUP(TRIM(C228),Справочники!$A$3:$B$13,2,0),"Нет в справочнике")</f>
        <v>Аксессуары</v>
      </c>
      <c r="K228" t="str">
        <f t="shared" ref="K228:K291" si="37">IF(LEN(TRIM(D228))&lt;=3,UPPER(TRIM(D228)),PROPER(TRIM(D228)))</f>
        <v>Steelseries</v>
      </c>
      <c r="L228" s="4">
        <f t="shared" ref="L228:L291" si="38">ROUND(VALUE(SUBSTITUTE(SUBSTITUTE(SUBSTITUTE(SUBSTITUTE(SUBSTITUTE(TRIM(E228)," ",""),"руб.",""),"₽",""),",",""),".",""))/IF(OR(ISNUMBER(FIND(",",SUBSTITUTE(SUBSTITUTE(SUBSTITUTE(TRIM(E228)," ",""),"руб.",""),"₽",""))),ISNUMBER(FIND(".",SUBSTITUTE(SUBSTITUTE(SUBSTITUTE(TRIM(E228)," ",""),"руб.",""),"₽","")))),100,1),2)</f>
        <v>2800</v>
      </c>
      <c r="M228" s="4">
        <f t="shared" ref="M228:M291" si="39">ROUND(VALUE(SUBSTITUTE(SUBSTITUTE(SUBSTITUTE(SUBSTITUTE(SUBSTITUTE(TRIM(F228)," ",""),"руб.",""),"₽",""),",",""),".",""))/IF(OR(ISNUMBER(FIND(",",SUBSTITUTE(SUBSTITUTE(SUBSTITUTE(TRIM(F228)," ",""),"руб.",""),"₽",""))),ISNUMBER(FIND(".",SUBSTITUTE(SUBSTITUTE(SUBSTITUTE(TRIM(F228)," ",""),"руб.",""),"₽","")))),100,1),2)</f>
        <v>5500</v>
      </c>
      <c r="N228" t="str">
        <f>IFERROR(VLOOKUP(TRIM(G228),Справочники!$P$3:$Q$7,2,0),"Нет в справочнике")</f>
        <v>шт.</v>
      </c>
      <c r="O228" t="str">
        <f t="shared" ref="O228:O291" si="40">IF(M228&gt;=L228,"ОК","Розница ниже закупки")</f>
        <v>ОК</v>
      </c>
      <c r="P228" t="str">
        <f t="shared" ref="P228:P291" si="41">IF(COUNTIF($H$2:$H$502,H228)&gt;1,"Повтор артикула","Уникальный")</f>
        <v>Уникальный</v>
      </c>
    </row>
    <row r="229">
      <c r="A229" s="3" t="s">
        <v>895</v>
      </c>
      <c r="B229" s="3" t="s">
        <v>896</v>
      </c>
      <c r="C229" s="3" t="s">
        <v>157</v>
      </c>
      <c r="D229" s="3" t="s">
        <v>897</v>
      </c>
      <c r="E229" s="3" t="s">
        <v>447</v>
      </c>
      <c r="F229" s="3" t="s">
        <v>273</v>
      </c>
      <c r="G229" s="3" t="s">
        <v>22</v>
      </c>
      <c r="H229" t="str">
        <f t="shared" si="35"/>
        <v>АРТ-228</v>
      </c>
      <c r="I229" t="str">
        <f t="shared" si="36"/>
        <v xml:space="preserve">Мышь Steelseries Aerox 3</v>
      </c>
      <c r="J229" t="str">
        <f>IFERROR(VLOOKUP(TRIM(C229),Справочники!$A$3:$B$13,2,0),"Нет в справочнике")</f>
        <v>Аксессуары</v>
      </c>
      <c r="K229" t="str">
        <f t="shared" si="37"/>
        <v>Steelseries</v>
      </c>
      <c r="L229" s="4">
        <f t="shared" si="38"/>
        <v>3200</v>
      </c>
      <c r="M229" s="4">
        <f t="shared" si="39"/>
        <v>6500</v>
      </c>
      <c r="N229" t="str">
        <f>IFERROR(VLOOKUP(TRIM(G229),Справочники!$P$3:$Q$7,2,0),"Нет в справочнике")</f>
        <v>шт.</v>
      </c>
      <c r="O229" t="str">
        <f t="shared" si="40"/>
        <v>ОК</v>
      </c>
      <c r="P229" t="str">
        <f t="shared" si="41"/>
        <v>Уникальный</v>
      </c>
    </row>
    <row r="230">
      <c r="A230" s="3" t="s">
        <v>898</v>
      </c>
      <c r="B230" s="3" t="s">
        <v>899</v>
      </c>
      <c r="C230" s="3" t="s">
        <v>38</v>
      </c>
      <c r="D230" s="3" t="s">
        <v>113</v>
      </c>
      <c r="E230" s="3" t="s">
        <v>484</v>
      </c>
      <c r="F230" s="3" t="s">
        <v>900</v>
      </c>
      <c r="G230" s="3" t="s">
        <v>42</v>
      </c>
      <c r="H230" t="str">
        <f t="shared" si="35"/>
        <v>АРТ-229</v>
      </c>
      <c r="I230" t="str">
        <f t="shared" si="36"/>
        <v xml:space="preserve">Ноутбук Lenovo Yoga 9I</v>
      </c>
      <c r="J230" t="str">
        <f>IFERROR(VLOOKUP(TRIM(C230),Справочники!$A$3:$B$13,2,0),"Нет в справочнике")</f>
        <v>Ноутбуки</v>
      </c>
      <c r="K230" t="str">
        <f t="shared" si="37"/>
        <v>Lenovo</v>
      </c>
      <c r="L230" s="4">
        <f t="shared" si="38"/>
        <v>78000</v>
      </c>
      <c r="M230" s="4">
        <f t="shared" si="39"/>
        <v>119990</v>
      </c>
      <c r="N230" t="str">
        <f>IFERROR(VLOOKUP(TRIM(G230),Справочники!$P$3:$Q$7,2,0),"Нет в справочнике")</f>
        <v>шт.</v>
      </c>
      <c r="O230" t="str">
        <f t="shared" si="40"/>
        <v>ОК</v>
      </c>
      <c r="P230" t="str">
        <f t="shared" si="41"/>
        <v>Уникальный</v>
      </c>
    </row>
    <row r="231">
      <c r="A231" s="3" t="s">
        <v>901</v>
      </c>
      <c r="B231" s="3" t="s">
        <v>902</v>
      </c>
      <c r="C231" s="3" t="s">
        <v>45</v>
      </c>
      <c r="D231" s="3" t="s">
        <v>118</v>
      </c>
      <c r="E231" s="3" t="s">
        <v>489</v>
      </c>
      <c r="F231" s="3" t="s">
        <v>490</v>
      </c>
      <c r="G231" s="3" t="s">
        <v>35</v>
      </c>
      <c r="H231" t="str">
        <f t="shared" si="35"/>
        <v>АРТ-230</v>
      </c>
      <c r="I231" t="str">
        <f t="shared" si="36"/>
        <v xml:space="preserve">Ноутбук Lenovo Yoga 9I</v>
      </c>
      <c r="J231" t="str">
        <f>IFERROR(VLOOKUP(TRIM(C231),Справочники!$A$3:$B$13,2,0),"Нет в справочнике")</f>
        <v>Ноутбуки</v>
      </c>
      <c r="K231" t="str">
        <f t="shared" si="37"/>
        <v>Lenovo</v>
      </c>
      <c r="L231" s="4">
        <f t="shared" si="38"/>
        <v>76000</v>
      </c>
      <c r="M231" s="4">
        <f t="shared" si="39"/>
        <v>117000</v>
      </c>
      <c r="N231" t="str">
        <f>IFERROR(VLOOKUP(TRIM(G231),Справочники!$P$3:$Q$7,2,0),"Нет в справочнике")</f>
        <v>шт.</v>
      </c>
      <c r="O231" t="str">
        <f t="shared" si="40"/>
        <v>ОК</v>
      </c>
      <c r="P231" t="str">
        <f t="shared" si="41"/>
        <v>Уникальный</v>
      </c>
    </row>
    <row r="232">
      <c r="A232" s="3" t="s">
        <v>903</v>
      </c>
      <c r="B232" s="3" t="s">
        <v>904</v>
      </c>
      <c r="C232" s="3" t="s">
        <v>38</v>
      </c>
      <c r="D232" s="3" t="s">
        <v>123</v>
      </c>
      <c r="E232" s="3" t="s">
        <v>494</v>
      </c>
      <c r="F232" s="3" t="s">
        <v>303</v>
      </c>
      <c r="G232" s="3" t="s">
        <v>22</v>
      </c>
      <c r="H232" t="str">
        <f t="shared" si="35"/>
        <v>АРТ-231</v>
      </c>
      <c r="I232" t="str">
        <f t="shared" si="36"/>
        <v xml:space="preserve">Ноутбук Lenovo Yoga 9I</v>
      </c>
      <c r="J232" t="str">
        <f>IFERROR(VLOOKUP(TRIM(C232),Справочники!$A$3:$B$13,2,0),"Нет в справочнике")</f>
        <v>Ноутбуки</v>
      </c>
      <c r="K232" t="str">
        <f t="shared" si="37"/>
        <v>Lenovo</v>
      </c>
      <c r="L232" s="4">
        <f t="shared" si="38"/>
        <v>79500</v>
      </c>
      <c r="M232" s="4">
        <f t="shared" si="39"/>
        <v>122500</v>
      </c>
      <c r="N232" t="str">
        <f>IFERROR(VLOOKUP(TRIM(G232),Справочники!$P$3:$Q$7,2,0),"Нет в справочнике")</f>
        <v>шт.</v>
      </c>
      <c r="O232" t="str">
        <f t="shared" si="40"/>
        <v>ОК</v>
      </c>
      <c r="P232" t="str">
        <f t="shared" si="41"/>
        <v>Уникальный</v>
      </c>
    </row>
    <row r="233">
      <c r="A233" s="3" t="s">
        <v>905</v>
      </c>
      <c r="B233" s="3" t="s">
        <v>906</v>
      </c>
      <c r="C233" s="3" t="s">
        <v>18</v>
      </c>
      <c r="D233" s="3" t="s">
        <v>248</v>
      </c>
      <c r="E233" s="3" t="s">
        <v>391</v>
      </c>
      <c r="F233" s="3" t="s">
        <v>569</v>
      </c>
      <c r="G233" s="3" t="s">
        <v>42</v>
      </c>
      <c r="H233" t="str">
        <f t="shared" si="35"/>
        <v>АРТ-232</v>
      </c>
      <c r="I233" t="str">
        <f t="shared" si="36"/>
        <v xml:space="preserve">Смартфон Google Pixel 7A</v>
      </c>
      <c r="J233" t="str">
        <f>IFERROR(VLOOKUP(TRIM(C233),Справочники!$A$3:$B$13,2,0),"Нет в справочнике")</f>
        <v>Смартфоны</v>
      </c>
      <c r="K233" t="str">
        <f t="shared" si="37"/>
        <v>Google</v>
      </c>
      <c r="L233" s="4">
        <f t="shared" si="38"/>
        <v>25000</v>
      </c>
      <c r="M233" s="4">
        <f t="shared" si="39"/>
        <v>42990</v>
      </c>
      <c r="N233" t="str">
        <f>IFERROR(VLOOKUP(TRIM(G233),Справочники!$P$3:$Q$7,2,0),"Нет в справочнике")</f>
        <v>шт.</v>
      </c>
      <c r="O233" t="str">
        <f t="shared" si="40"/>
        <v>ОК</v>
      </c>
      <c r="P233" t="str">
        <f t="shared" si="41"/>
        <v>Уникальный</v>
      </c>
    </row>
    <row r="234">
      <c r="A234" s="3" t="s">
        <v>907</v>
      </c>
      <c r="B234" s="3" t="s">
        <v>908</v>
      </c>
      <c r="C234" s="3" t="s">
        <v>25</v>
      </c>
      <c r="D234" s="3" t="s">
        <v>253</v>
      </c>
      <c r="E234" s="3" t="s">
        <v>395</v>
      </c>
      <c r="F234" s="3" t="s">
        <v>572</v>
      </c>
      <c r="G234" s="3" t="s">
        <v>28</v>
      </c>
      <c r="H234" t="str">
        <f t="shared" si="35"/>
        <v>АРТ-233</v>
      </c>
      <c r="I234" t="str">
        <f t="shared" si="36"/>
        <v xml:space="preserve">Смартфон Google Pixel 7A</v>
      </c>
      <c r="J234" t="str">
        <f>IFERROR(VLOOKUP(TRIM(C234),Справочники!$A$3:$B$13,2,0),"Нет в справочнике")</f>
        <v>Смартфоны</v>
      </c>
      <c r="K234" t="str">
        <f t="shared" si="37"/>
        <v>Google</v>
      </c>
      <c r="L234" s="4">
        <f t="shared" si="38"/>
        <v>24000</v>
      </c>
      <c r="M234" s="4">
        <f t="shared" si="39"/>
        <v>41500</v>
      </c>
      <c r="N234" t="str">
        <f>IFERROR(VLOOKUP(TRIM(G234),Справочники!$P$3:$Q$7,2,0),"Нет в справочнике")</f>
        <v>шт.</v>
      </c>
      <c r="O234" t="str">
        <f t="shared" si="40"/>
        <v>ОК</v>
      </c>
      <c r="P234" t="str">
        <f t="shared" si="41"/>
        <v>Уникальный</v>
      </c>
    </row>
    <row r="235">
      <c r="A235" s="3" t="s">
        <v>909</v>
      </c>
      <c r="B235" s="3" t="s">
        <v>910</v>
      </c>
      <c r="C235" s="3" t="s">
        <v>31</v>
      </c>
      <c r="D235" s="3" t="s">
        <v>258</v>
      </c>
      <c r="E235" s="3" t="s">
        <v>399</v>
      </c>
      <c r="F235" s="3" t="s">
        <v>384</v>
      </c>
      <c r="G235" s="3" t="s">
        <v>22</v>
      </c>
      <c r="H235" t="str">
        <f t="shared" si="35"/>
        <v>АРТ-234</v>
      </c>
      <c r="I235" t="str">
        <f t="shared" si="36"/>
        <v xml:space="preserve">Смартфон Google Pixel 7A</v>
      </c>
      <c r="J235" t="str">
        <f>IFERROR(VLOOKUP(TRIM(C235),Справочники!$A$3:$B$13,2,0),"Нет в справочнике")</f>
        <v>Смартфоны</v>
      </c>
      <c r="K235" t="str">
        <f t="shared" si="37"/>
        <v>Google</v>
      </c>
      <c r="L235" s="4">
        <f t="shared" si="38"/>
        <v>26000</v>
      </c>
      <c r="M235" s="4">
        <f t="shared" si="39"/>
        <v>44500</v>
      </c>
      <c r="N235" t="str">
        <f>IFERROR(VLOOKUP(TRIM(G235),Справочники!$P$3:$Q$7,2,0),"Нет в справочнике")</f>
        <v>шт.</v>
      </c>
      <c r="O235" t="str">
        <f t="shared" si="40"/>
        <v>ОК</v>
      </c>
      <c r="P235" t="str">
        <f t="shared" si="41"/>
        <v>Уникальный</v>
      </c>
    </row>
    <row r="236">
      <c r="A236" s="3" t="s">
        <v>911</v>
      </c>
      <c r="B236" s="3" t="s">
        <v>912</v>
      </c>
      <c r="C236" s="3" t="s">
        <v>69</v>
      </c>
      <c r="D236" s="3" t="s">
        <v>185</v>
      </c>
      <c r="E236" s="3" t="s">
        <v>913</v>
      </c>
      <c r="F236" s="3" t="s">
        <v>845</v>
      </c>
      <c r="G236" s="3" t="s">
        <v>42</v>
      </c>
      <c r="H236" t="str">
        <f t="shared" si="35"/>
        <v>АРТ-235</v>
      </c>
      <c r="I236" t="str">
        <f t="shared" si="36"/>
        <v xml:space="preserve">Планшет Huawei Matebook E</v>
      </c>
      <c r="J236" t="str">
        <f>IFERROR(VLOOKUP(TRIM(C236),Справочники!$A$3:$B$13,2,0),"Нет в справочнике")</f>
        <v>Планшеты</v>
      </c>
      <c r="K236" t="str">
        <f t="shared" si="37"/>
        <v>Huawei</v>
      </c>
      <c r="L236" s="4">
        <f t="shared" si="38"/>
        <v>38000</v>
      </c>
      <c r="M236" s="4">
        <f t="shared" si="39"/>
        <v>59990</v>
      </c>
      <c r="N236" t="str">
        <f>IFERROR(VLOOKUP(TRIM(G236),Справочники!$P$3:$Q$7,2,0),"Нет в справочнике")</f>
        <v>шт.</v>
      </c>
      <c r="O236" t="str">
        <f t="shared" si="40"/>
        <v>ОК</v>
      </c>
      <c r="P236" t="str">
        <f t="shared" si="41"/>
        <v>Уникальный</v>
      </c>
    </row>
    <row r="237">
      <c r="A237" s="3" t="s">
        <v>914</v>
      </c>
      <c r="B237" s="3" t="s">
        <v>915</v>
      </c>
      <c r="C237" s="3" t="s">
        <v>69</v>
      </c>
      <c r="D237" s="3" t="s">
        <v>190</v>
      </c>
      <c r="E237" s="3" t="s">
        <v>884</v>
      </c>
      <c r="F237" s="3" t="s">
        <v>602</v>
      </c>
      <c r="G237" s="3" t="s">
        <v>35</v>
      </c>
      <c r="H237" t="str">
        <f t="shared" si="35"/>
        <v>АРТ-236</v>
      </c>
      <c r="I237" t="str">
        <f t="shared" si="36"/>
        <v xml:space="preserve">Планшет Huawei Matebook E</v>
      </c>
      <c r="J237" t="str">
        <f>IFERROR(VLOOKUP(TRIM(C237),Справочники!$A$3:$B$13,2,0),"Нет в справочнике")</f>
        <v>Планшеты</v>
      </c>
      <c r="K237" t="str">
        <f t="shared" si="37"/>
        <v>Huawei</v>
      </c>
      <c r="L237" s="4">
        <f t="shared" si="38"/>
        <v>36500</v>
      </c>
      <c r="M237" s="4">
        <f t="shared" si="39"/>
        <v>58000</v>
      </c>
      <c r="N237" t="str">
        <f>IFERROR(VLOOKUP(TRIM(G237),Справочники!$P$3:$Q$7,2,0),"Нет в справочнике")</f>
        <v>шт.</v>
      </c>
      <c r="O237" t="str">
        <f t="shared" si="40"/>
        <v>ОК</v>
      </c>
      <c r="P237" t="str">
        <f t="shared" si="41"/>
        <v>Уникальный</v>
      </c>
    </row>
    <row r="238">
      <c r="A238" s="3" t="s">
        <v>916</v>
      </c>
      <c r="B238" s="3" t="s">
        <v>917</v>
      </c>
      <c r="C238" s="3" t="s">
        <v>69</v>
      </c>
      <c r="D238" s="3" t="s">
        <v>195</v>
      </c>
      <c r="E238" s="3" t="s">
        <v>61</v>
      </c>
      <c r="F238" s="3" t="s">
        <v>432</v>
      </c>
      <c r="G238" s="3" t="s">
        <v>22</v>
      </c>
      <c r="H238" t="str">
        <f t="shared" si="35"/>
        <v>АРТ-237</v>
      </c>
      <c r="I238" t="str">
        <f t="shared" si="36"/>
        <v xml:space="preserve">Планшет Huawei Matebook E</v>
      </c>
      <c r="J238" t="str">
        <f>IFERROR(VLOOKUP(TRIM(C238),Справочники!$A$3:$B$13,2,0),"Нет в справочнике")</f>
        <v>Планшеты</v>
      </c>
      <c r="K238" t="str">
        <f t="shared" si="37"/>
        <v>Huawei</v>
      </c>
      <c r="L238" s="4">
        <f t="shared" si="38"/>
        <v>39500</v>
      </c>
      <c r="M238" s="4">
        <f t="shared" si="39"/>
        <v>62000</v>
      </c>
      <c r="N238" t="str">
        <f>IFERROR(VLOOKUP(TRIM(G238),Справочники!$P$3:$Q$7,2,0),"Нет в справочнике")</f>
        <v>шт.</v>
      </c>
      <c r="O238" t="str">
        <f t="shared" si="40"/>
        <v>ОК</v>
      </c>
      <c r="P238" t="str">
        <f t="shared" si="41"/>
        <v>Уникальный</v>
      </c>
    </row>
    <row r="239">
      <c r="A239" s="3" t="s">
        <v>918</v>
      </c>
      <c r="B239" s="3" t="s">
        <v>919</v>
      </c>
      <c r="C239" s="3" t="s">
        <v>83</v>
      </c>
      <c r="D239" s="3" t="s">
        <v>224</v>
      </c>
      <c r="E239" s="3" t="s">
        <v>403</v>
      </c>
      <c r="F239" s="3" t="s">
        <v>920</v>
      </c>
      <c r="G239" s="3" t="s">
        <v>42</v>
      </c>
      <c r="H239" t="str">
        <f t="shared" si="35"/>
        <v>АРТ-238</v>
      </c>
      <c r="I239" t="str">
        <f t="shared" si="36"/>
        <v xml:space="preserve">Телевизор Sony X90L</v>
      </c>
      <c r="J239" t="str">
        <f>IFERROR(VLOOKUP(TRIM(C239),Справочники!$A$3:$B$13,2,0),"Нет в справочнике")</f>
        <v>Телевизоры</v>
      </c>
      <c r="K239" t="str">
        <f t="shared" si="37"/>
        <v>Sony</v>
      </c>
      <c r="L239" s="4">
        <f t="shared" si="38"/>
        <v>72000</v>
      </c>
      <c r="M239" s="4">
        <f t="shared" si="39"/>
        <v>110990</v>
      </c>
      <c r="N239" t="str">
        <f>IFERROR(VLOOKUP(TRIM(G239),Справочники!$P$3:$Q$7,2,0),"Нет в справочнике")</f>
        <v>шт.</v>
      </c>
      <c r="O239" t="str">
        <f t="shared" si="40"/>
        <v>ОК</v>
      </c>
      <c r="P239" t="str">
        <f t="shared" si="41"/>
        <v>Уникальный</v>
      </c>
    </row>
    <row r="240">
      <c r="A240" s="3" t="s">
        <v>921</v>
      </c>
      <c r="B240" s="3" t="s">
        <v>922</v>
      </c>
      <c r="C240" s="3" t="s">
        <v>83</v>
      </c>
      <c r="D240" s="3" t="s">
        <v>104</v>
      </c>
      <c r="E240" s="3" t="s">
        <v>326</v>
      </c>
      <c r="F240" s="3" t="s">
        <v>550</v>
      </c>
      <c r="G240" s="3" t="s">
        <v>28</v>
      </c>
      <c r="H240" t="str">
        <f t="shared" si="35"/>
        <v>АРТ-239</v>
      </c>
      <c r="I240" t="str">
        <f t="shared" si="36"/>
        <v xml:space="preserve">Телевизор Sony X90L</v>
      </c>
      <c r="J240" t="str">
        <f>IFERROR(VLOOKUP(TRIM(C240),Справочники!$A$3:$B$13,2,0),"Нет в справочнике")</f>
        <v>Телевизоры</v>
      </c>
      <c r="K240" t="str">
        <f t="shared" si="37"/>
        <v>Sony</v>
      </c>
      <c r="L240" s="4">
        <f t="shared" si="38"/>
        <v>70000</v>
      </c>
      <c r="M240" s="4">
        <f t="shared" si="39"/>
        <v>108000</v>
      </c>
      <c r="N240" t="str">
        <f>IFERROR(VLOOKUP(TRIM(G240),Справочники!$P$3:$Q$7,2,0),"Нет в справочнике")</f>
        <v>шт.</v>
      </c>
      <c r="O240" t="str">
        <f t="shared" si="40"/>
        <v>ОК</v>
      </c>
      <c r="P240" t="str">
        <f t="shared" si="41"/>
        <v>Уникальный</v>
      </c>
    </row>
    <row r="241">
      <c r="A241" s="3" t="s">
        <v>923</v>
      </c>
      <c r="B241" s="3" t="s">
        <v>924</v>
      </c>
      <c r="C241" s="3" t="s">
        <v>83</v>
      </c>
      <c r="D241" s="3" t="s">
        <v>99</v>
      </c>
      <c r="E241" s="3" t="s">
        <v>410</v>
      </c>
      <c r="F241" s="3" t="s">
        <v>925</v>
      </c>
      <c r="G241" s="3" t="s">
        <v>22</v>
      </c>
      <c r="H241" t="str">
        <f t="shared" si="35"/>
        <v>АРТ-240</v>
      </c>
      <c r="I241" t="str">
        <f t="shared" si="36"/>
        <v xml:space="preserve">Телевизор Sony X90L</v>
      </c>
      <c r="J241" t="str">
        <f>IFERROR(VLOOKUP(TRIM(C241),Справочники!$A$3:$B$13,2,0),"Нет в справочнике")</f>
        <v>Телевизоры</v>
      </c>
      <c r="K241" t="str">
        <f t="shared" si="37"/>
        <v>Sony</v>
      </c>
      <c r="L241" s="4">
        <f t="shared" si="38"/>
        <v>73500</v>
      </c>
      <c r="M241" s="4">
        <f t="shared" si="39"/>
        <v>113500</v>
      </c>
      <c r="N241" t="str">
        <f>IFERROR(VLOOKUP(TRIM(G241),Справочники!$P$3:$Q$7,2,0),"Нет в справочнике")</f>
        <v>шт.</v>
      </c>
      <c r="O241" t="str">
        <f t="shared" si="40"/>
        <v>ОК</v>
      </c>
      <c r="P241" t="str">
        <f t="shared" si="41"/>
        <v>Уникальный</v>
      </c>
    </row>
    <row r="242">
      <c r="A242" s="3" t="s">
        <v>926</v>
      </c>
      <c r="B242" s="3" t="s">
        <v>927</v>
      </c>
      <c r="C242" s="3" t="s">
        <v>98</v>
      </c>
      <c r="D242" s="3" t="s">
        <v>928</v>
      </c>
      <c r="E242" s="3" t="s">
        <v>913</v>
      </c>
      <c r="F242" s="3" t="s">
        <v>845</v>
      </c>
      <c r="G242" s="3" t="s">
        <v>42</v>
      </c>
      <c r="H242" t="str">
        <f t="shared" si="35"/>
        <v>АРТ-241</v>
      </c>
      <c r="I242" t="str">
        <f t="shared" si="36"/>
        <v xml:space="preserve">Наушники Focal Bathys</v>
      </c>
      <c r="J242" t="str">
        <f>IFERROR(VLOOKUP(TRIM(C242),Справочники!$A$3:$B$13,2,0),"Нет в справочнике")</f>
        <v>Наушники</v>
      </c>
      <c r="K242" t="str">
        <f t="shared" si="37"/>
        <v>Focal</v>
      </c>
      <c r="L242" s="4">
        <f t="shared" si="38"/>
        <v>38000</v>
      </c>
      <c r="M242" s="4">
        <f t="shared" si="39"/>
        <v>59990</v>
      </c>
      <c r="N242" t="str">
        <f>IFERROR(VLOOKUP(TRIM(G242),Справочники!$P$3:$Q$7,2,0),"Нет в справочнике")</f>
        <v>шт.</v>
      </c>
      <c r="O242" t="str">
        <f t="shared" si="40"/>
        <v>ОК</v>
      </c>
      <c r="P242" t="str">
        <f t="shared" si="41"/>
        <v>Уникальный</v>
      </c>
    </row>
    <row r="243">
      <c r="A243" s="3" t="s">
        <v>929</v>
      </c>
      <c r="B243" s="3" t="s">
        <v>930</v>
      </c>
      <c r="C243" s="3" t="s">
        <v>98</v>
      </c>
      <c r="D243" s="3" t="s">
        <v>931</v>
      </c>
      <c r="E243" s="3" t="s">
        <v>852</v>
      </c>
      <c r="F243" s="3" t="s">
        <v>602</v>
      </c>
      <c r="G243" s="3" t="s">
        <v>35</v>
      </c>
      <c r="H243" t="str">
        <f t="shared" si="35"/>
        <v>АРТ-242</v>
      </c>
      <c r="I243" t="str">
        <f t="shared" si="36"/>
        <v xml:space="preserve">Наушники Focal Bathys</v>
      </c>
      <c r="J243" t="str">
        <f>IFERROR(VLOOKUP(TRIM(C243),Справочники!$A$3:$B$13,2,0),"Нет в справочнике")</f>
        <v>Наушники</v>
      </c>
      <c r="K243" t="str">
        <f t="shared" si="37"/>
        <v>Focal</v>
      </c>
      <c r="L243" s="4">
        <f t="shared" si="38"/>
        <v>37000</v>
      </c>
      <c r="M243" s="4">
        <f t="shared" si="39"/>
        <v>58000</v>
      </c>
      <c r="N243" t="str">
        <f>IFERROR(VLOOKUP(TRIM(G243),Справочники!$P$3:$Q$7,2,0),"Нет в справочнике")</f>
        <v>шт.</v>
      </c>
      <c r="O243" t="str">
        <f t="shared" si="40"/>
        <v>ОК</v>
      </c>
      <c r="P243" t="str">
        <f t="shared" si="41"/>
        <v>Уникальный</v>
      </c>
    </row>
    <row r="244">
      <c r="A244" s="3" t="s">
        <v>932</v>
      </c>
      <c r="B244" s="3" t="s">
        <v>933</v>
      </c>
      <c r="C244" s="3" t="s">
        <v>98</v>
      </c>
      <c r="D244" s="3" t="s">
        <v>934</v>
      </c>
      <c r="E244" s="3" t="s">
        <v>191</v>
      </c>
      <c r="F244" s="3" t="s">
        <v>432</v>
      </c>
      <c r="G244" s="3" t="s">
        <v>22</v>
      </c>
      <c r="H244" t="str">
        <f t="shared" si="35"/>
        <v>АРТ-243</v>
      </c>
      <c r="I244" t="str">
        <f t="shared" si="36"/>
        <v xml:space="preserve">Наушники Focal Bathys</v>
      </c>
      <c r="J244" t="str">
        <f>IFERROR(VLOOKUP(TRIM(C244),Справочники!$A$3:$B$13,2,0),"Нет в справочнике")</f>
        <v>Наушники</v>
      </c>
      <c r="K244" t="str">
        <f t="shared" si="37"/>
        <v>Focal</v>
      </c>
      <c r="L244" s="4">
        <f t="shared" si="38"/>
        <v>39000</v>
      </c>
      <c r="M244" s="4">
        <f t="shared" si="39"/>
        <v>62000</v>
      </c>
      <c r="N244" t="str">
        <f>IFERROR(VLOOKUP(TRIM(G244),Справочники!$P$3:$Q$7,2,0),"Нет в справочнике")</f>
        <v>шт.</v>
      </c>
      <c r="O244" t="str">
        <f t="shared" si="40"/>
        <v>ОК</v>
      </c>
      <c r="P244" t="str">
        <f t="shared" si="41"/>
        <v>Уникальный</v>
      </c>
    </row>
    <row r="245">
      <c r="A245" s="3" t="s">
        <v>935</v>
      </c>
      <c r="B245" s="3" t="s">
        <v>936</v>
      </c>
      <c r="C245" s="3" t="s">
        <v>143</v>
      </c>
      <c r="D245" s="3" t="s">
        <v>55</v>
      </c>
      <c r="E245" s="3" t="s">
        <v>702</v>
      </c>
      <c r="F245" s="3" t="s">
        <v>937</v>
      </c>
      <c r="G245" s="3" t="s">
        <v>42</v>
      </c>
      <c r="H245" t="str">
        <f t="shared" si="35"/>
        <v>АРТ-244</v>
      </c>
      <c r="I245" t="str">
        <f t="shared" si="36"/>
        <v xml:space="preserve">Монитор Samsung Smart Monitor M8</v>
      </c>
      <c r="J245" t="str">
        <f>IFERROR(VLOOKUP(TRIM(C245),Справочники!$A$3:$B$13,2,0),"Нет в справочнике")</f>
        <v>Мониторы</v>
      </c>
      <c r="K245" t="str">
        <f t="shared" si="37"/>
        <v>Samsung</v>
      </c>
      <c r="L245" s="4">
        <f t="shared" si="38"/>
        <v>50000</v>
      </c>
      <c r="M245" s="4">
        <f t="shared" si="39"/>
        <v>77990</v>
      </c>
      <c r="N245" t="str">
        <f>IFERROR(VLOOKUP(TRIM(G245),Справочники!$P$3:$Q$7,2,0),"Нет в справочнике")</f>
        <v>шт.</v>
      </c>
      <c r="O245" t="str">
        <f t="shared" si="40"/>
        <v>ОК</v>
      </c>
      <c r="P245" t="str">
        <f t="shared" si="41"/>
        <v>Уникальный</v>
      </c>
    </row>
    <row r="246">
      <c r="A246" s="3" t="s">
        <v>938</v>
      </c>
      <c r="B246" s="3" t="s">
        <v>939</v>
      </c>
      <c r="C246" s="3" t="s">
        <v>143</v>
      </c>
      <c r="D246" s="3" t="s">
        <v>148</v>
      </c>
      <c r="E246" s="3" t="s">
        <v>512</v>
      </c>
      <c r="F246" s="3" t="s">
        <v>940</v>
      </c>
      <c r="G246" s="3" t="s">
        <v>28</v>
      </c>
      <c r="H246" t="str">
        <f t="shared" si="35"/>
        <v>АРТ-245</v>
      </c>
      <c r="I246" t="str">
        <f t="shared" si="36"/>
        <v xml:space="preserve">Монитор Samsung Smart Monitor M8</v>
      </c>
      <c r="J246" t="str">
        <f>IFERROR(VLOOKUP(TRIM(C246),Справочники!$A$3:$B$13,2,0),"Нет в справочнике")</f>
        <v>Мониторы</v>
      </c>
      <c r="K246" t="str">
        <f t="shared" si="37"/>
        <v>Samsung</v>
      </c>
      <c r="L246" s="4">
        <f t="shared" si="38"/>
        <v>48000</v>
      </c>
      <c r="M246" s="4">
        <f t="shared" si="39"/>
        <v>75000</v>
      </c>
      <c r="N246" t="str">
        <f>IFERROR(VLOOKUP(TRIM(G246),Справочники!$P$3:$Q$7,2,0),"Нет в справочнике")</f>
        <v>шт.</v>
      </c>
      <c r="O246" t="str">
        <f t="shared" si="40"/>
        <v>ОК</v>
      </c>
      <c r="P246" t="str">
        <f t="shared" si="41"/>
        <v>Уникальный</v>
      </c>
    </row>
    <row r="247">
      <c r="A247" s="3" t="s">
        <v>941</v>
      </c>
      <c r="B247" s="3" t="s">
        <v>942</v>
      </c>
      <c r="C247" s="3" t="s">
        <v>143</v>
      </c>
      <c r="D247" s="3" t="s">
        <v>60</v>
      </c>
      <c r="E247" s="3" t="s">
        <v>771</v>
      </c>
      <c r="F247" s="3" t="s">
        <v>582</v>
      </c>
      <c r="G247" s="3" t="s">
        <v>22</v>
      </c>
      <c r="H247" t="str">
        <f t="shared" si="35"/>
        <v>АРТ-246</v>
      </c>
      <c r="I247" t="str">
        <f t="shared" si="36"/>
        <v xml:space="preserve">Монитор Samsung Smart Monitor M8</v>
      </c>
      <c r="J247" t="str">
        <f>IFERROR(VLOOKUP(TRIM(C247),Справочники!$A$3:$B$13,2,0),"Нет в справочнике")</f>
        <v>Мониторы</v>
      </c>
      <c r="K247" t="str">
        <f t="shared" si="37"/>
        <v>Samsung</v>
      </c>
      <c r="L247" s="4">
        <f t="shared" si="38"/>
        <v>51500</v>
      </c>
      <c r="M247" s="4">
        <f t="shared" si="39"/>
        <v>80000</v>
      </c>
      <c r="N247" t="str">
        <f>IFERROR(VLOOKUP(TRIM(G247),Справочники!$P$3:$Q$7,2,0),"Нет в справочнике")</f>
        <v>шт.</v>
      </c>
      <c r="O247" t="str">
        <f t="shared" si="40"/>
        <v>ОК</v>
      </c>
      <c r="P247" t="str">
        <f t="shared" si="41"/>
        <v>Уникальный</v>
      </c>
    </row>
    <row r="248">
      <c r="A248" s="3" t="s">
        <v>943</v>
      </c>
      <c r="B248" s="3" t="s">
        <v>944</v>
      </c>
      <c r="C248" s="3" t="s">
        <v>157</v>
      </c>
      <c r="D248" s="3" t="s">
        <v>158</v>
      </c>
      <c r="E248" s="3" t="s">
        <v>423</v>
      </c>
      <c r="F248" s="3" t="s">
        <v>160</v>
      </c>
      <c r="G248" s="3" t="s">
        <v>42</v>
      </c>
      <c r="H248" t="str">
        <f t="shared" si="35"/>
        <v>АРТ-247</v>
      </c>
      <c r="I248" t="str">
        <f t="shared" si="36"/>
        <v xml:space="preserve">Клавиатура Logitech G Pro X</v>
      </c>
      <c r="J248" t="str">
        <f>IFERROR(VLOOKUP(TRIM(C248),Справочники!$A$3:$B$13,2,0),"Нет в справочнике")</f>
        <v>Аксессуары</v>
      </c>
      <c r="K248" t="str">
        <f t="shared" si="37"/>
        <v>Logitech</v>
      </c>
      <c r="L248" s="4">
        <f t="shared" si="38"/>
        <v>6000</v>
      </c>
      <c r="M248" s="4">
        <f t="shared" si="39"/>
        <v>9990</v>
      </c>
      <c r="N248" t="str">
        <f>IFERROR(VLOOKUP(TRIM(G248),Справочники!$P$3:$Q$7,2,0),"Нет в справочнике")</f>
        <v>шт.</v>
      </c>
      <c r="O248" t="str">
        <f t="shared" si="40"/>
        <v>ОК</v>
      </c>
      <c r="P248" t="str">
        <f t="shared" si="41"/>
        <v>Уникальный</v>
      </c>
    </row>
    <row r="249">
      <c r="A249" s="3" t="s">
        <v>945</v>
      </c>
      <c r="B249" s="3" t="s">
        <v>946</v>
      </c>
      <c r="C249" s="3" t="s">
        <v>157</v>
      </c>
      <c r="D249" s="3" t="s">
        <v>163</v>
      </c>
      <c r="E249" s="3" t="s">
        <v>159</v>
      </c>
      <c r="F249" s="3" t="s">
        <v>165</v>
      </c>
      <c r="G249" s="3" t="s">
        <v>35</v>
      </c>
      <c r="H249" t="str">
        <f t="shared" si="35"/>
        <v>АРТ-248</v>
      </c>
      <c r="I249" t="str">
        <f t="shared" si="36"/>
        <v xml:space="preserve">Клавиатура Logitech G Pro X</v>
      </c>
      <c r="J249" t="str">
        <f>IFERROR(VLOOKUP(TRIM(C249),Справочники!$A$3:$B$13,2,0),"Нет в справочнике")</f>
        <v>Аксессуары</v>
      </c>
      <c r="K249" t="str">
        <f t="shared" si="37"/>
        <v>Logitech</v>
      </c>
      <c r="L249" s="4">
        <f t="shared" si="38"/>
        <v>5500</v>
      </c>
      <c r="M249" s="4">
        <f t="shared" si="39"/>
        <v>9500</v>
      </c>
      <c r="N249" t="str">
        <f>IFERROR(VLOOKUP(TRIM(G249),Справочники!$P$3:$Q$7,2,0),"Нет в справочнике")</f>
        <v>шт.</v>
      </c>
      <c r="O249" t="str">
        <f t="shared" si="40"/>
        <v>ОК</v>
      </c>
      <c r="P249" t="str">
        <f t="shared" si="41"/>
        <v>Уникальный</v>
      </c>
    </row>
    <row r="250">
      <c r="A250" s="3" t="s">
        <v>947</v>
      </c>
      <c r="B250" s="3" t="s">
        <v>948</v>
      </c>
      <c r="C250" s="3" t="s">
        <v>157</v>
      </c>
      <c r="D250" s="3" t="s">
        <v>168</v>
      </c>
      <c r="E250" s="3" t="s">
        <v>273</v>
      </c>
      <c r="F250" s="3" t="s">
        <v>821</v>
      </c>
      <c r="G250" s="3" t="s">
        <v>22</v>
      </c>
      <c r="H250" t="str">
        <f t="shared" si="35"/>
        <v>АРТ-249</v>
      </c>
      <c r="I250" t="str">
        <f t="shared" si="36"/>
        <v xml:space="preserve">Клавиатура Logitech G Pro X</v>
      </c>
      <c r="J250" t="str">
        <f>IFERROR(VLOOKUP(TRIM(C250),Справочники!$A$3:$B$13,2,0),"Нет в справочнике")</f>
        <v>Аксессуары</v>
      </c>
      <c r="K250" t="str">
        <f t="shared" si="37"/>
        <v>Logitech</v>
      </c>
      <c r="L250" s="4">
        <f t="shared" si="38"/>
        <v>6500</v>
      </c>
      <c r="M250" s="4">
        <f t="shared" si="39"/>
        <v>10800</v>
      </c>
      <c r="N250" t="str">
        <f>IFERROR(VLOOKUP(TRIM(G250),Справочники!$P$3:$Q$7,2,0),"Нет в справочнике")</f>
        <v>шт.</v>
      </c>
      <c r="O250" t="str">
        <f t="shared" si="40"/>
        <v>ОК</v>
      </c>
      <c r="P250" t="str">
        <f t="shared" si="41"/>
        <v>Уникальный</v>
      </c>
    </row>
    <row r="251">
      <c r="A251" s="3" t="s">
        <v>949</v>
      </c>
      <c r="B251" s="3" t="s">
        <v>950</v>
      </c>
      <c r="C251" s="3" t="s">
        <v>199</v>
      </c>
      <c r="D251" s="3" t="s">
        <v>534</v>
      </c>
      <c r="E251" s="3" t="s">
        <v>129</v>
      </c>
      <c r="F251" s="3" t="s">
        <v>879</v>
      </c>
      <c r="G251" s="3" t="s">
        <v>42</v>
      </c>
      <c r="H251" t="str">
        <f t="shared" si="35"/>
        <v>АРТ-250</v>
      </c>
      <c r="I251" t="str">
        <f t="shared" si="36"/>
        <v xml:space="preserve">Смарт-Часы Garmin Venu 3</v>
      </c>
      <c r="J251" t="str">
        <f>IFERROR(VLOOKUP(TRIM(C251),Справочники!$A$3:$B$13,2,0),"Нет в справочнике")</f>
        <v>Часы</v>
      </c>
      <c r="K251" t="str">
        <f t="shared" si="37"/>
        <v>Garmin</v>
      </c>
      <c r="L251" s="4">
        <f t="shared" si="38"/>
        <v>35000</v>
      </c>
      <c r="M251" s="4">
        <f t="shared" si="39"/>
        <v>54990</v>
      </c>
      <c r="N251" t="str">
        <f>IFERROR(VLOOKUP(TRIM(G251),Справочники!$P$3:$Q$7,2,0),"Нет в справочнике")</f>
        <v>шт.</v>
      </c>
      <c r="O251" t="str">
        <f t="shared" si="40"/>
        <v>ОК</v>
      </c>
      <c r="P251" t="str">
        <f t="shared" si="41"/>
        <v>Уникальный</v>
      </c>
    </row>
    <row r="252">
      <c r="A252" s="3" t="s">
        <v>951</v>
      </c>
      <c r="B252" s="3" t="s">
        <v>952</v>
      </c>
      <c r="C252" s="3" t="s">
        <v>199</v>
      </c>
      <c r="D252" s="3" t="s">
        <v>538</v>
      </c>
      <c r="E252" s="3" t="s">
        <v>415</v>
      </c>
      <c r="F252" s="3" t="s">
        <v>255</v>
      </c>
      <c r="G252" s="3" t="s">
        <v>28</v>
      </c>
      <c r="H252" t="str">
        <f t="shared" si="35"/>
        <v>АРТ-251</v>
      </c>
      <c r="I252" t="str">
        <f t="shared" si="36"/>
        <v xml:space="preserve">Смарт-Часы Garmin Venu 3</v>
      </c>
      <c r="J252" t="str">
        <f>IFERROR(VLOOKUP(TRIM(C252),Справочники!$A$3:$B$13,2,0),"Нет в справочнике")</f>
        <v>Часы</v>
      </c>
      <c r="K252" t="str">
        <f t="shared" si="37"/>
        <v>Garmin</v>
      </c>
      <c r="L252" s="4">
        <f t="shared" si="38"/>
        <v>34000</v>
      </c>
      <c r="M252" s="4">
        <f t="shared" si="39"/>
        <v>53500</v>
      </c>
      <c r="N252" t="str">
        <f>IFERROR(VLOOKUP(TRIM(G252),Справочники!$P$3:$Q$7,2,0),"Нет в справочнике")</f>
        <v>шт.</v>
      </c>
      <c r="O252" t="str">
        <f t="shared" si="40"/>
        <v>ОК</v>
      </c>
      <c r="P252" t="str">
        <f t="shared" si="41"/>
        <v>Уникальный</v>
      </c>
    </row>
    <row r="253">
      <c r="A253" s="3" t="s">
        <v>953</v>
      </c>
      <c r="B253" s="3" t="s">
        <v>954</v>
      </c>
      <c r="C253" s="3" t="s">
        <v>199</v>
      </c>
      <c r="D253" s="3" t="s">
        <v>542</v>
      </c>
      <c r="E253" s="3" t="s">
        <v>418</v>
      </c>
      <c r="F253" s="3" t="s">
        <v>419</v>
      </c>
      <c r="G253" s="3" t="s">
        <v>22</v>
      </c>
      <c r="H253" t="str">
        <f t="shared" si="35"/>
        <v>АРТ-252</v>
      </c>
      <c r="I253" t="str">
        <f t="shared" si="36"/>
        <v xml:space="preserve">Смарт-Часы Garmin Venu 3</v>
      </c>
      <c r="J253" t="str">
        <f>IFERROR(VLOOKUP(TRIM(C253),Справочники!$A$3:$B$13,2,0),"Нет в справочнике")</f>
        <v>Часы</v>
      </c>
      <c r="K253" t="str">
        <f t="shared" si="37"/>
        <v>Garmin</v>
      </c>
      <c r="L253" s="4">
        <f t="shared" si="38"/>
        <v>36000</v>
      </c>
      <c r="M253" s="4">
        <f t="shared" si="39"/>
        <v>56500</v>
      </c>
      <c r="N253" t="str">
        <f>IFERROR(VLOOKUP(TRIM(G253),Справочники!$P$3:$Q$7,2,0),"Нет в справочнике")</f>
        <v>шт.</v>
      </c>
      <c r="O253" t="str">
        <f t="shared" si="40"/>
        <v>ОК</v>
      </c>
      <c r="P253" t="str">
        <f t="shared" si="41"/>
        <v>Уникальный</v>
      </c>
    </row>
    <row r="254">
      <c r="A254" s="3" t="s">
        <v>955</v>
      </c>
      <c r="B254" s="3" t="s">
        <v>956</v>
      </c>
      <c r="C254" s="3" t="s">
        <v>38</v>
      </c>
      <c r="D254" s="3" t="s">
        <v>212</v>
      </c>
      <c r="E254" s="3" t="s">
        <v>957</v>
      </c>
      <c r="F254" s="3" t="s">
        <v>958</v>
      </c>
      <c r="G254" s="3" t="s">
        <v>42</v>
      </c>
      <c r="H254" t="str">
        <f t="shared" si="35"/>
        <v>АРТ-253</v>
      </c>
      <c r="I254" t="str">
        <f t="shared" si="36"/>
        <v xml:space="preserve">Ноутбук Dell Alienware M18</v>
      </c>
      <c r="J254" t="str">
        <f>IFERROR(VLOOKUP(TRIM(C254),Справочники!$A$3:$B$13,2,0),"Нет в справочнике")</f>
        <v>Ноутбуки</v>
      </c>
      <c r="K254" t="str">
        <f t="shared" si="37"/>
        <v>Dell</v>
      </c>
      <c r="L254" s="4">
        <f t="shared" si="38"/>
        <v>105000</v>
      </c>
      <c r="M254" s="4">
        <f t="shared" si="39"/>
        <v>159990</v>
      </c>
      <c r="N254" t="str">
        <f>IFERROR(VLOOKUP(TRIM(G254),Справочники!$P$3:$Q$7,2,0),"Нет в справочнике")</f>
        <v>шт.</v>
      </c>
      <c r="O254" t="str">
        <f t="shared" si="40"/>
        <v>ОК</v>
      </c>
      <c r="P254" t="str">
        <f t="shared" si="41"/>
        <v>Уникальный</v>
      </c>
    </row>
    <row r="255">
      <c r="A255" s="3" t="s">
        <v>959</v>
      </c>
      <c r="B255" s="3" t="s">
        <v>960</v>
      </c>
      <c r="C255" s="3" t="s">
        <v>45</v>
      </c>
      <c r="D255" s="3" t="s">
        <v>216</v>
      </c>
      <c r="E255" s="3" t="s">
        <v>961</v>
      </c>
      <c r="F255" s="3" t="s">
        <v>962</v>
      </c>
      <c r="G255" s="3" t="s">
        <v>35</v>
      </c>
      <c r="H255" t="str">
        <f t="shared" si="35"/>
        <v>АРТ-254</v>
      </c>
      <c r="I255" t="str">
        <f t="shared" si="36"/>
        <v xml:space="preserve">Ноутбук Dell Alienware M18</v>
      </c>
      <c r="J255" t="str">
        <f>IFERROR(VLOOKUP(TRIM(C255),Справочники!$A$3:$B$13,2,0),"Нет в справочнике")</f>
        <v>Ноутбуки</v>
      </c>
      <c r="K255" t="str">
        <f t="shared" si="37"/>
        <v>Dell</v>
      </c>
      <c r="L255" s="4">
        <f t="shared" si="38"/>
        <v>103000</v>
      </c>
      <c r="M255" s="4">
        <f t="shared" si="39"/>
        <v>157000</v>
      </c>
      <c r="N255" t="str">
        <f>IFERROR(VLOOKUP(TRIM(G255),Справочники!$P$3:$Q$7,2,0),"Нет в справочнике")</f>
        <v>шт.</v>
      </c>
      <c r="O255" t="str">
        <f t="shared" si="40"/>
        <v>ОК</v>
      </c>
      <c r="P255" t="str">
        <f t="shared" si="41"/>
        <v>Уникальный</v>
      </c>
    </row>
    <row r="256">
      <c r="A256" s="3" t="s">
        <v>963</v>
      </c>
      <c r="B256" s="3" t="s">
        <v>964</v>
      </c>
      <c r="C256" s="3" t="s">
        <v>38</v>
      </c>
      <c r="D256" s="3" t="s">
        <v>220</v>
      </c>
      <c r="E256" s="3" t="s">
        <v>331</v>
      </c>
      <c r="F256" s="3" t="s">
        <v>965</v>
      </c>
      <c r="G256" s="3" t="s">
        <v>22</v>
      </c>
      <c r="H256" t="str">
        <f t="shared" si="35"/>
        <v>АРТ-255</v>
      </c>
      <c r="I256" t="str">
        <f t="shared" si="36"/>
        <v xml:space="preserve">Ноутбук Dell Alienware M18</v>
      </c>
      <c r="J256" t="str">
        <f>IFERROR(VLOOKUP(TRIM(C256),Справочники!$A$3:$B$13,2,0),"Нет в справочнике")</f>
        <v>Ноутбуки</v>
      </c>
      <c r="K256" t="str">
        <f t="shared" si="37"/>
        <v>Dell</v>
      </c>
      <c r="L256" s="4">
        <f t="shared" si="38"/>
        <v>107000</v>
      </c>
      <c r="M256" s="4">
        <f t="shared" si="39"/>
        <v>163000</v>
      </c>
      <c r="N256" t="str">
        <f>IFERROR(VLOOKUP(TRIM(G256),Справочники!$P$3:$Q$7,2,0),"Нет в справочнике")</f>
        <v>шт.</v>
      </c>
      <c r="O256" t="str">
        <f t="shared" si="40"/>
        <v>ОК</v>
      </c>
      <c r="P256" t="str">
        <f t="shared" si="41"/>
        <v>Уникальный</v>
      </c>
    </row>
    <row r="257">
      <c r="A257" s="3" t="s">
        <v>966</v>
      </c>
      <c r="B257" s="3" t="s">
        <v>967</v>
      </c>
      <c r="C257" s="3" t="s">
        <v>18</v>
      </c>
      <c r="D257" s="3" t="s">
        <v>968</v>
      </c>
      <c r="E257" s="3" t="s">
        <v>498</v>
      </c>
      <c r="F257" s="3" t="s">
        <v>969</v>
      </c>
      <c r="G257" s="3" t="s">
        <v>42</v>
      </c>
      <c r="H257" t="str">
        <f t="shared" si="35"/>
        <v>АРТ-256</v>
      </c>
      <c r="I257" t="str">
        <f t="shared" si="36"/>
        <v xml:space="preserve">Смартфон Nokia Xr21</v>
      </c>
      <c r="J257" t="str">
        <f>IFERROR(VLOOKUP(TRIM(C257),Справочники!$A$3:$B$13,2,0),"Нет в справочнике")</f>
        <v>Смартфоны</v>
      </c>
      <c r="K257" t="str">
        <f t="shared" si="37"/>
        <v>Nokia</v>
      </c>
      <c r="L257" s="4">
        <f t="shared" si="38"/>
        <v>22000</v>
      </c>
      <c r="M257" s="4">
        <f t="shared" si="39"/>
        <v>37990</v>
      </c>
      <c r="N257" t="str">
        <f>IFERROR(VLOOKUP(TRIM(G257),Справочники!$P$3:$Q$7,2,0),"Нет в справочнике")</f>
        <v>шт.</v>
      </c>
      <c r="O257" t="str">
        <f t="shared" si="40"/>
        <v>ОК</v>
      </c>
      <c r="P257" t="str">
        <f t="shared" si="41"/>
        <v>Уникальный</v>
      </c>
    </row>
    <row r="258">
      <c r="A258" s="3" t="s">
        <v>970</v>
      </c>
      <c r="B258" s="3" t="s">
        <v>971</v>
      </c>
      <c r="C258" s="3" t="s">
        <v>25</v>
      </c>
      <c r="D258" s="3" t="s">
        <v>972</v>
      </c>
      <c r="E258" s="3" t="s">
        <v>503</v>
      </c>
      <c r="F258" s="3" t="s">
        <v>884</v>
      </c>
      <c r="G258" s="3" t="s">
        <v>28</v>
      </c>
      <c r="H258" t="str">
        <f t="shared" si="35"/>
        <v>АРТ-257</v>
      </c>
      <c r="I258" t="str">
        <f t="shared" si="36"/>
        <v xml:space="preserve">Смартфон Nokia Xr21</v>
      </c>
      <c r="J258" t="str">
        <f>IFERROR(VLOOKUP(TRIM(C258),Справочники!$A$3:$B$13,2,0),"Нет в справочнике")</f>
        <v>Смартфоны</v>
      </c>
      <c r="K258" t="str">
        <f t="shared" si="37"/>
        <v>Nokia</v>
      </c>
      <c r="L258" s="4">
        <f t="shared" si="38"/>
        <v>21000</v>
      </c>
      <c r="M258" s="4">
        <f t="shared" si="39"/>
        <v>36500</v>
      </c>
      <c r="N258" t="str">
        <f>IFERROR(VLOOKUP(TRIM(G258),Справочники!$P$3:$Q$7,2,0),"Нет в справочнике")</f>
        <v>шт.</v>
      </c>
      <c r="O258" t="str">
        <f t="shared" si="40"/>
        <v>ОК</v>
      </c>
      <c r="P258" t="str">
        <f t="shared" si="41"/>
        <v>Уникальный</v>
      </c>
    </row>
    <row r="259">
      <c r="A259" s="3" t="s">
        <v>973</v>
      </c>
      <c r="B259" s="3" t="s">
        <v>974</v>
      </c>
      <c r="C259" s="3" t="s">
        <v>31</v>
      </c>
      <c r="D259" s="3" t="s">
        <v>975</v>
      </c>
      <c r="E259" s="3" t="s">
        <v>508</v>
      </c>
      <c r="F259" s="3" t="s">
        <v>61</v>
      </c>
      <c r="G259" s="3" t="s">
        <v>22</v>
      </c>
      <c r="H259" t="str">
        <f t="shared" si="35"/>
        <v>АРТ-258</v>
      </c>
      <c r="I259" t="str">
        <f t="shared" si="36"/>
        <v xml:space="preserve">Смартфон Nokia Xr21</v>
      </c>
      <c r="J259" t="str">
        <f>IFERROR(VLOOKUP(TRIM(C259),Справочники!$A$3:$B$13,2,0),"Нет в справочнике")</f>
        <v>Смартфоны</v>
      </c>
      <c r="K259" t="str">
        <f t="shared" si="37"/>
        <v>Nokia</v>
      </c>
      <c r="L259" s="4">
        <f t="shared" si="38"/>
        <v>23000</v>
      </c>
      <c r="M259" s="4">
        <f t="shared" si="39"/>
        <v>39500</v>
      </c>
      <c r="N259" t="str">
        <f>IFERROR(VLOOKUP(TRIM(G259),Справочники!$P$3:$Q$7,2,0),"Нет в справочнике")</f>
        <v>шт.</v>
      </c>
      <c r="O259" t="str">
        <f t="shared" si="40"/>
        <v>ОК</v>
      </c>
      <c r="P259" t="str">
        <f t="shared" si="41"/>
        <v>Уникальный</v>
      </c>
    </row>
    <row r="260">
      <c r="A260" s="3" t="s">
        <v>976</v>
      </c>
      <c r="B260" s="3" t="s">
        <v>977</v>
      </c>
      <c r="C260" s="3" t="s">
        <v>83</v>
      </c>
      <c r="D260" s="3" t="s">
        <v>577</v>
      </c>
      <c r="E260" s="3" t="s">
        <v>667</v>
      </c>
      <c r="F260" s="3" t="s">
        <v>978</v>
      </c>
      <c r="G260" s="3" t="s">
        <v>42</v>
      </c>
      <c r="H260" t="str">
        <f t="shared" si="35"/>
        <v>АРТ-259</v>
      </c>
      <c r="I260" t="str">
        <f t="shared" si="36"/>
        <v xml:space="preserve">Телевизор Philips 55Pus8888</v>
      </c>
      <c r="J260" t="str">
        <f>IFERROR(VLOOKUP(TRIM(C260),Справочники!$A$3:$B$13,2,0),"Нет в справочнике")</f>
        <v>Телевизоры</v>
      </c>
      <c r="K260" t="str">
        <f t="shared" si="37"/>
        <v>Philips</v>
      </c>
      <c r="L260" s="4">
        <f t="shared" si="38"/>
        <v>60000</v>
      </c>
      <c r="M260" s="4">
        <f t="shared" si="39"/>
        <v>92990</v>
      </c>
      <c r="N260" t="str">
        <f>IFERROR(VLOOKUP(TRIM(G260),Справочники!$P$3:$Q$7,2,0),"Нет в справочнике")</f>
        <v>шт.</v>
      </c>
      <c r="O260" t="str">
        <f t="shared" si="40"/>
        <v>ОК</v>
      </c>
      <c r="P260" t="str">
        <f t="shared" si="41"/>
        <v>Уникальный</v>
      </c>
    </row>
    <row r="261">
      <c r="A261" s="3" t="s">
        <v>979</v>
      </c>
      <c r="B261" s="3" t="s">
        <v>980</v>
      </c>
      <c r="C261" s="3" t="s">
        <v>83</v>
      </c>
      <c r="D261" s="3" t="s">
        <v>581</v>
      </c>
      <c r="E261" s="3" t="s">
        <v>602</v>
      </c>
      <c r="F261" s="3" t="s">
        <v>114</v>
      </c>
      <c r="G261" s="3" t="s">
        <v>35</v>
      </c>
      <c r="H261" t="str">
        <f t="shared" si="35"/>
        <v>АРТ-260</v>
      </c>
      <c r="I261" t="str">
        <f t="shared" si="36"/>
        <v xml:space="preserve">Телевизор Philips 55Pus8888</v>
      </c>
      <c r="J261" t="str">
        <f>IFERROR(VLOOKUP(TRIM(C261),Справочники!$A$3:$B$13,2,0),"Нет в справочнике")</f>
        <v>Телевизоры</v>
      </c>
      <c r="K261" t="str">
        <f t="shared" si="37"/>
        <v>Philips</v>
      </c>
      <c r="L261" s="4">
        <f t="shared" si="38"/>
        <v>58000</v>
      </c>
      <c r="M261" s="4">
        <f t="shared" si="39"/>
        <v>90000</v>
      </c>
      <c r="N261" t="str">
        <f>IFERROR(VLOOKUP(TRIM(G261),Справочники!$P$3:$Q$7,2,0),"Нет в справочнике")</f>
        <v>шт.</v>
      </c>
      <c r="O261" t="str">
        <f t="shared" si="40"/>
        <v>ОК</v>
      </c>
      <c r="P261" t="str">
        <f t="shared" si="41"/>
        <v>Уникальный</v>
      </c>
    </row>
    <row r="262">
      <c r="A262" s="3" t="s">
        <v>981</v>
      </c>
      <c r="B262" s="3" t="s">
        <v>982</v>
      </c>
      <c r="C262" s="3" t="s">
        <v>83</v>
      </c>
      <c r="D262" s="3" t="s">
        <v>586</v>
      </c>
      <c r="E262" s="3" t="s">
        <v>673</v>
      </c>
      <c r="F262" s="3" t="s">
        <v>674</v>
      </c>
      <c r="G262" s="3" t="s">
        <v>22</v>
      </c>
      <c r="H262" t="str">
        <f t="shared" si="35"/>
        <v>АРТ-261</v>
      </c>
      <c r="I262" t="str">
        <f t="shared" si="36"/>
        <v xml:space="preserve">Телевизор Philips 55Pus8888</v>
      </c>
      <c r="J262" t="str">
        <f>IFERROR(VLOOKUP(TRIM(C262),Справочники!$A$3:$B$13,2,0),"Нет в справочнике")</f>
        <v>Телевизоры</v>
      </c>
      <c r="K262" t="str">
        <f t="shared" si="37"/>
        <v>Philips</v>
      </c>
      <c r="L262" s="4">
        <f t="shared" si="38"/>
        <v>61500</v>
      </c>
      <c r="M262" s="4">
        <f t="shared" si="39"/>
        <v>95500</v>
      </c>
      <c r="N262" t="str">
        <f>IFERROR(VLOOKUP(TRIM(G262),Справочники!$P$3:$Q$7,2,0),"Нет в справочнике")</f>
        <v>шт.</v>
      </c>
      <c r="O262" t="str">
        <f t="shared" si="40"/>
        <v>ОК</v>
      </c>
      <c r="P262" t="str">
        <f t="shared" si="41"/>
        <v>Уникальный</v>
      </c>
    </row>
    <row r="263">
      <c r="A263" s="3" t="s">
        <v>983</v>
      </c>
      <c r="B263" s="3" t="s">
        <v>984</v>
      </c>
      <c r="C263" s="3" t="s">
        <v>98</v>
      </c>
      <c r="D263" s="3" t="s">
        <v>985</v>
      </c>
      <c r="E263" s="3" t="s">
        <v>841</v>
      </c>
      <c r="F263" s="3" t="s">
        <v>986</v>
      </c>
      <c r="G263" s="3" t="s">
        <v>42</v>
      </c>
      <c r="H263" t="str">
        <f t="shared" si="35"/>
        <v>АРТ-262</v>
      </c>
      <c r="I263" t="str">
        <f t="shared" si="36"/>
        <v xml:space="preserve">Наушники Akg K371</v>
      </c>
      <c r="J263" t="str">
        <f>IFERROR(VLOOKUP(TRIM(C263),Справочники!$A$3:$B$13,2,0),"Нет в справочнике")</f>
        <v>Наушники</v>
      </c>
      <c r="K263" t="str">
        <f t="shared" si="37"/>
        <v>AKG</v>
      </c>
      <c r="L263" s="4">
        <f t="shared" si="38"/>
        <v>7000</v>
      </c>
      <c r="M263" s="4">
        <f t="shared" si="39"/>
        <v>11990</v>
      </c>
      <c r="N263" t="str">
        <f>IFERROR(VLOOKUP(TRIM(G263),Справочники!$P$3:$Q$7,2,0),"Нет в справочнике")</f>
        <v>шт.</v>
      </c>
      <c r="O263" t="str">
        <f t="shared" si="40"/>
        <v>ОК</v>
      </c>
      <c r="P263" t="str">
        <f t="shared" si="41"/>
        <v>Уникальный</v>
      </c>
    </row>
    <row r="264">
      <c r="A264" s="3" t="s">
        <v>987</v>
      </c>
      <c r="B264" s="3" t="s">
        <v>988</v>
      </c>
      <c r="C264" s="3" t="s">
        <v>98</v>
      </c>
      <c r="D264" s="3" t="s">
        <v>989</v>
      </c>
      <c r="E264" s="3" t="s">
        <v>273</v>
      </c>
      <c r="F264" s="3" t="s">
        <v>990</v>
      </c>
      <c r="G264" s="3" t="s">
        <v>28</v>
      </c>
      <c r="H264" t="str">
        <f t="shared" si="35"/>
        <v>АРТ-263</v>
      </c>
      <c r="I264" t="str">
        <f t="shared" si="36"/>
        <v xml:space="preserve">Наушники Akg K371</v>
      </c>
      <c r="J264" t="str">
        <f>IFERROR(VLOOKUP(TRIM(C264),Справочники!$A$3:$B$13,2,0),"Нет в справочнике")</f>
        <v>Наушники</v>
      </c>
      <c r="K264" t="str">
        <f t="shared" si="37"/>
        <v>AKG</v>
      </c>
      <c r="L264" s="4">
        <f t="shared" si="38"/>
        <v>6500</v>
      </c>
      <c r="M264" s="4">
        <f t="shared" si="39"/>
        <v>11000</v>
      </c>
      <c r="N264" t="str">
        <f>IFERROR(VLOOKUP(TRIM(G264),Справочники!$P$3:$Q$7,2,0),"Нет в справочнике")</f>
        <v>шт.</v>
      </c>
      <c r="O264" t="str">
        <f t="shared" si="40"/>
        <v>ОК</v>
      </c>
      <c r="P264" t="str">
        <f t="shared" si="41"/>
        <v>Уникальный</v>
      </c>
    </row>
    <row r="265">
      <c r="A265" s="3" t="s">
        <v>991</v>
      </c>
      <c r="B265" s="3" t="s">
        <v>992</v>
      </c>
      <c r="C265" s="3" t="s">
        <v>98</v>
      </c>
      <c r="D265" s="3" t="s">
        <v>985</v>
      </c>
      <c r="E265" s="3" t="s">
        <v>366</v>
      </c>
      <c r="F265" s="3" t="s">
        <v>993</v>
      </c>
      <c r="G265" s="3" t="s">
        <v>22</v>
      </c>
      <c r="H265" t="str">
        <f t="shared" si="35"/>
        <v>АРТ-264</v>
      </c>
      <c r="I265" t="str">
        <f t="shared" si="36"/>
        <v xml:space="preserve">Наушники Akg K371</v>
      </c>
      <c r="J265" t="str">
        <f>IFERROR(VLOOKUP(TRIM(C265),Справочники!$A$3:$B$13,2,0),"Нет в справочнике")</f>
        <v>Наушники</v>
      </c>
      <c r="K265" t="str">
        <f t="shared" si="37"/>
        <v>AKG</v>
      </c>
      <c r="L265" s="4">
        <f t="shared" si="38"/>
        <v>7500</v>
      </c>
      <c r="M265" s="4">
        <f t="shared" si="39"/>
        <v>12800</v>
      </c>
      <c r="N265" t="str">
        <f>IFERROR(VLOOKUP(TRIM(G265),Справочники!$P$3:$Q$7,2,0),"Нет в справочнике")</f>
        <v>шт.</v>
      </c>
      <c r="O265" t="str">
        <f t="shared" si="40"/>
        <v>ОК</v>
      </c>
      <c r="P265" t="str">
        <f t="shared" si="41"/>
        <v>Уникальный</v>
      </c>
    </row>
    <row r="266">
      <c r="A266" s="3" t="s">
        <v>994</v>
      </c>
      <c r="B266" s="3" t="s">
        <v>995</v>
      </c>
      <c r="C266" s="3" t="s">
        <v>143</v>
      </c>
      <c r="D266" s="3" t="s">
        <v>996</v>
      </c>
      <c r="E266" s="3" t="s">
        <v>204</v>
      </c>
      <c r="F266" s="3" t="s">
        <v>997</v>
      </c>
      <c r="G266" s="3" t="s">
        <v>42</v>
      </c>
      <c r="H266" t="str">
        <f t="shared" si="35"/>
        <v>АРТ-265</v>
      </c>
      <c r="I266" t="str">
        <f t="shared" si="36"/>
        <v xml:space="preserve">Монитор Aoc U32U1</v>
      </c>
      <c r="J266" t="str">
        <f>IFERROR(VLOOKUP(TRIM(C266),Справочники!$A$3:$B$13,2,0),"Нет в справочнике")</f>
        <v>Мониторы</v>
      </c>
      <c r="K266" t="str">
        <f t="shared" si="37"/>
        <v>AOC</v>
      </c>
      <c r="L266" s="4">
        <f t="shared" si="38"/>
        <v>44000</v>
      </c>
      <c r="M266" s="4">
        <f t="shared" si="39"/>
        <v>67990</v>
      </c>
      <c r="N266" t="str">
        <f>IFERROR(VLOOKUP(TRIM(G266),Справочники!$P$3:$Q$7,2,0),"Нет в справочнике")</f>
        <v>шт.</v>
      </c>
      <c r="O266" t="str">
        <f t="shared" si="40"/>
        <v>ОК</v>
      </c>
      <c r="P266" t="str">
        <f t="shared" si="41"/>
        <v>Уникальный</v>
      </c>
    </row>
    <row r="267">
      <c r="A267" s="3" t="s">
        <v>998</v>
      </c>
      <c r="B267" s="3" t="s">
        <v>999</v>
      </c>
      <c r="C267" s="3" t="s">
        <v>143</v>
      </c>
      <c r="D267" s="3" t="s">
        <v>1000</v>
      </c>
      <c r="E267" s="3" t="s">
        <v>830</v>
      </c>
      <c r="F267" s="3" t="s">
        <v>1001</v>
      </c>
      <c r="G267" s="3" t="s">
        <v>35</v>
      </c>
      <c r="H267" t="str">
        <f t="shared" si="35"/>
        <v>АРТ-266</v>
      </c>
      <c r="I267" t="str">
        <f t="shared" si="36"/>
        <v xml:space="preserve">Монитор Aoc U32U1</v>
      </c>
      <c r="J267" t="str">
        <f>IFERROR(VLOOKUP(TRIM(C267),Справочники!$A$3:$B$13,2,0),"Нет в справочнике")</f>
        <v>Мониторы</v>
      </c>
      <c r="K267" t="str">
        <f t="shared" si="37"/>
        <v>AOC</v>
      </c>
      <c r="L267" s="4">
        <f t="shared" si="38"/>
        <v>42500</v>
      </c>
      <c r="M267" s="4">
        <f t="shared" si="39"/>
        <v>65500</v>
      </c>
      <c r="N267" t="str">
        <f>IFERROR(VLOOKUP(TRIM(G267),Справочники!$P$3:$Q$7,2,0),"Нет в справочнике")</f>
        <v>шт.</v>
      </c>
      <c r="O267" t="str">
        <f t="shared" si="40"/>
        <v>ОК</v>
      </c>
      <c r="P267" t="str">
        <f t="shared" si="41"/>
        <v>Уникальный</v>
      </c>
    </row>
    <row r="268">
      <c r="A268" s="3" t="s">
        <v>1002</v>
      </c>
      <c r="B268" s="3" t="s">
        <v>1003</v>
      </c>
      <c r="C268" s="3" t="s">
        <v>143</v>
      </c>
      <c r="D268" s="3" t="s">
        <v>996</v>
      </c>
      <c r="E268" s="3" t="s">
        <v>1004</v>
      </c>
      <c r="F268" s="3" t="s">
        <v>326</v>
      </c>
      <c r="G268" s="3" t="s">
        <v>22</v>
      </c>
      <c r="H268" t="str">
        <f t="shared" si="35"/>
        <v>АРТ-267</v>
      </c>
      <c r="I268" t="str">
        <f t="shared" si="36"/>
        <v xml:space="preserve">Монитор Aoc U32U1</v>
      </c>
      <c r="J268" t="str">
        <f>IFERROR(VLOOKUP(TRIM(C268),Справочники!$A$3:$B$13,2,0),"Нет в справочнике")</f>
        <v>Мониторы</v>
      </c>
      <c r="K268" t="str">
        <f t="shared" si="37"/>
        <v>AOC</v>
      </c>
      <c r="L268" s="4">
        <f t="shared" si="38"/>
        <v>45500</v>
      </c>
      <c r="M268" s="4">
        <f t="shared" si="39"/>
        <v>70000</v>
      </c>
      <c r="N268" t="str">
        <f>IFERROR(VLOOKUP(TRIM(G268),Справочники!$P$3:$Q$7,2,0),"Нет в справочнике")</f>
        <v>шт.</v>
      </c>
      <c r="O268" t="str">
        <f t="shared" si="40"/>
        <v>ОК</v>
      </c>
      <c r="P268" t="str">
        <f t="shared" si="41"/>
        <v>Уникальный</v>
      </c>
    </row>
    <row r="269">
      <c r="A269" s="3" t="s">
        <v>1005</v>
      </c>
      <c r="B269" s="3" t="s">
        <v>1006</v>
      </c>
      <c r="C269" s="3" t="s">
        <v>157</v>
      </c>
      <c r="D269" s="3" t="s">
        <v>337</v>
      </c>
      <c r="E269" s="3" t="s">
        <v>591</v>
      </c>
      <c r="F269" s="3" t="s">
        <v>592</v>
      </c>
      <c r="G269" s="3" t="s">
        <v>42</v>
      </c>
      <c r="H269" t="str">
        <f t="shared" si="35"/>
        <v>АРТ-268</v>
      </c>
      <c r="I269" t="str">
        <f t="shared" si="36"/>
        <v xml:space="preserve">Колонка Marshall Stanmore Ii</v>
      </c>
      <c r="J269" t="str">
        <f>IFERROR(VLOOKUP(TRIM(C269),Справочники!$A$3:$B$13,2,0),"Нет в справочнике")</f>
        <v>Аксессуары</v>
      </c>
      <c r="K269" t="str">
        <f t="shared" si="37"/>
        <v>Marshall</v>
      </c>
      <c r="L269" s="4">
        <f t="shared" si="38"/>
        <v>14000</v>
      </c>
      <c r="M269" s="4">
        <f t="shared" si="39"/>
        <v>22990</v>
      </c>
      <c r="N269" t="str">
        <f>IFERROR(VLOOKUP(TRIM(G269),Справочники!$P$3:$Q$7,2,0),"Нет в справочнике")</f>
        <v>шт.</v>
      </c>
      <c r="O269" t="str">
        <f t="shared" si="40"/>
        <v>ОК</v>
      </c>
      <c r="P269" t="str">
        <f t="shared" si="41"/>
        <v>Уникальный</v>
      </c>
    </row>
    <row r="270">
      <c r="A270" s="3" t="s">
        <v>1007</v>
      </c>
      <c r="B270" s="3" t="s">
        <v>1008</v>
      </c>
      <c r="C270" s="3" t="s">
        <v>157</v>
      </c>
      <c r="D270" s="3" t="s">
        <v>342</v>
      </c>
      <c r="E270" s="3" t="s">
        <v>743</v>
      </c>
      <c r="F270" s="3" t="s">
        <v>1009</v>
      </c>
      <c r="G270" s="3" t="s">
        <v>28</v>
      </c>
      <c r="H270" t="str">
        <f t="shared" si="35"/>
        <v>АРТ-269</v>
      </c>
      <c r="I270" t="str">
        <f t="shared" si="36"/>
        <v xml:space="preserve">Колонка Marshall Stanmore Ii</v>
      </c>
      <c r="J270" t="str">
        <f>IFERROR(VLOOKUP(TRIM(C270),Справочники!$A$3:$B$13,2,0),"Нет в справочнике")</f>
        <v>Аксессуары</v>
      </c>
      <c r="K270" t="str">
        <f t="shared" si="37"/>
        <v>Marshall</v>
      </c>
      <c r="L270" s="4">
        <f t="shared" si="38"/>
        <v>13000</v>
      </c>
      <c r="M270" s="4">
        <f t="shared" si="39"/>
        <v>21500</v>
      </c>
      <c r="N270" t="str">
        <f>IFERROR(VLOOKUP(TRIM(G270),Справочники!$P$3:$Q$7,2,0),"Нет в справочнике")</f>
        <v>шт.</v>
      </c>
      <c r="O270" t="str">
        <f t="shared" si="40"/>
        <v>ОК</v>
      </c>
      <c r="P270" t="str">
        <f t="shared" si="41"/>
        <v>Уникальный</v>
      </c>
    </row>
    <row r="271">
      <c r="A271" s="3" t="s">
        <v>1010</v>
      </c>
      <c r="B271" s="3" t="s">
        <v>1011</v>
      </c>
      <c r="C271" s="3" t="s">
        <v>157</v>
      </c>
      <c r="D271" s="3" t="s">
        <v>347</v>
      </c>
      <c r="E271" s="3" t="s">
        <v>236</v>
      </c>
      <c r="F271" s="3" t="s">
        <v>1012</v>
      </c>
      <c r="G271" s="3" t="s">
        <v>22</v>
      </c>
      <c r="H271" t="str">
        <f t="shared" si="35"/>
        <v>АРТ-270</v>
      </c>
      <c r="I271" t="str">
        <f t="shared" si="36"/>
        <v xml:space="preserve">Колонка Marshall Stanmore Ii</v>
      </c>
      <c r="J271" t="str">
        <f>IFERROR(VLOOKUP(TRIM(C271),Справочники!$A$3:$B$13,2,0),"Нет в справочнике")</f>
        <v>Аксессуары</v>
      </c>
      <c r="K271" t="str">
        <f t="shared" si="37"/>
        <v>Marshall</v>
      </c>
      <c r="L271" s="4">
        <f t="shared" si="38"/>
        <v>15000</v>
      </c>
      <c r="M271" s="4">
        <f t="shared" si="39"/>
        <v>24500</v>
      </c>
      <c r="N271" t="str">
        <f>IFERROR(VLOOKUP(TRIM(G271),Справочники!$P$3:$Q$7,2,0),"Нет в справочнике")</f>
        <v>шт.</v>
      </c>
      <c r="O271" t="str">
        <f t="shared" si="40"/>
        <v>ОК</v>
      </c>
      <c r="P271" t="str">
        <f t="shared" si="41"/>
        <v>Уникальный</v>
      </c>
    </row>
    <row r="272">
      <c r="A272" s="3" t="s">
        <v>1013</v>
      </c>
      <c r="B272" s="3" t="s">
        <v>1014</v>
      </c>
      <c r="C272" s="3" t="s">
        <v>18</v>
      </c>
      <c r="D272" s="3" t="s">
        <v>1015</v>
      </c>
      <c r="E272" s="3" t="s">
        <v>399</v>
      </c>
      <c r="F272" s="3" t="s">
        <v>1016</v>
      </c>
      <c r="G272" s="3" t="s">
        <v>42</v>
      </c>
      <c r="H272" t="str">
        <f t="shared" si="35"/>
        <v>АРТ-271</v>
      </c>
      <c r="I272" t="str">
        <f t="shared" si="36"/>
        <v xml:space="preserve">Смартфон Zte Axon 40</v>
      </c>
      <c r="J272" t="str">
        <f>IFERROR(VLOOKUP(TRIM(C272),Справочники!$A$3:$B$13,2,0),"Нет в справочнике")</f>
        <v>Смартфоны</v>
      </c>
      <c r="K272" t="str">
        <f t="shared" si="37"/>
        <v>ZTE</v>
      </c>
      <c r="L272" s="4">
        <f t="shared" si="38"/>
        <v>26000</v>
      </c>
      <c r="M272" s="4">
        <f t="shared" si="39"/>
        <v>44990</v>
      </c>
      <c r="N272" t="str">
        <f>IFERROR(VLOOKUP(TRIM(G272),Справочники!$P$3:$Q$7,2,0),"Нет в справочнике")</f>
        <v>шт.</v>
      </c>
      <c r="O272" t="str">
        <f t="shared" si="40"/>
        <v>ОК</v>
      </c>
      <c r="P272" t="str">
        <f t="shared" si="41"/>
        <v>Уникальный</v>
      </c>
    </row>
    <row r="273">
      <c r="A273" s="3" t="s">
        <v>1017</v>
      </c>
      <c r="B273" s="3" t="s">
        <v>1018</v>
      </c>
      <c r="C273" s="3" t="s">
        <v>25</v>
      </c>
      <c r="D273" s="3" t="s">
        <v>1019</v>
      </c>
      <c r="E273" s="3" t="s">
        <v>391</v>
      </c>
      <c r="F273" s="3" t="s">
        <v>292</v>
      </c>
      <c r="G273" s="3" t="s">
        <v>35</v>
      </c>
      <c r="H273" t="str">
        <f t="shared" si="35"/>
        <v>АРТ-272</v>
      </c>
      <c r="I273" t="str">
        <f t="shared" si="36"/>
        <v xml:space="preserve">Смартфон Zte Axon 40</v>
      </c>
      <c r="J273" t="str">
        <f>IFERROR(VLOOKUP(TRIM(C273),Справочники!$A$3:$B$13,2,0),"Нет в справочнике")</f>
        <v>Смартфоны</v>
      </c>
      <c r="K273" t="str">
        <f t="shared" si="37"/>
        <v>ZTE</v>
      </c>
      <c r="L273" s="4">
        <f t="shared" si="38"/>
        <v>25000</v>
      </c>
      <c r="M273" s="4">
        <f t="shared" si="39"/>
        <v>43500</v>
      </c>
      <c r="N273" t="str">
        <f>IFERROR(VLOOKUP(TRIM(G273),Справочники!$P$3:$Q$7,2,0),"Нет в справочнике")</f>
        <v>шт.</v>
      </c>
      <c r="O273" t="str">
        <f t="shared" si="40"/>
        <v>ОК</v>
      </c>
      <c r="P273" t="str">
        <f t="shared" si="41"/>
        <v>Уникальный</v>
      </c>
    </row>
    <row r="274">
      <c r="A274" s="3" t="s">
        <v>1020</v>
      </c>
      <c r="B274" s="3" t="s">
        <v>1021</v>
      </c>
      <c r="C274" s="3" t="s">
        <v>31</v>
      </c>
      <c r="D274" s="3" t="s">
        <v>1015</v>
      </c>
      <c r="E274" s="3" t="s">
        <v>383</v>
      </c>
      <c r="F274" s="3" t="s">
        <v>268</v>
      </c>
      <c r="G274" s="3" t="s">
        <v>22</v>
      </c>
      <c r="H274" t="str">
        <f t="shared" si="35"/>
        <v>АРТ-273</v>
      </c>
      <c r="I274" t="str">
        <f t="shared" si="36"/>
        <v xml:space="preserve">Смартфон Zte Axon 40</v>
      </c>
      <c r="J274" t="str">
        <f>IFERROR(VLOOKUP(TRIM(C274),Справочники!$A$3:$B$13,2,0),"Нет в справочнике")</f>
        <v>Смартфоны</v>
      </c>
      <c r="K274" t="str">
        <f t="shared" si="37"/>
        <v>ZTE</v>
      </c>
      <c r="L274" s="4">
        <f t="shared" si="38"/>
        <v>27000</v>
      </c>
      <c r="M274" s="4">
        <f t="shared" si="39"/>
        <v>46500</v>
      </c>
      <c r="N274" t="str">
        <f>IFERROR(VLOOKUP(TRIM(G274),Справочники!$P$3:$Q$7,2,0),"Нет в справочнике")</f>
        <v>шт.</v>
      </c>
      <c r="O274" t="str">
        <f t="shared" si="40"/>
        <v>ОК</v>
      </c>
      <c r="P274" t="str">
        <f t="shared" si="41"/>
        <v>Уникальный</v>
      </c>
    </row>
    <row r="275">
      <c r="A275" s="3" t="s">
        <v>1022</v>
      </c>
      <c r="B275" s="3" t="s">
        <v>1023</v>
      </c>
      <c r="C275" s="3" t="s">
        <v>69</v>
      </c>
      <c r="D275" s="3" t="s">
        <v>113</v>
      </c>
      <c r="E275" s="3" t="s">
        <v>558</v>
      </c>
      <c r="F275" s="3" t="s">
        <v>1024</v>
      </c>
      <c r="G275" s="3" t="s">
        <v>42</v>
      </c>
      <c r="H275" t="str">
        <f t="shared" si="35"/>
        <v>АРТ-274</v>
      </c>
      <c r="I275" t="str">
        <f t="shared" si="36"/>
        <v xml:space="preserve">Планшет Lenovo Yoga Tab 13</v>
      </c>
      <c r="J275" t="str">
        <f>IFERROR(VLOOKUP(TRIM(C275),Справочники!$A$3:$B$13,2,0),"Нет в справочнике")</f>
        <v>Планшеты</v>
      </c>
      <c r="K275" t="str">
        <f t="shared" si="37"/>
        <v>Lenovo</v>
      </c>
      <c r="L275" s="4">
        <f t="shared" si="38"/>
        <v>30000</v>
      </c>
      <c r="M275" s="4">
        <f t="shared" si="39"/>
        <v>48990</v>
      </c>
      <c r="N275" t="str">
        <f>IFERROR(VLOOKUP(TRIM(G275),Справочники!$P$3:$Q$7,2,0),"Нет в справочнике")</f>
        <v>шт.</v>
      </c>
      <c r="O275" t="str">
        <f t="shared" si="40"/>
        <v>ОК</v>
      </c>
      <c r="P275" t="str">
        <f t="shared" si="41"/>
        <v>Уникальный</v>
      </c>
    </row>
    <row r="276">
      <c r="A276" s="3" t="s">
        <v>1025</v>
      </c>
      <c r="B276" s="3" t="s">
        <v>1026</v>
      </c>
      <c r="C276" s="3" t="s">
        <v>69</v>
      </c>
      <c r="D276" s="3" t="s">
        <v>118</v>
      </c>
      <c r="E276" s="3" t="s">
        <v>692</v>
      </c>
      <c r="F276" s="3" t="s">
        <v>1027</v>
      </c>
      <c r="G276" s="3" t="s">
        <v>28</v>
      </c>
      <c r="H276" t="str">
        <f t="shared" si="35"/>
        <v>АРТ-275</v>
      </c>
      <c r="I276" t="str">
        <f t="shared" si="36"/>
        <v xml:space="preserve">Планшет Lenovo Yoga Tab 13</v>
      </c>
      <c r="J276" t="str">
        <f>IFERROR(VLOOKUP(TRIM(C276),Справочники!$A$3:$B$13,2,0),"Нет в справочнике")</f>
        <v>Планшеты</v>
      </c>
      <c r="K276" t="str">
        <f t="shared" si="37"/>
        <v>Lenovo</v>
      </c>
      <c r="L276" s="4">
        <f t="shared" si="38"/>
        <v>28500</v>
      </c>
      <c r="M276" s="4">
        <f t="shared" si="39"/>
        <v>47000</v>
      </c>
      <c r="N276" t="str">
        <f>IFERROR(VLOOKUP(TRIM(G276),Справочники!$P$3:$Q$7,2,0),"Нет в справочнике")</f>
        <v>шт.</v>
      </c>
      <c r="O276" t="str">
        <f t="shared" si="40"/>
        <v>ОК</v>
      </c>
      <c r="P276" t="str">
        <f t="shared" si="41"/>
        <v>Уникальный</v>
      </c>
    </row>
    <row r="277">
      <c r="A277" s="3" t="s">
        <v>1028</v>
      </c>
      <c r="B277" s="3" t="s">
        <v>1029</v>
      </c>
      <c r="C277" s="3" t="s">
        <v>69</v>
      </c>
      <c r="D277" s="3" t="s">
        <v>123</v>
      </c>
      <c r="E277" s="3" t="s">
        <v>254</v>
      </c>
      <c r="F277" s="3" t="s">
        <v>358</v>
      </c>
      <c r="G277" s="3" t="s">
        <v>22</v>
      </c>
      <c r="H277" t="str">
        <f t="shared" si="35"/>
        <v>АРТ-276</v>
      </c>
      <c r="I277" t="str">
        <f t="shared" si="36"/>
        <v xml:space="preserve">Планшет Lenovo Yoga Tab 13</v>
      </c>
      <c r="J277" t="str">
        <f>IFERROR(VLOOKUP(TRIM(C277),Справочники!$A$3:$B$13,2,0),"Нет в справочнике")</f>
        <v>Планшеты</v>
      </c>
      <c r="K277" t="str">
        <f t="shared" si="37"/>
        <v>Lenovo</v>
      </c>
      <c r="L277" s="4">
        <f t="shared" si="38"/>
        <v>31500</v>
      </c>
      <c r="M277" s="4">
        <f t="shared" si="39"/>
        <v>50500</v>
      </c>
      <c r="N277" t="str">
        <f>IFERROR(VLOOKUP(TRIM(G277),Справочники!$P$3:$Q$7,2,0),"Нет в справочнике")</f>
        <v>шт.</v>
      </c>
      <c r="O277" t="str">
        <f t="shared" si="40"/>
        <v>ОК</v>
      </c>
      <c r="P277" t="str">
        <f t="shared" si="41"/>
        <v>Уникальный</v>
      </c>
    </row>
    <row r="278">
      <c r="A278" s="3" t="s">
        <v>1030</v>
      </c>
      <c r="B278" s="3" t="s">
        <v>1031</v>
      </c>
      <c r="C278" s="3" t="s">
        <v>83</v>
      </c>
      <c r="D278" s="3" t="s">
        <v>55</v>
      </c>
      <c r="E278" s="3" t="s">
        <v>940</v>
      </c>
      <c r="F278" s="3" t="s">
        <v>1032</v>
      </c>
      <c r="G278" s="3" t="s">
        <v>42</v>
      </c>
      <c r="H278" t="str">
        <f t="shared" si="35"/>
        <v>АРТ-277</v>
      </c>
      <c r="I278" t="str">
        <f t="shared" si="36"/>
        <v xml:space="preserve">Телевизор Samsung Qled Q80B</v>
      </c>
      <c r="J278" t="str">
        <f>IFERROR(VLOOKUP(TRIM(C278),Справочники!$A$3:$B$13,2,0),"Нет в справочнике")</f>
        <v>Телевизоры</v>
      </c>
      <c r="K278" t="str">
        <f t="shared" si="37"/>
        <v>Samsung</v>
      </c>
      <c r="L278" s="4">
        <f t="shared" si="38"/>
        <v>75000</v>
      </c>
      <c r="M278" s="4">
        <f t="shared" si="39"/>
        <v>114990</v>
      </c>
      <c r="N278" t="str">
        <f>IFERROR(VLOOKUP(TRIM(G278),Справочники!$P$3:$Q$7,2,0),"Нет в справочнике")</f>
        <v>шт.</v>
      </c>
      <c r="O278" t="str">
        <f t="shared" si="40"/>
        <v>ОК</v>
      </c>
      <c r="P278" t="str">
        <f t="shared" si="41"/>
        <v>Уникальный</v>
      </c>
    </row>
    <row r="279">
      <c r="A279" s="3" t="s">
        <v>1033</v>
      </c>
      <c r="B279" s="3" t="s">
        <v>1034</v>
      </c>
      <c r="C279" s="3" t="s">
        <v>83</v>
      </c>
      <c r="D279" s="3" t="s">
        <v>148</v>
      </c>
      <c r="E279" s="3" t="s">
        <v>1035</v>
      </c>
      <c r="F279" s="3" t="s">
        <v>334</v>
      </c>
      <c r="G279" s="3" t="s">
        <v>35</v>
      </c>
      <c r="H279" t="str">
        <f t="shared" si="35"/>
        <v>АРТ-278</v>
      </c>
      <c r="I279" t="str">
        <f t="shared" si="36"/>
        <v xml:space="preserve">Телевизор Samsung Qled Q80B</v>
      </c>
      <c r="J279" t="str">
        <f>IFERROR(VLOOKUP(TRIM(C279),Справочники!$A$3:$B$13,2,0),"Нет в справочнике")</f>
        <v>Телевизоры</v>
      </c>
      <c r="K279" t="str">
        <f t="shared" si="37"/>
        <v>Samsung</v>
      </c>
      <c r="L279" s="4">
        <f t="shared" si="38"/>
        <v>73000</v>
      </c>
      <c r="M279" s="4">
        <f t="shared" si="39"/>
        <v>112000</v>
      </c>
      <c r="N279" t="str">
        <f>IFERROR(VLOOKUP(TRIM(G279),Справочники!$P$3:$Q$7,2,0),"Нет в справочнике")</f>
        <v>шт.</v>
      </c>
      <c r="O279" t="str">
        <f t="shared" si="40"/>
        <v>ОК</v>
      </c>
      <c r="P279" t="str">
        <f t="shared" si="41"/>
        <v>Уникальный</v>
      </c>
    </row>
    <row r="280">
      <c r="A280" s="3" t="s">
        <v>1036</v>
      </c>
      <c r="B280" s="3" t="s">
        <v>1037</v>
      </c>
      <c r="C280" s="3" t="s">
        <v>83</v>
      </c>
      <c r="D280" s="3" t="s">
        <v>60</v>
      </c>
      <c r="E280" s="3" t="s">
        <v>1038</v>
      </c>
      <c r="F280" s="3" t="s">
        <v>1039</v>
      </c>
      <c r="G280" s="3" t="s">
        <v>22</v>
      </c>
      <c r="H280" t="str">
        <f t="shared" si="35"/>
        <v>АРТ-279</v>
      </c>
      <c r="I280" t="str">
        <f t="shared" si="36"/>
        <v xml:space="preserve">Телевизор Samsung Qled Q80B</v>
      </c>
      <c r="J280" t="str">
        <f>IFERROR(VLOOKUP(TRIM(C280),Справочники!$A$3:$B$13,2,0),"Нет в справочнике")</f>
        <v>Телевизоры</v>
      </c>
      <c r="K280" t="str">
        <f t="shared" si="37"/>
        <v>Samsung</v>
      </c>
      <c r="L280" s="4">
        <f t="shared" si="38"/>
        <v>76500</v>
      </c>
      <c r="M280" s="4">
        <f t="shared" si="39"/>
        <v>117500</v>
      </c>
      <c r="N280" t="str">
        <f>IFERROR(VLOOKUP(TRIM(G280),Справочники!$P$3:$Q$7,2,0),"Нет в справочнике")</f>
        <v>шт.</v>
      </c>
      <c r="O280" t="str">
        <f t="shared" si="40"/>
        <v>ОК</v>
      </c>
      <c r="P280" t="str">
        <f t="shared" si="41"/>
        <v>Уникальный</v>
      </c>
    </row>
    <row r="281">
      <c r="A281" s="3" t="s">
        <v>1040</v>
      </c>
      <c r="B281" s="3" t="s">
        <v>1041</v>
      </c>
      <c r="C281" s="3" t="s">
        <v>98</v>
      </c>
      <c r="D281" s="3" t="s">
        <v>224</v>
      </c>
      <c r="E281" s="3" t="s">
        <v>1042</v>
      </c>
      <c r="F281" s="3" t="s">
        <v>1043</v>
      </c>
      <c r="G281" s="3" t="s">
        <v>42</v>
      </c>
      <c r="H281" t="str">
        <f t="shared" si="35"/>
        <v>АРТ-280</v>
      </c>
      <c r="I281" t="str">
        <f t="shared" si="36"/>
        <v xml:space="preserve">Наушники Sony Wf-1000Xm5</v>
      </c>
      <c r="J281" t="str">
        <f>IFERROR(VLOOKUP(TRIM(C281),Справочники!$A$3:$B$13,2,0),"Нет в справочнике")</f>
        <v>Наушники</v>
      </c>
      <c r="K281" t="str">
        <f t="shared" si="37"/>
        <v>Sony</v>
      </c>
      <c r="L281" s="4">
        <f t="shared" si="38"/>
        <v>20000</v>
      </c>
      <c r="M281" s="4">
        <f t="shared" si="39"/>
        <v>32990</v>
      </c>
      <c r="N281" t="str">
        <f>IFERROR(VLOOKUP(TRIM(G281),Справочники!$P$3:$Q$7,2,0),"Нет в справочнике")</f>
        <v>шт.</v>
      </c>
      <c r="O281" t="str">
        <f t="shared" si="40"/>
        <v>ОК</v>
      </c>
      <c r="P281" t="str">
        <f t="shared" si="41"/>
        <v>Уникальный</v>
      </c>
    </row>
    <row r="282">
      <c r="A282" s="3" t="s">
        <v>1044</v>
      </c>
      <c r="B282" s="3" t="s">
        <v>1045</v>
      </c>
      <c r="C282" s="3" t="s">
        <v>98</v>
      </c>
      <c r="D282" s="3" t="s">
        <v>104</v>
      </c>
      <c r="E282" s="3" t="s">
        <v>344</v>
      </c>
      <c r="F282" s="3" t="s">
        <v>254</v>
      </c>
      <c r="G282" s="3" t="s">
        <v>28</v>
      </c>
      <c r="H282" t="str">
        <f t="shared" si="35"/>
        <v>АРТ-281</v>
      </c>
      <c r="I282" t="str">
        <f t="shared" si="36"/>
        <v xml:space="preserve">Наушники Sony Wf-1000Xm5</v>
      </c>
      <c r="J282" t="str">
        <f>IFERROR(VLOOKUP(TRIM(C282),Справочники!$A$3:$B$13,2,0),"Нет в справочнике")</f>
        <v>Наушники</v>
      </c>
      <c r="K282" t="str">
        <f t="shared" si="37"/>
        <v>Sony</v>
      </c>
      <c r="L282" s="4">
        <f t="shared" si="38"/>
        <v>19000</v>
      </c>
      <c r="M282" s="4">
        <f t="shared" si="39"/>
        <v>31500</v>
      </c>
      <c r="N282" t="str">
        <f>IFERROR(VLOOKUP(TRIM(G282),Справочники!$P$3:$Q$7,2,0),"Нет в справочнике")</f>
        <v>шт.</v>
      </c>
      <c r="O282" t="str">
        <f t="shared" si="40"/>
        <v>ОК</v>
      </c>
      <c r="P282" t="str">
        <f t="shared" si="41"/>
        <v>Уникальный</v>
      </c>
    </row>
    <row r="283">
      <c r="A283" s="3" t="s">
        <v>1046</v>
      </c>
      <c r="B283" s="3" t="s">
        <v>1047</v>
      </c>
      <c r="C283" s="3" t="s">
        <v>98</v>
      </c>
      <c r="D283" s="3" t="s">
        <v>99</v>
      </c>
      <c r="E283" s="3" t="s">
        <v>503</v>
      </c>
      <c r="F283" s="3" t="s">
        <v>134</v>
      </c>
      <c r="G283" s="3" t="s">
        <v>22</v>
      </c>
      <c r="H283" t="str">
        <f t="shared" si="35"/>
        <v>АРТ-282</v>
      </c>
      <c r="I283" t="str">
        <f t="shared" si="36"/>
        <v xml:space="preserve">Наушники Sony Wf-1000Xm5</v>
      </c>
      <c r="J283" t="str">
        <f>IFERROR(VLOOKUP(TRIM(C283),Справочники!$A$3:$B$13,2,0),"Нет в справочнике")</f>
        <v>Наушники</v>
      </c>
      <c r="K283" t="str">
        <f t="shared" si="37"/>
        <v>Sony</v>
      </c>
      <c r="L283" s="4">
        <f t="shared" si="38"/>
        <v>21000</v>
      </c>
      <c r="M283" s="4">
        <f t="shared" si="39"/>
        <v>34500</v>
      </c>
      <c r="N283" t="str">
        <f>IFERROR(VLOOKUP(TRIM(G283),Справочники!$P$3:$Q$7,2,0),"Нет в справочнике")</f>
        <v>шт.</v>
      </c>
      <c r="O283" t="str">
        <f t="shared" si="40"/>
        <v>ОК</v>
      </c>
      <c r="P283" t="str">
        <f t="shared" si="41"/>
        <v>Уникальный</v>
      </c>
    </row>
    <row r="284">
      <c r="A284" s="3" t="s">
        <v>1048</v>
      </c>
      <c r="B284" s="3" t="s">
        <v>1049</v>
      </c>
      <c r="C284" s="3" t="s">
        <v>143</v>
      </c>
      <c r="D284" s="3" t="s">
        <v>84</v>
      </c>
      <c r="E284" s="3" t="s">
        <v>70</v>
      </c>
      <c r="F284" s="3" t="s">
        <v>535</v>
      </c>
      <c r="G284" s="3" t="s">
        <v>42</v>
      </c>
      <c r="H284" t="str">
        <f t="shared" si="35"/>
        <v>АРТ-283</v>
      </c>
      <c r="I284" t="str">
        <f t="shared" si="36"/>
        <v xml:space="preserve">Монитор Lg 34Wp88C</v>
      </c>
      <c r="J284" t="str">
        <f>IFERROR(VLOOKUP(TRIM(C284),Справочники!$A$3:$B$13,2,0),"Нет в справочнике")</f>
        <v>Мониторы</v>
      </c>
      <c r="K284" t="str">
        <f t="shared" si="37"/>
        <v>LG</v>
      </c>
      <c r="L284" s="4">
        <f t="shared" si="38"/>
        <v>55000</v>
      </c>
      <c r="M284" s="4">
        <f t="shared" si="39"/>
        <v>84990</v>
      </c>
      <c r="N284" t="str">
        <f>IFERROR(VLOOKUP(TRIM(G284),Справочники!$P$3:$Q$7,2,0),"Нет в справочнике")</f>
        <v>шт.</v>
      </c>
      <c r="O284" t="str">
        <f t="shared" si="40"/>
        <v>ОК</v>
      </c>
      <c r="P284" t="str">
        <f t="shared" si="41"/>
        <v>Уникальный</v>
      </c>
    </row>
    <row r="285">
      <c r="A285" s="3" t="s">
        <v>1050</v>
      </c>
      <c r="B285" s="3" t="s">
        <v>1051</v>
      </c>
      <c r="C285" s="3" t="s">
        <v>143</v>
      </c>
      <c r="D285" s="3" t="s">
        <v>89</v>
      </c>
      <c r="E285" s="3" t="s">
        <v>1052</v>
      </c>
      <c r="F285" s="3" t="s">
        <v>297</v>
      </c>
      <c r="G285" s="3" t="s">
        <v>35</v>
      </c>
      <c r="H285" t="str">
        <f t="shared" si="35"/>
        <v>АРТ-284</v>
      </c>
      <c r="I285" t="str">
        <f t="shared" si="36"/>
        <v xml:space="preserve">Монитор Lg 34Wp88C</v>
      </c>
      <c r="J285" t="str">
        <f>IFERROR(VLOOKUP(TRIM(C285),Справочники!$A$3:$B$13,2,0),"Нет в справочнике")</f>
        <v>Мониторы</v>
      </c>
      <c r="K285" t="str">
        <f t="shared" si="37"/>
        <v>LG</v>
      </c>
      <c r="L285" s="4">
        <f t="shared" si="38"/>
        <v>53000</v>
      </c>
      <c r="M285" s="4">
        <f t="shared" si="39"/>
        <v>82000</v>
      </c>
      <c r="N285" t="str">
        <f>IFERROR(VLOOKUP(TRIM(G285),Справочники!$P$3:$Q$7,2,0),"Нет в справочнике")</f>
        <v>шт.</v>
      </c>
      <c r="O285" t="str">
        <f t="shared" si="40"/>
        <v>ОК</v>
      </c>
      <c r="P285" t="str">
        <f t="shared" si="41"/>
        <v>Уникальный</v>
      </c>
    </row>
    <row r="286">
      <c r="A286" s="3" t="s">
        <v>1053</v>
      </c>
      <c r="B286" s="3" t="s">
        <v>1054</v>
      </c>
      <c r="C286" s="3" t="s">
        <v>143</v>
      </c>
      <c r="D286" s="3" t="s">
        <v>84</v>
      </c>
      <c r="E286" s="3" t="s">
        <v>419</v>
      </c>
      <c r="F286" s="3" t="s">
        <v>1055</v>
      </c>
      <c r="G286" s="3" t="s">
        <v>22</v>
      </c>
      <c r="H286" t="str">
        <f t="shared" si="35"/>
        <v>АРТ-285</v>
      </c>
      <c r="I286" t="str">
        <f t="shared" si="36"/>
        <v xml:space="preserve">Монитор Lg 34Wp88C</v>
      </c>
      <c r="J286" t="str">
        <f>IFERROR(VLOOKUP(TRIM(C286),Справочники!$A$3:$B$13,2,0),"Нет в справочнике")</f>
        <v>Мониторы</v>
      </c>
      <c r="K286" t="str">
        <f t="shared" si="37"/>
        <v>LG</v>
      </c>
      <c r="L286" s="4">
        <f t="shared" si="38"/>
        <v>56500</v>
      </c>
      <c r="M286" s="4">
        <f t="shared" si="39"/>
        <v>87500</v>
      </c>
      <c r="N286" t="str">
        <f>IFERROR(VLOOKUP(TRIM(G286),Справочники!$P$3:$Q$7,2,0),"Нет в справочнике")</f>
        <v>шт.</v>
      </c>
      <c r="O286" t="str">
        <f t="shared" si="40"/>
        <v>ОК</v>
      </c>
      <c r="P286" t="str">
        <f t="shared" si="41"/>
        <v>Уникальный</v>
      </c>
    </row>
    <row r="287">
      <c r="A287" s="3" t="s">
        <v>1056</v>
      </c>
      <c r="B287" s="3" t="s">
        <v>1057</v>
      </c>
      <c r="C287" s="3" t="s">
        <v>157</v>
      </c>
      <c r="D287" s="3" t="s">
        <v>1058</v>
      </c>
      <c r="E287" s="3" t="s">
        <v>173</v>
      </c>
      <c r="F287" s="3" t="s">
        <v>1059</v>
      </c>
      <c r="G287" s="3" t="s">
        <v>42</v>
      </c>
      <c r="H287" t="str">
        <f t="shared" si="35"/>
        <v>АРТ-286</v>
      </c>
      <c r="I287" t="str">
        <f t="shared" si="36"/>
        <v xml:space="preserve">Клавиатура Nuphy Air75</v>
      </c>
      <c r="J287" t="str">
        <f>IFERROR(VLOOKUP(TRIM(C287),Справочники!$A$3:$B$13,2,0),"Нет в справочнике")</f>
        <v>Аксессуары</v>
      </c>
      <c r="K287" t="str">
        <f t="shared" si="37"/>
        <v>Nuphy</v>
      </c>
      <c r="L287" s="4">
        <f t="shared" si="38"/>
        <v>4500</v>
      </c>
      <c r="M287" s="4">
        <f t="shared" si="39"/>
        <v>7490</v>
      </c>
      <c r="N287" t="str">
        <f>IFERROR(VLOOKUP(TRIM(G287),Справочники!$P$3:$Q$7,2,0),"Нет в справочнике")</f>
        <v>шт.</v>
      </c>
      <c r="O287" t="str">
        <f t="shared" si="40"/>
        <v>ОК</v>
      </c>
      <c r="P287" t="str">
        <f t="shared" si="41"/>
        <v>Уникальный</v>
      </c>
    </row>
    <row r="288">
      <c r="A288" s="3" t="s">
        <v>1060</v>
      </c>
      <c r="B288" s="3" t="s">
        <v>1061</v>
      </c>
      <c r="C288" s="3" t="s">
        <v>157</v>
      </c>
      <c r="D288" s="3" t="s">
        <v>1062</v>
      </c>
      <c r="E288" s="3" t="s">
        <v>177</v>
      </c>
      <c r="F288" s="3" t="s">
        <v>841</v>
      </c>
      <c r="G288" s="3" t="s">
        <v>28</v>
      </c>
      <c r="H288" t="str">
        <f t="shared" si="35"/>
        <v>АРТ-287</v>
      </c>
      <c r="I288" t="str">
        <f t="shared" si="36"/>
        <v xml:space="preserve">Клавиатура Nuphy Air75</v>
      </c>
      <c r="J288" t="str">
        <f>IFERROR(VLOOKUP(TRIM(C288),Справочники!$A$3:$B$13,2,0),"Нет в справочнике")</f>
        <v>Аксессуары</v>
      </c>
      <c r="K288" t="str">
        <f t="shared" si="37"/>
        <v>Nuphy</v>
      </c>
      <c r="L288" s="4">
        <f t="shared" si="38"/>
        <v>4200</v>
      </c>
      <c r="M288" s="4">
        <f t="shared" si="39"/>
        <v>7000</v>
      </c>
      <c r="N288" t="str">
        <f>IFERROR(VLOOKUP(TRIM(G288),Справочники!$P$3:$Q$7,2,0),"Нет в справочнике")</f>
        <v>шт.</v>
      </c>
      <c r="O288" t="str">
        <f t="shared" si="40"/>
        <v>ОК</v>
      </c>
      <c r="P288" t="str">
        <f t="shared" si="41"/>
        <v>Уникальный</v>
      </c>
    </row>
    <row r="289">
      <c r="A289" s="3" t="s">
        <v>1063</v>
      </c>
      <c r="B289" s="3" t="s">
        <v>1064</v>
      </c>
      <c r="C289" s="3" t="s">
        <v>157</v>
      </c>
      <c r="D289" s="3" t="s">
        <v>1065</v>
      </c>
      <c r="E289" s="3" t="s">
        <v>181</v>
      </c>
      <c r="F289" s="3" t="s">
        <v>738</v>
      </c>
      <c r="G289" s="3" t="s">
        <v>22</v>
      </c>
      <c r="H289" t="str">
        <f t="shared" si="35"/>
        <v>АРТ-288</v>
      </c>
      <c r="I289" t="str">
        <f t="shared" si="36"/>
        <v xml:space="preserve">Клавиатура Nuphy Air75</v>
      </c>
      <c r="J289" t="str">
        <f>IFERROR(VLOOKUP(TRIM(C289),Справочники!$A$3:$B$13,2,0),"Нет в справочнике")</f>
        <v>Аксессуары</v>
      </c>
      <c r="K289" t="str">
        <f t="shared" si="37"/>
        <v>Nuphy</v>
      </c>
      <c r="L289" s="4">
        <f t="shared" si="38"/>
        <v>4800</v>
      </c>
      <c r="M289" s="4">
        <f t="shared" si="39"/>
        <v>8000</v>
      </c>
      <c r="N289" t="str">
        <f>IFERROR(VLOOKUP(TRIM(G289),Справочники!$P$3:$Q$7,2,0),"Нет в справочнике")</f>
        <v>шт.</v>
      </c>
      <c r="O289" t="str">
        <f t="shared" si="40"/>
        <v>ОК</v>
      </c>
      <c r="P289" t="str">
        <f t="shared" si="41"/>
        <v>Уникальный</v>
      </c>
    </row>
    <row r="290">
      <c r="A290" s="3" t="s">
        <v>1066</v>
      </c>
      <c r="B290" s="3" t="s">
        <v>1067</v>
      </c>
      <c r="C290" s="3" t="s">
        <v>199</v>
      </c>
      <c r="D290" s="3" t="s">
        <v>1068</v>
      </c>
      <c r="E290" s="3" t="s">
        <v>186</v>
      </c>
      <c r="F290" s="3" t="s">
        <v>1069</v>
      </c>
      <c r="G290" s="3" t="s">
        <v>42</v>
      </c>
      <c r="H290" t="str">
        <f t="shared" si="35"/>
        <v>АРТ-289</v>
      </c>
      <c r="I290" t="str">
        <f t="shared" si="36"/>
        <v xml:space="preserve">Смарт-Часы Polar Vantage V3</v>
      </c>
      <c r="J290" t="str">
        <f>IFERROR(VLOOKUP(TRIM(C290),Справочники!$A$3:$B$13,2,0),"Нет в справочнике")</f>
        <v>Часы</v>
      </c>
      <c r="K290" t="str">
        <f t="shared" si="37"/>
        <v>Polar</v>
      </c>
      <c r="L290" s="4">
        <f t="shared" si="38"/>
        <v>40000</v>
      </c>
      <c r="M290" s="4">
        <f t="shared" si="39"/>
        <v>62990</v>
      </c>
      <c r="N290" t="str">
        <f>IFERROR(VLOOKUP(TRIM(G290),Справочники!$P$3:$Q$7,2,0),"Нет в справочнике")</f>
        <v>шт.</v>
      </c>
      <c r="O290" t="str">
        <f t="shared" si="40"/>
        <v>ОК</v>
      </c>
      <c r="P290" t="str">
        <f t="shared" si="41"/>
        <v>Уникальный</v>
      </c>
    </row>
    <row r="291">
      <c r="A291" s="3" t="s">
        <v>1070</v>
      </c>
      <c r="B291" s="3" t="s">
        <v>1071</v>
      </c>
      <c r="C291" s="3" t="s">
        <v>199</v>
      </c>
      <c r="D291" s="3" t="s">
        <v>1072</v>
      </c>
      <c r="E291" s="3" t="s">
        <v>396</v>
      </c>
      <c r="F291" s="3" t="s">
        <v>436</v>
      </c>
      <c r="G291" s="3" t="s">
        <v>35</v>
      </c>
      <c r="H291" t="str">
        <f t="shared" si="35"/>
        <v>АРТ-290</v>
      </c>
      <c r="I291" t="str">
        <f t="shared" si="36"/>
        <v xml:space="preserve">Смарт-Часы Polar Vantage V3</v>
      </c>
      <c r="J291" t="str">
        <f>IFERROR(VLOOKUP(TRIM(C291),Справочники!$A$3:$B$13,2,0),"Нет в справочнике")</f>
        <v>Часы</v>
      </c>
      <c r="K291" t="str">
        <f t="shared" si="37"/>
        <v>Polar</v>
      </c>
      <c r="L291" s="4">
        <f t="shared" si="38"/>
        <v>38500</v>
      </c>
      <c r="M291" s="4">
        <f t="shared" si="39"/>
        <v>60500</v>
      </c>
      <c r="N291" t="str">
        <f>IFERROR(VLOOKUP(TRIM(G291),Справочники!$P$3:$Q$7,2,0),"Нет в справочнике")</f>
        <v>шт.</v>
      </c>
      <c r="O291" t="str">
        <f t="shared" si="40"/>
        <v>ОК</v>
      </c>
      <c r="P291" t="str">
        <f t="shared" si="41"/>
        <v>Уникальный</v>
      </c>
    </row>
    <row r="292">
      <c r="A292" s="3" t="s">
        <v>1073</v>
      </c>
      <c r="B292" s="3" t="s">
        <v>1074</v>
      </c>
      <c r="C292" s="3" t="s">
        <v>199</v>
      </c>
      <c r="D292" s="3" t="s">
        <v>1075</v>
      </c>
      <c r="E292" s="3" t="s">
        <v>572</v>
      </c>
      <c r="F292" s="3" t="s">
        <v>144</v>
      </c>
      <c r="G292" s="3" t="s">
        <v>22</v>
      </c>
      <c r="H292" t="str">
        <f t="shared" ref="H292:H355" si="42">"АРТ-"&amp;TEXT(VALUE(LEFT(SUBSTITUTE(SUBSTITUTE(SUBSTITUTE(SUBSTITUTE(TRIM(A292),"№",""),"АРТ-",""),"АРТ_",""),"АРТ",""),3)),"000")</f>
        <v>АРТ-291</v>
      </c>
      <c r="I292" t="str">
        <f t="shared" ref="I292:I355" si="43">PROPER(TRIM(IFERROR(LEFT(B292,FIND("(",B292)-1),B292)))</f>
        <v xml:space="preserve">Смарт-Часы Polar Vantage V3</v>
      </c>
      <c r="J292" t="str">
        <f>IFERROR(VLOOKUP(TRIM(C292),Справочники!$A$3:$B$13,2,0),"Нет в справочнике")</f>
        <v>Часы</v>
      </c>
      <c r="K292" t="str">
        <f t="shared" ref="K292:K355" si="44">IF(LEN(TRIM(D292))&lt;=3,UPPER(TRIM(D292)),PROPER(TRIM(D292)))</f>
        <v>Polar</v>
      </c>
      <c r="L292" s="4">
        <f t="shared" ref="L292:L355" si="45">ROUND(VALUE(SUBSTITUTE(SUBSTITUTE(SUBSTITUTE(SUBSTITUTE(SUBSTITUTE(TRIM(E292)," ",""),"руб.",""),"₽",""),",",""),".",""))/IF(OR(ISNUMBER(FIND(",",SUBSTITUTE(SUBSTITUTE(SUBSTITUTE(TRIM(E292)," ",""),"руб.",""),"₽",""))),ISNUMBER(FIND(".",SUBSTITUTE(SUBSTITUTE(SUBSTITUTE(TRIM(E292)," ",""),"руб.",""),"₽","")))),100,1),2)</f>
        <v>41500</v>
      </c>
      <c r="M292" s="4">
        <f t="shared" ref="M292:M355" si="46">ROUND(VALUE(SUBSTITUTE(SUBSTITUTE(SUBSTITUTE(SUBSTITUTE(SUBSTITUTE(TRIM(F292)," ",""),"руб.",""),"₽",""),",",""),".",""))/IF(OR(ISNUMBER(FIND(",",SUBSTITUTE(SUBSTITUTE(SUBSTITUTE(TRIM(F292)," ",""),"руб.",""),"₽",""))),ISNUMBER(FIND(".",SUBSTITUTE(SUBSTITUTE(SUBSTITUTE(TRIM(F292)," ",""),"руб.",""),"₽","")))),100,1),2)</f>
        <v>65000</v>
      </c>
      <c r="N292" t="str">
        <f>IFERROR(VLOOKUP(TRIM(G292),Справочники!$P$3:$Q$7,2,0),"Нет в справочнике")</f>
        <v>шт.</v>
      </c>
      <c r="O292" t="str">
        <f t="shared" ref="O292:O355" si="47">IF(M292&gt;=L292,"ОК","Розница ниже закупки")</f>
        <v>ОК</v>
      </c>
      <c r="P292" t="str">
        <f t="shared" ref="P292:P355" si="48">IF(COUNTIF($H$2:$H$502,H292)&gt;1,"Повтор артикула","Уникальный")</f>
        <v>Уникальный</v>
      </c>
    </row>
    <row r="293">
      <c r="A293" s="3" t="s">
        <v>1076</v>
      </c>
      <c r="B293" s="3" t="s">
        <v>1077</v>
      </c>
      <c r="C293" s="3" t="s">
        <v>38</v>
      </c>
      <c r="D293" s="3" t="s">
        <v>697</v>
      </c>
      <c r="E293" s="3" t="s">
        <v>225</v>
      </c>
      <c r="F293" s="3" t="s">
        <v>226</v>
      </c>
      <c r="G293" s="3" t="s">
        <v>42</v>
      </c>
      <c r="H293" t="str">
        <f t="shared" si="42"/>
        <v>АРТ-292</v>
      </c>
      <c r="I293" t="str">
        <f t="shared" si="43"/>
        <v xml:space="preserve">Ноутбук Microsoft Surface Laptop 5</v>
      </c>
      <c r="J293" t="str">
        <f>IFERROR(VLOOKUP(TRIM(C293),Справочники!$A$3:$B$13,2,0),"Нет в справочнике")</f>
        <v>Ноутбуки</v>
      </c>
      <c r="K293" t="str">
        <f t="shared" si="44"/>
        <v>Microsoft</v>
      </c>
      <c r="L293" s="4">
        <f t="shared" si="45"/>
        <v>88000</v>
      </c>
      <c r="M293" s="4">
        <f t="shared" si="46"/>
        <v>134990</v>
      </c>
      <c r="N293" t="str">
        <f>IFERROR(VLOOKUP(TRIM(G293),Справочники!$P$3:$Q$7,2,0),"Нет в справочнике")</f>
        <v>шт.</v>
      </c>
      <c r="O293" t="str">
        <f t="shared" si="47"/>
        <v>ОК</v>
      </c>
      <c r="P293" t="str">
        <f t="shared" si="48"/>
        <v>Уникальный</v>
      </c>
    </row>
    <row r="294">
      <c r="A294" s="3" t="s">
        <v>1078</v>
      </c>
      <c r="B294" s="3" t="s">
        <v>1079</v>
      </c>
      <c r="C294" s="3" t="s">
        <v>45</v>
      </c>
      <c r="D294" s="3" t="s">
        <v>701</v>
      </c>
      <c r="E294" s="3" t="s">
        <v>51</v>
      </c>
      <c r="F294" s="3" t="s">
        <v>230</v>
      </c>
      <c r="G294" s="3" t="s">
        <v>28</v>
      </c>
      <c r="H294" t="str">
        <f t="shared" si="42"/>
        <v>АРТ-293</v>
      </c>
      <c r="I294" t="str">
        <f t="shared" si="43"/>
        <v xml:space="preserve">Ноутбук Microsoft Surface Laptop 5</v>
      </c>
      <c r="J294" t="str">
        <f>IFERROR(VLOOKUP(TRIM(C294),Справочники!$A$3:$B$13,2,0),"Нет в справочнике")</f>
        <v>Ноутбуки</v>
      </c>
      <c r="K294" t="str">
        <f t="shared" si="44"/>
        <v>Microsoft</v>
      </c>
      <c r="L294" s="4">
        <f t="shared" si="45"/>
        <v>86000</v>
      </c>
      <c r="M294" s="4">
        <f t="shared" si="46"/>
        <v>132000</v>
      </c>
      <c r="N294" t="str">
        <f>IFERROR(VLOOKUP(TRIM(G294),Справочники!$P$3:$Q$7,2,0),"Нет в справочнике")</f>
        <v>шт.</v>
      </c>
      <c r="O294" t="str">
        <f t="shared" si="47"/>
        <v>ОК</v>
      </c>
      <c r="P294" t="str">
        <f t="shared" si="48"/>
        <v>Уникальный</v>
      </c>
    </row>
    <row r="295">
      <c r="A295" s="3" t="s">
        <v>1080</v>
      </c>
      <c r="B295" s="3" t="s">
        <v>1081</v>
      </c>
      <c r="C295" s="3" t="s">
        <v>38</v>
      </c>
      <c r="D295" s="3" t="s">
        <v>705</v>
      </c>
      <c r="E295" s="3" t="s">
        <v>233</v>
      </c>
      <c r="F295" s="3" t="s">
        <v>1082</v>
      </c>
      <c r="G295" s="3" t="s">
        <v>22</v>
      </c>
      <c r="H295" t="str">
        <f t="shared" si="42"/>
        <v>АРТ-294</v>
      </c>
      <c r="I295" t="str">
        <f t="shared" si="43"/>
        <v xml:space="preserve">Ноутбук Microsoft Surface Laptop 5</v>
      </c>
      <c r="J295" t="str">
        <f>IFERROR(VLOOKUP(TRIM(C295),Справочники!$A$3:$B$13,2,0),"Нет в справочнике")</f>
        <v>Ноутбуки</v>
      </c>
      <c r="K295" t="str">
        <f t="shared" si="44"/>
        <v>Microsoft</v>
      </c>
      <c r="L295" s="4">
        <f t="shared" si="45"/>
        <v>89500</v>
      </c>
      <c r="M295" s="4">
        <f t="shared" si="46"/>
        <v>137500</v>
      </c>
      <c r="N295" t="str">
        <f>IFERROR(VLOOKUP(TRIM(G295),Справочники!$P$3:$Q$7,2,0),"Нет в справочнике")</f>
        <v>шт.</v>
      </c>
      <c r="O295" t="str">
        <f t="shared" si="47"/>
        <v>ОК</v>
      </c>
      <c r="P295" t="str">
        <f t="shared" si="48"/>
        <v>Уникальный</v>
      </c>
    </row>
    <row r="296">
      <c r="A296" s="3" t="s">
        <v>1083</v>
      </c>
      <c r="B296" s="3" t="s">
        <v>1084</v>
      </c>
      <c r="C296" s="3" t="s">
        <v>18</v>
      </c>
      <c r="D296" s="3" t="s">
        <v>1085</v>
      </c>
      <c r="E296" s="3" t="s">
        <v>1042</v>
      </c>
      <c r="F296" s="3" t="s">
        <v>499</v>
      </c>
      <c r="G296" s="3" t="s">
        <v>42</v>
      </c>
      <c r="H296" t="str">
        <f t="shared" si="42"/>
        <v>АРТ-295</v>
      </c>
      <c r="I296" t="str">
        <f t="shared" si="43"/>
        <v xml:space="preserve">Смартфон Infinix Zero 30</v>
      </c>
      <c r="J296" t="str">
        <f>IFERROR(VLOOKUP(TRIM(C296),Справочники!$A$3:$B$13,2,0),"Нет в справочнике")</f>
        <v>Смартфоны</v>
      </c>
      <c r="K296" t="str">
        <f t="shared" si="44"/>
        <v>Infinix</v>
      </c>
      <c r="L296" s="4">
        <f t="shared" si="45"/>
        <v>20000</v>
      </c>
      <c r="M296" s="4">
        <f t="shared" si="46"/>
        <v>34990</v>
      </c>
      <c r="N296" t="str">
        <f>IFERROR(VLOOKUP(TRIM(G296),Справочники!$P$3:$Q$7,2,0),"Нет в справочнике")</f>
        <v>шт.</v>
      </c>
      <c r="O296" t="str">
        <f t="shared" si="47"/>
        <v>ОК</v>
      </c>
      <c r="P296" t="str">
        <f t="shared" si="48"/>
        <v>Уникальный</v>
      </c>
    </row>
    <row r="297">
      <c r="A297" s="3" t="s">
        <v>1086</v>
      </c>
      <c r="B297" s="3" t="s">
        <v>1087</v>
      </c>
      <c r="C297" s="3" t="s">
        <v>25</v>
      </c>
      <c r="D297" s="3" t="s">
        <v>1088</v>
      </c>
      <c r="E297" s="3" t="s">
        <v>344</v>
      </c>
      <c r="F297" s="3" t="s">
        <v>504</v>
      </c>
      <c r="G297" s="3" t="s">
        <v>35</v>
      </c>
      <c r="H297" t="str">
        <f t="shared" si="42"/>
        <v>АРТ-296</v>
      </c>
      <c r="I297" t="str">
        <f t="shared" si="43"/>
        <v xml:space="preserve">Смартфон Infinix Zero 30</v>
      </c>
      <c r="J297" t="str">
        <f>IFERROR(VLOOKUP(TRIM(C297),Справочники!$A$3:$B$13,2,0),"Нет в справочнике")</f>
        <v>Смартфоны</v>
      </c>
      <c r="K297" t="str">
        <f t="shared" si="44"/>
        <v>Infinix</v>
      </c>
      <c r="L297" s="4">
        <f t="shared" si="45"/>
        <v>19000</v>
      </c>
      <c r="M297" s="4">
        <f t="shared" si="46"/>
        <v>33500</v>
      </c>
      <c r="N297" t="str">
        <f>IFERROR(VLOOKUP(TRIM(G297),Справочники!$P$3:$Q$7,2,0),"Нет в справочнике")</f>
        <v>шт.</v>
      </c>
      <c r="O297" t="str">
        <f t="shared" si="47"/>
        <v>ОК</v>
      </c>
      <c r="P297" t="str">
        <f t="shared" si="48"/>
        <v>Уникальный</v>
      </c>
    </row>
    <row r="298">
      <c r="A298" s="3" t="s">
        <v>1089</v>
      </c>
      <c r="B298" s="3" t="s">
        <v>1090</v>
      </c>
      <c r="C298" s="3" t="s">
        <v>31</v>
      </c>
      <c r="D298" s="3" t="s">
        <v>1091</v>
      </c>
      <c r="E298" s="3" t="s">
        <v>503</v>
      </c>
      <c r="F298" s="3" t="s">
        <v>884</v>
      </c>
      <c r="G298" s="3" t="s">
        <v>22</v>
      </c>
      <c r="H298" t="str">
        <f t="shared" si="42"/>
        <v>АРТ-297</v>
      </c>
      <c r="I298" t="str">
        <f t="shared" si="43"/>
        <v xml:space="preserve">Смартфон Infinix Zero 30</v>
      </c>
      <c r="J298" t="str">
        <f>IFERROR(VLOOKUP(TRIM(C298),Справочники!$A$3:$B$13,2,0),"Нет в справочнике")</f>
        <v>Смартфоны</v>
      </c>
      <c r="K298" t="str">
        <f t="shared" si="44"/>
        <v>Infinix</v>
      </c>
      <c r="L298" s="4">
        <f t="shared" si="45"/>
        <v>21000</v>
      </c>
      <c r="M298" s="4">
        <f t="shared" si="46"/>
        <v>36500</v>
      </c>
      <c r="N298" t="str">
        <f>IFERROR(VLOOKUP(TRIM(G298),Справочники!$P$3:$Q$7,2,0),"Нет в справочнике")</f>
        <v>шт.</v>
      </c>
      <c r="O298" t="str">
        <f t="shared" si="47"/>
        <v>ОК</v>
      </c>
      <c r="P298" t="str">
        <f t="shared" si="48"/>
        <v>Уникальный</v>
      </c>
    </row>
    <row r="299">
      <c r="A299" s="3" t="s">
        <v>1092</v>
      </c>
      <c r="B299" s="3" t="s">
        <v>1093</v>
      </c>
      <c r="C299" s="3" t="s">
        <v>83</v>
      </c>
      <c r="D299" s="3" t="s">
        <v>483</v>
      </c>
      <c r="E299" s="3" t="s">
        <v>285</v>
      </c>
      <c r="F299" s="3" t="s">
        <v>1094</v>
      </c>
      <c r="G299" s="3" t="s">
        <v>42</v>
      </c>
      <c r="H299" t="str">
        <f t="shared" si="42"/>
        <v>АРТ-298</v>
      </c>
      <c r="I299" t="str">
        <f t="shared" si="43"/>
        <v xml:space="preserve">Телевизор Hisense A6K</v>
      </c>
      <c r="J299" t="str">
        <f>IFERROR(VLOOKUP(TRIM(C299),Справочники!$A$3:$B$13,2,0),"Нет в справочнике")</f>
        <v>Телевизоры</v>
      </c>
      <c r="K299" t="str">
        <f t="shared" si="44"/>
        <v>Hisense</v>
      </c>
      <c r="L299" s="4">
        <f t="shared" si="45"/>
        <v>42000</v>
      </c>
      <c r="M299" s="4">
        <f t="shared" si="46"/>
        <v>65990</v>
      </c>
      <c r="N299" t="str">
        <f>IFERROR(VLOOKUP(TRIM(G299),Справочники!$P$3:$Q$7,2,0),"Нет в справочнике")</f>
        <v>шт.</v>
      </c>
      <c r="O299" t="str">
        <f t="shared" si="47"/>
        <v>ОК</v>
      </c>
      <c r="P299" t="str">
        <f t="shared" si="48"/>
        <v>Уникальный</v>
      </c>
    </row>
    <row r="300">
      <c r="A300" s="3" t="s">
        <v>1095</v>
      </c>
      <c r="B300" s="3" t="s">
        <v>1096</v>
      </c>
      <c r="C300" s="3" t="s">
        <v>83</v>
      </c>
      <c r="D300" s="3" t="s">
        <v>488</v>
      </c>
      <c r="E300" s="3" t="s">
        <v>1097</v>
      </c>
      <c r="F300" s="3" t="s">
        <v>192</v>
      </c>
      <c r="G300" s="3" t="s">
        <v>28</v>
      </c>
      <c r="H300" t="str">
        <f t="shared" si="42"/>
        <v>АРТ-299</v>
      </c>
      <c r="I300" t="str">
        <f t="shared" si="43"/>
        <v xml:space="preserve">Телевизор Hisense A6K</v>
      </c>
      <c r="J300" t="str">
        <f>IFERROR(VLOOKUP(TRIM(C300),Справочники!$A$3:$B$13,2,0),"Нет в справочнике")</f>
        <v>Телевизоры</v>
      </c>
      <c r="K300" t="str">
        <f t="shared" si="44"/>
        <v>Hisense</v>
      </c>
      <c r="L300" s="4">
        <f t="shared" si="45"/>
        <v>40500</v>
      </c>
      <c r="M300" s="4">
        <f t="shared" si="46"/>
        <v>63500</v>
      </c>
      <c r="N300" t="str">
        <f>IFERROR(VLOOKUP(TRIM(G300),Справочники!$P$3:$Q$7,2,0),"Нет в справочнике")</f>
        <v>шт.</v>
      </c>
      <c r="O300" t="str">
        <f t="shared" si="47"/>
        <v>ОК</v>
      </c>
      <c r="P300" t="str">
        <f t="shared" si="48"/>
        <v>Уникальный</v>
      </c>
    </row>
    <row r="301">
      <c r="A301" s="3" t="s">
        <v>1098</v>
      </c>
      <c r="B301" s="3" t="s">
        <v>1099</v>
      </c>
      <c r="C301" s="3" t="s">
        <v>83</v>
      </c>
      <c r="D301" s="3" t="s">
        <v>493</v>
      </c>
      <c r="E301" s="3" t="s">
        <v>292</v>
      </c>
      <c r="F301" s="3" t="s">
        <v>265</v>
      </c>
      <c r="G301" s="3" t="s">
        <v>22</v>
      </c>
      <c r="H301" t="str">
        <f t="shared" si="42"/>
        <v>АРТ-300</v>
      </c>
      <c r="I301" t="str">
        <f t="shared" si="43"/>
        <v xml:space="preserve">Телевизор Hisense A6K</v>
      </c>
      <c r="J301" t="str">
        <f>IFERROR(VLOOKUP(TRIM(C301),Справочники!$A$3:$B$13,2,0),"Нет в справочнике")</f>
        <v>Телевизоры</v>
      </c>
      <c r="K301" t="str">
        <f t="shared" si="44"/>
        <v>Hisense</v>
      </c>
      <c r="L301" s="4">
        <f t="shared" si="45"/>
        <v>43500</v>
      </c>
      <c r="M301" s="4">
        <f t="shared" si="46"/>
        <v>68000</v>
      </c>
      <c r="N301" t="str">
        <f>IFERROR(VLOOKUP(TRIM(G301),Справочники!$P$3:$Q$7,2,0),"Нет в справочнике")</f>
        <v>шт.</v>
      </c>
      <c r="O301" t="str">
        <f t="shared" si="47"/>
        <v>ОК</v>
      </c>
      <c r="P301" t="str">
        <f t="shared" si="48"/>
        <v>Уникальный</v>
      </c>
    </row>
    <row r="302">
      <c r="A302" s="3" t="s">
        <v>1100</v>
      </c>
      <c r="B302" s="3" t="s">
        <v>1101</v>
      </c>
      <c r="C302" s="3" t="s">
        <v>98</v>
      </c>
      <c r="D302" s="3" t="s">
        <v>1102</v>
      </c>
      <c r="E302" s="3" t="s">
        <v>173</v>
      </c>
      <c r="F302" s="3" t="s">
        <v>525</v>
      </c>
      <c r="G302" s="3" t="s">
        <v>42</v>
      </c>
      <c r="H302" t="str">
        <f t="shared" si="42"/>
        <v>АРТ-301</v>
      </c>
      <c r="I302" t="str">
        <f t="shared" si="43"/>
        <v xml:space="preserve">Наушники Edifier W820Nb</v>
      </c>
      <c r="J302" t="str">
        <f>IFERROR(VLOOKUP(TRIM(C302),Справочники!$A$3:$B$13,2,0),"Нет в справочнике")</f>
        <v>Наушники</v>
      </c>
      <c r="K302" t="str">
        <f t="shared" si="44"/>
        <v>Edifier</v>
      </c>
      <c r="L302" s="4">
        <f t="shared" si="45"/>
        <v>4500</v>
      </c>
      <c r="M302" s="4">
        <f t="shared" si="46"/>
        <v>7990</v>
      </c>
      <c r="N302" t="str">
        <f>IFERROR(VLOOKUP(TRIM(G302),Справочники!$P$3:$Q$7,2,0),"Нет в справочнике")</f>
        <v>шт.</v>
      </c>
      <c r="O302" t="str">
        <f t="shared" si="47"/>
        <v>ОК</v>
      </c>
      <c r="P302" t="str">
        <f t="shared" si="48"/>
        <v>Уникальный</v>
      </c>
    </row>
    <row r="303">
      <c r="A303" s="3" t="s">
        <v>1103</v>
      </c>
      <c r="B303" s="3" t="s">
        <v>1104</v>
      </c>
      <c r="C303" s="3" t="s">
        <v>98</v>
      </c>
      <c r="D303" s="3" t="s">
        <v>1105</v>
      </c>
      <c r="E303" s="3" t="s">
        <v>1106</v>
      </c>
      <c r="F303" s="3" t="s">
        <v>366</v>
      </c>
      <c r="G303" s="3" t="s">
        <v>35</v>
      </c>
      <c r="H303" t="str">
        <f t="shared" si="42"/>
        <v>АРТ-302</v>
      </c>
      <c r="I303" t="str">
        <f t="shared" si="43"/>
        <v xml:space="preserve">Наушники Edifier W820Nb</v>
      </c>
      <c r="J303" t="str">
        <f>IFERROR(VLOOKUP(TRIM(C303),Справочники!$A$3:$B$13,2,0),"Нет в справочнике")</f>
        <v>Наушники</v>
      </c>
      <c r="K303" t="str">
        <f t="shared" si="44"/>
        <v>Edifier</v>
      </c>
      <c r="L303" s="4">
        <f t="shared" si="45"/>
        <v>4000</v>
      </c>
      <c r="M303" s="4">
        <f t="shared" si="46"/>
        <v>7500</v>
      </c>
      <c r="N303" t="str">
        <f>IFERROR(VLOOKUP(TRIM(G303),Справочники!$P$3:$Q$7,2,0),"Нет в справочнике")</f>
        <v>шт.</v>
      </c>
      <c r="O303" t="str">
        <f t="shared" si="47"/>
        <v>ОК</v>
      </c>
      <c r="P303" t="str">
        <f t="shared" si="48"/>
        <v>Уникальный</v>
      </c>
    </row>
    <row r="304">
      <c r="A304" s="3" t="s">
        <v>1107</v>
      </c>
      <c r="B304" s="3" t="s">
        <v>1108</v>
      </c>
      <c r="C304" s="3" t="s">
        <v>98</v>
      </c>
      <c r="D304" s="3" t="s">
        <v>1109</v>
      </c>
      <c r="E304" s="3" t="s">
        <v>678</v>
      </c>
      <c r="F304" s="3" t="s">
        <v>1110</v>
      </c>
      <c r="G304" s="3" t="s">
        <v>22</v>
      </c>
      <c r="H304" t="str">
        <f t="shared" si="42"/>
        <v>АРТ-303</v>
      </c>
      <c r="I304" t="str">
        <f t="shared" si="43"/>
        <v xml:space="preserve">Наушники Edifier W820Nb</v>
      </c>
      <c r="J304" t="str">
        <f>IFERROR(VLOOKUP(TRIM(C304),Справочники!$A$3:$B$13,2,0),"Нет в справочнике")</f>
        <v>Наушники</v>
      </c>
      <c r="K304" t="str">
        <f t="shared" si="44"/>
        <v>Edifier</v>
      </c>
      <c r="L304" s="4">
        <f t="shared" si="45"/>
        <v>5000</v>
      </c>
      <c r="M304" s="4">
        <f t="shared" si="46"/>
        <v>8800</v>
      </c>
      <c r="N304" t="str">
        <f>IFERROR(VLOOKUP(TRIM(G304),Справочники!$P$3:$Q$7,2,0),"Нет в справочнике")</f>
        <v>шт.</v>
      </c>
      <c r="O304" t="str">
        <f t="shared" si="47"/>
        <v>ОК</v>
      </c>
      <c r="P304" t="str">
        <f t="shared" si="48"/>
        <v>Уникальный</v>
      </c>
    </row>
    <row r="305">
      <c r="A305" s="3" t="s">
        <v>1111</v>
      </c>
      <c r="B305" s="3" t="s">
        <v>1112</v>
      </c>
      <c r="C305" s="3" t="s">
        <v>143</v>
      </c>
      <c r="D305" s="3" t="s">
        <v>352</v>
      </c>
      <c r="E305" s="3" t="s">
        <v>913</v>
      </c>
      <c r="F305" s="3" t="s">
        <v>845</v>
      </c>
      <c r="G305" s="3" t="s">
        <v>42</v>
      </c>
      <c r="H305" t="str">
        <f t="shared" si="42"/>
        <v>АРТ-304</v>
      </c>
      <c r="I305" t="str">
        <f t="shared" si="43"/>
        <v xml:space="preserve">Монитор Acer Nitro Xv282K</v>
      </c>
      <c r="J305" t="str">
        <f>IFERROR(VLOOKUP(TRIM(C305),Справочники!$A$3:$B$13,2,0),"Нет в справочнике")</f>
        <v>Мониторы</v>
      </c>
      <c r="K305" t="str">
        <f t="shared" si="44"/>
        <v>Acer</v>
      </c>
      <c r="L305" s="4">
        <f t="shared" si="45"/>
        <v>38000</v>
      </c>
      <c r="M305" s="4">
        <f t="shared" si="46"/>
        <v>59990</v>
      </c>
      <c r="N305" t="str">
        <f>IFERROR(VLOOKUP(TRIM(G305),Справочники!$P$3:$Q$7,2,0),"Нет в справочнике")</f>
        <v>шт.</v>
      </c>
      <c r="O305" t="str">
        <f t="shared" si="47"/>
        <v>ОК</v>
      </c>
      <c r="P305" t="str">
        <f t="shared" si="48"/>
        <v>Уникальный</v>
      </c>
    </row>
    <row r="306">
      <c r="A306" s="3" t="s">
        <v>1113</v>
      </c>
      <c r="B306" s="3" t="s">
        <v>1114</v>
      </c>
      <c r="C306" s="3" t="s">
        <v>143</v>
      </c>
      <c r="D306" s="3" t="s">
        <v>357</v>
      </c>
      <c r="E306" s="3" t="s">
        <v>884</v>
      </c>
      <c r="F306" s="3" t="s">
        <v>1115</v>
      </c>
      <c r="G306" s="3" t="s">
        <v>28</v>
      </c>
      <c r="H306" t="str">
        <f t="shared" si="42"/>
        <v>АРТ-305</v>
      </c>
      <c r="I306" t="str">
        <f t="shared" si="43"/>
        <v xml:space="preserve">Монитор Acer Nitro Xv282K</v>
      </c>
      <c r="J306" t="str">
        <f>IFERROR(VLOOKUP(TRIM(C306),Справочники!$A$3:$B$13,2,0),"Нет в справочнике")</f>
        <v>Мониторы</v>
      </c>
      <c r="K306" t="str">
        <f t="shared" si="44"/>
        <v>Acer</v>
      </c>
      <c r="L306" s="4">
        <f t="shared" si="45"/>
        <v>36500</v>
      </c>
      <c r="M306" s="4">
        <f t="shared" si="46"/>
        <v>57500</v>
      </c>
      <c r="N306" t="str">
        <f>IFERROR(VLOOKUP(TRIM(G306),Справочники!$P$3:$Q$7,2,0),"Нет в справочнике")</f>
        <v>шт.</v>
      </c>
      <c r="O306" t="str">
        <f t="shared" si="47"/>
        <v>ОК</v>
      </c>
      <c r="P306" t="str">
        <f t="shared" si="48"/>
        <v>Уникальный</v>
      </c>
    </row>
    <row r="307">
      <c r="A307" s="3" t="s">
        <v>1116</v>
      </c>
      <c r="B307" s="3" t="s">
        <v>1117</v>
      </c>
      <c r="C307" s="3" t="s">
        <v>143</v>
      </c>
      <c r="D307" s="3" t="s">
        <v>362</v>
      </c>
      <c r="E307" s="3" t="s">
        <v>61</v>
      </c>
      <c r="F307" s="3" t="s">
        <v>432</v>
      </c>
      <c r="G307" s="3" t="s">
        <v>22</v>
      </c>
      <c r="H307" t="str">
        <f t="shared" si="42"/>
        <v>АРТ-306</v>
      </c>
      <c r="I307" t="str">
        <f t="shared" si="43"/>
        <v xml:space="preserve">Монитор Acer Nitro Xv282K</v>
      </c>
      <c r="J307" t="str">
        <f>IFERROR(VLOOKUP(TRIM(C307),Справочники!$A$3:$B$13,2,0),"Нет в справочнике")</f>
        <v>Мониторы</v>
      </c>
      <c r="K307" t="str">
        <f t="shared" si="44"/>
        <v>Acer</v>
      </c>
      <c r="L307" s="4">
        <f t="shared" si="45"/>
        <v>39500</v>
      </c>
      <c r="M307" s="4">
        <f t="shared" si="46"/>
        <v>62000</v>
      </c>
      <c r="N307" t="str">
        <f>IFERROR(VLOOKUP(TRIM(G307),Справочники!$P$3:$Q$7,2,0),"Нет в справочнике")</f>
        <v>шт.</v>
      </c>
      <c r="O307" t="str">
        <f t="shared" si="47"/>
        <v>ОК</v>
      </c>
      <c r="P307" t="str">
        <f t="shared" si="48"/>
        <v>Уникальный</v>
      </c>
    </row>
    <row r="308">
      <c r="A308" s="3" t="s">
        <v>1118</v>
      </c>
      <c r="B308" s="3" t="s">
        <v>1119</v>
      </c>
      <c r="C308" s="3" t="s">
        <v>157</v>
      </c>
      <c r="D308" s="3" t="s">
        <v>365</v>
      </c>
      <c r="E308" s="3" t="s">
        <v>678</v>
      </c>
      <c r="F308" s="3" t="s">
        <v>174</v>
      </c>
      <c r="G308" s="3" t="s">
        <v>42</v>
      </c>
      <c r="H308" t="str">
        <f t="shared" si="42"/>
        <v>АРТ-307</v>
      </c>
      <c r="I308" t="str">
        <f t="shared" si="43"/>
        <v xml:space="preserve">Мышь Razer Viper V2 Pro</v>
      </c>
      <c r="J308" t="str">
        <f>IFERROR(VLOOKUP(TRIM(C308),Справочники!$A$3:$B$13,2,0),"Нет в справочнике")</f>
        <v>Аксессуары</v>
      </c>
      <c r="K308" t="str">
        <f t="shared" si="44"/>
        <v>Razer</v>
      </c>
      <c r="L308" s="4">
        <f t="shared" si="45"/>
        <v>5000</v>
      </c>
      <c r="M308" s="4">
        <f t="shared" si="46"/>
        <v>8990</v>
      </c>
      <c r="N308" t="str">
        <f>IFERROR(VLOOKUP(TRIM(G308),Справочники!$P$3:$Q$7,2,0),"Нет в справочнике")</f>
        <v>шт.</v>
      </c>
      <c r="O308" t="str">
        <f t="shared" si="47"/>
        <v>ОК</v>
      </c>
      <c r="P308" t="str">
        <f t="shared" si="48"/>
        <v>Уникальный</v>
      </c>
    </row>
    <row r="309">
      <c r="A309" s="3" t="s">
        <v>1120</v>
      </c>
      <c r="B309" s="3" t="s">
        <v>1121</v>
      </c>
      <c r="C309" s="3" t="s">
        <v>157</v>
      </c>
      <c r="D309" s="3" t="s">
        <v>370</v>
      </c>
      <c r="E309" s="3" t="s">
        <v>173</v>
      </c>
      <c r="F309" s="3" t="s">
        <v>178</v>
      </c>
      <c r="G309" s="3" t="s">
        <v>35</v>
      </c>
      <c r="H309" t="str">
        <f t="shared" si="42"/>
        <v>АРТ-308</v>
      </c>
      <c r="I309" t="str">
        <f t="shared" si="43"/>
        <v xml:space="preserve">Мышь Razer Viper V2 Pro</v>
      </c>
      <c r="J309" t="str">
        <f>IFERROR(VLOOKUP(TRIM(C309),Справочники!$A$3:$B$13,2,0),"Нет в справочнике")</f>
        <v>Аксессуары</v>
      </c>
      <c r="K309" t="str">
        <f t="shared" si="44"/>
        <v>Razer</v>
      </c>
      <c r="L309" s="4">
        <f t="shared" si="45"/>
        <v>4500</v>
      </c>
      <c r="M309" s="4">
        <f t="shared" si="46"/>
        <v>8500</v>
      </c>
      <c r="N309" t="str">
        <f>IFERROR(VLOOKUP(TRIM(G309),Справочники!$P$3:$Q$7,2,0),"Нет в справочнике")</f>
        <v>шт.</v>
      </c>
      <c r="O309" t="str">
        <f t="shared" si="47"/>
        <v>ОК</v>
      </c>
      <c r="P309" t="str">
        <f t="shared" si="48"/>
        <v>Уникальный</v>
      </c>
    </row>
    <row r="310">
      <c r="A310" s="3" t="s">
        <v>1122</v>
      </c>
      <c r="B310" s="3" t="s">
        <v>1123</v>
      </c>
      <c r="C310" s="3" t="s">
        <v>157</v>
      </c>
      <c r="D310" s="3" t="s">
        <v>374</v>
      </c>
      <c r="E310" s="3" t="s">
        <v>159</v>
      </c>
      <c r="F310" s="3" t="s">
        <v>1124</v>
      </c>
      <c r="G310" s="3" t="s">
        <v>22</v>
      </c>
      <c r="H310" t="str">
        <f t="shared" si="42"/>
        <v>АРТ-309</v>
      </c>
      <c r="I310" t="str">
        <f t="shared" si="43"/>
        <v xml:space="preserve">Мышь Razer Viper V2 Pro</v>
      </c>
      <c r="J310" t="str">
        <f>IFERROR(VLOOKUP(TRIM(C310),Справочники!$A$3:$B$13,2,0),"Нет в справочнике")</f>
        <v>Аксессуары</v>
      </c>
      <c r="K310" t="str">
        <f t="shared" si="44"/>
        <v>Razer</v>
      </c>
      <c r="L310" s="4">
        <f t="shared" si="45"/>
        <v>5500</v>
      </c>
      <c r="M310" s="4">
        <f t="shared" si="46"/>
        <v>9800</v>
      </c>
      <c r="N310" t="str">
        <f>IFERROR(VLOOKUP(TRIM(G310),Справочники!$P$3:$Q$7,2,0),"Нет в справочнике")</f>
        <v>шт.</v>
      </c>
      <c r="O310" t="str">
        <f t="shared" si="47"/>
        <v>ОК</v>
      </c>
      <c r="P310" t="str">
        <f t="shared" si="48"/>
        <v>Уникальный</v>
      </c>
    </row>
    <row r="311">
      <c r="A311" s="3" t="s">
        <v>1125</v>
      </c>
      <c r="B311" s="3" t="s">
        <v>1126</v>
      </c>
      <c r="C311" s="3" t="s">
        <v>69</v>
      </c>
      <c r="D311" s="3" t="s">
        <v>55</v>
      </c>
      <c r="E311" s="3" t="s">
        <v>186</v>
      </c>
      <c r="F311" s="3" t="s">
        <v>824</v>
      </c>
      <c r="G311" s="3" t="s">
        <v>42</v>
      </c>
      <c r="H311" t="str">
        <f t="shared" si="42"/>
        <v>АРТ-310</v>
      </c>
      <c r="I311" t="str">
        <f t="shared" si="43"/>
        <v xml:space="preserve">Планшет Samsung Galaxy Tab S8</v>
      </c>
      <c r="J311" t="str">
        <f>IFERROR(VLOOKUP(TRIM(C311),Справочники!$A$3:$B$13,2,0),"Нет в справочнике")</f>
        <v>Планшеты</v>
      </c>
      <c r="K311" t="str">
        <f t="shared" si="44"/>
        <v>Samsung</v>
      </c>
      <c r="L311" s="4">
        <f t="shared" si="45"/>
        <v>40000</v>
      </c>
      <c r="M311" s="4">
        <f t="shared" si="46"/>
        <v>64990</v>
      </c>
      <c r="N311" t="str">
        <f>IFERROR(VLOOKUP(TRIM(G311),Справочники!$P$3:$Q$7,2,0),"Нет в справочнике")</f>
        <v>шт.</v>
      </c>
      <c r="O311" t="str">
        <f t="shared" si="47"/>
        <v>ОК</v>
      </c>
      <c r="P311" t="str">
        <f t="shared" si="48"/>
        <v>Уникальный</v>
      </c>
    </row>
    <row r="312">
      <c r="A312" s="3" t="s">
        <v>1127</v>
      </c>
      <c r="B312" s="3" t="s">
        <v>1128</v>
      </c>
      <c r="C312" s="3" t="s">
        <v>69</v>
      </c>
      <c r="D312" s="3" t="s">
        <v>148</v>
      </c>
      <c r="E312" s="3" t="s">
        <v>396</v>
      </c>
      <c r="F312" s="3" t="s">
        <v>827</v>
      </c>
      <c r="G312" s="3" t="s">
        <v>28</v>
      </c>
      <c r="H312" t="str">
        <f t="shared" si="42"/>
        <v>АРТ-311</v>
      </c>
      <c r="I312" t="str">
        <f t="shared" si="43"/>
        <v xml:space="preserve">Планшет Samsung Galaxy Tab S8</v>
      </c>
      <c r="J312" t="str">
        <f>IFERROR(VLOOKUP(TRIM(C312),Справочники!$A$3:$B$13,2,0),"Нет в справочнике")</f>
        <v>Планшеты</v>
      </c>
      <c r="K312" t="str">
        <f t="shared" si="44"/>
        <v>Samsung</v>
      </c>
      <c r="L312" s="4">
        <f t="shared" si="45"/>
        <v>38500</v>
      </c>
      <c r="M312" s="4">
        <f t="shared" si="46"/>
        <v>62500</v>
      </c>
      <c r="N312" t="str">
        <f>IFERROR(VLOOKUP(TRIM(G312),Справочники!$P$3:$Q$7,2,0),"Нет в справочнике")</f>
        <v>шт.</v>
      </c>
      <c r="O312" t="str">
        <f t="shared" si="47"/>
        <v>ОК</v>
      </c>
      <c r="P312" t="str">
        <f t="shared" si="48"/>
        <v>Уникальный</v>
      </c>
    </row>
    <row r="313">
      <c r="A313" s="3" t="s">
        <v>1129</v>
      </c>
      <c r="B313" s="3" t="s">
        <v>1130</v>
      </c>
      <c r="C313" s="3" t="s">
        <v>69</v>
      </c>
      <c r="D313" s="3" t="s">
        <v>60</v>
      </c>
      <c r="E313" s="3" t="s">
        <v>572</v>
      </c>
      <c r="F313" s="3" t="s">
        <v>831</v>
      </c>
      <c r="G313" s="3" t="s">
        <v>22</v>
      </c>
      <c r="H313" t="str">
        <f t="shared" si="42"/>
        <v>АРТ-312</v>
      </c>
      <c r="I313" t="str">
        <f t="shared" si="43"/>
        <v xml:space="preserve">Планшет Samsung Galaxy Tab S8</v>
      </c>
      <c r="J313" t="str">
        <f>IFERROR(VLOOKUP(TRIM(C313),Справочники!$A$3:$B$13,2,0),"Нет в справочнике")</f>
        <v>Планшеты</v>
      </c>
      <c r="K313" t="str">
        <f t="shared" si="44"/>
        <v>Samsung</v>
      </c>
      <c r="L313" s="4">
        <f t="shared" si="45"/>
        <v>41500</v>
      </c>
      <c r="M313" s="4">
        <f t="shared" si="46"/>
        <v>67000</v>
      </c>
      <c r="N313" t="str">
        <f>IFERROR(VLOOKUP(TRIM(G313),Справочники!$P$3:$Q$7,2,0),"Нет в справочнике")</f>
        <v>шт.</v>
      </c>
      <c r="O313" t="str">
        <f t="shared" si="47"/>
        <v>ОК</v>
      </c>
      <c r="P313" t="str">
        <f t="shared" si="48"/>
        <v>Уникальный</v>
      </c>
    </row>
    <row r="314">
      <c r="A314" s="3" t="s">
        <v>1131</v>
      </c>
      <c r="B314" s="3" t="s">
        <v>1132</v>
      </c>
      <c r="C314" s="3" t="s">
        <v>18</v>
      </c>
      <c r="D314" s="3" t="s">
        <v>19</v>
      </c>
      <c r="E314" s="3" t="s">
        <v>285</v>
      </c>
      <c r="F314" s="3" t="s">
        <v>201</v>
      </c>
      <c r="G314" s="3" t="s">
        <v>42</v>
      </c>
      <c r="H314" t="str">
        <f t="shared" si="42"/>
        <v>АРТ-313</v>
      </c>
      <c r="I314" t="str">
        <f t="shared" si="43"/>
        <v xml:space="preserve">Смартфон Apple Iphone 14</v>
      </c>
      <c r="J314" t="str">
        <f>IFERROR(VLOOKUP(TRIM(C314),Справочники!$A$3:$B$13,2,0),"Нет в справочнике")</f>
        <v>Смартфоны</v>
      </c>
      <c r="K314" t="str">
        <f t="shared" si="44"/>
        <v>Apple</v>
      </c>
      <c r="L314" s="4">
        <f t="shared" si="45"/>
        <v>42000</v>
      </c>
      <c r="M314" s="4">
        <f t="shared" si="46"/>
        <v>69990</v>
      </c>
      <c r="N314" t="str">
        <f>IFERROR(VLOOKUP(TRIM(G314),Справочники!$P$3:$Q$7,2,0),"Нет в справочнике")</f>
        <v>шт.</v>
      </c>
      <c r="O314" t="str">
        <f t="shared" si="47"/>
        <v>ОК</v>
      </c>
      <c r="P314" t="str">
        <f t="shared" si="48"/>
        <v>Уникальный</v>
      </c>
    </row>
    <row r="315">
      <c r="A315" s="3" t="s">
        <v>1133</v>
      </c>
      <c r="B315" s="3" t="s">
        <v>1134</v>
      </c>
      <c r="C315" s="3" t="s">
        <v>25</v>
      </c>
      <c r="D315" s="3" t="s">
        <v>74</v>
      </c>
      <c r="E315" s="3" t="s">
        <v>1097</v>
      </c>
      <c r="F315" s="3" t="s">
        <v>865</v>
      </c>
      <c r="G315" s="3" t="s">
        <v>35</v>
      </c>
      <c r="H315" t="str">
        <f t="shared" si="42"/>
        <v>АРТ-314</v>
      </c>
      <c r="I315" t="str">
        <f t="shared" si="43"/>
        <v xml:space="preserve">Смартфон Apple Iphone 14</v>
      </c>
      <c r="J315" t="str">
        <f>IFERROR(VLOOKUP(TRIM(C315),Справочники!$A$3:$B$13,2,0),"Нет в справочнике")</f>
        <v>Смартфоны</v>
      </c>
      <c r="K315" t="str">
        <f t="shared" si="44"/>
        <v>Apple</v>
      </c>
      <c r="L315" s="4">
        <f t="shared" si="45"/>
        <v>40500</v>
      </c>
      <c r="M315" s="4">
        <f t="shared" si="46"/>
        <v>67500</v>
      </c>
      <c r="N315" t="str">
        <f>IFERROR(VLOOKUP(TRIM(G315),Справочники!$P$3:$Q$7,2,0),"Нет в справочнике")</f>
        <v>шт.</v>
      </c>
      <c r="O315" t="str">
        <f t="shared" si="47"/>
        <v>ОК</v>
      </c>
      <c r="P315" t="str">
        <f t="shared" si="48"/>
        <v>Уникальный</v>
      </c>
    </row>
    <row r="316">
      <c r="A316" s="3" t="s">
        <v>1135</v>
      </c>
      <c r="B316" s="3" t="s">
        <v>1136</v>
      </c>
      <c r="C316" s="3" t="s">
        <v>31</v>
      </c>
      <c r="D316" s="3" t="s">
        <v>32</v>
      </c>
      <c r="E316" s="3" t="s">
        <v>292</v>
      </c>
      <c r="F316" s="3" t="s">
        <v>403</v>
      </c>
      <c r="G316" s="3" t="s">
        <v>22</v>
      </c>
      <c r="H316" t="str">
        <f t="shared" si="42"/>
        <v>АРТ-315</v>
      </c>
      <c r="I316" t="str">
        <f t="shared" si="43"/>
        <v xml:space="preserve">Смартфон Apple Iphone 14</v>
      </c>
      <c r="J316" t="str">
        <f>IFERROR(VLOOKUP(TRIM(C316),Справочники!$A$3:$B$13,2,0),"Нет в справочнике")</f>
        <v>Смартфоны</v>
      </c>
      <c r="K316" t="str">
        <f t="shared" si="44"/>
        <v>Apple</v>
      </c>
      <c r="L316" s="4">
        <f t="shared" si="45"/>
        <v>43500</v>
      </c>
      <c r="M316" s="4">
        <f t="shared" si="46"/>
        <v>72000</v>
      </c>
      <c r="N316" t="str">
        <f>IFERROR(VLOOKUP(TRIM(G316),Справочники!$P$3:$Q$7,2,0),"Нет в справочнике")</f>
        <v>шт.</v>
      </c>
      <c r="O316" t="str">
        <f t="shared" si="47"/>
        <v>ОК</v>
      </c>
      <c r="P316" t="str">
        <f t="shared" si="48"/>
        <v>Уникальный</v>
      </c>
    </row>
    <row r="317">
      <c r="A317" s="3" t="s">
        <v>1137</v>
      </c>
      <c r="B317" s="3" t="s">
        <v>1138</v>
      </c>
      <c r="C317" s="3" t="s">
        <v>38</v>
      </c>
      <c r="D317" s="3" t="s">
        <v>39</v>
      </c>
      <c r="E317" s="3" t="s">
        <v>326</v>
      </c>
      <c r="F317" s="3" t="s">
        <v>404</v>
      </c>
      <c r="G317" s="3" t="s">
        <v>42</v>
      </c>
      <c r="H317" t="str">
        <f t="shared" si="42"/>
        <v>АРТ-316</v>
      </c>
      <c r="I317" t="str">
        <f t="shared" si="43"/>
        <v xml:space="preserve">Ноутбук Asus Tuf Gaming F15</v>
      </c>
      <c r="J317" t="str">
        <f>IFERROR(VLOOKUP(TRIM(C317),Справочники!$A$3:$B$13,2,0),"Нет в справочнике")</f>
        <v>Ноутбуки</v>
      </c>
      <c r="K317" t="str">
        <f t="shared" si="44"/>
        <v>Asus</v>
      </c>
      <c r="L317" s="4">
        <f t="shared" si="45"/>
        <v>70000</v>
      </c>
      <c r="M317" s="4">
        <f t="shared" si="46"/>
        <v>109990</v>
      </c>
      <c r="N317" t="str">
        <f>IFERROR(VLOOKUP(TRIM(G317),Справочники!$P$3:$Q$7,2,0),"Нет в справочнике")</f>
        <v>шт.</v>
      </c>
      <c r="O317" t="str">
        <f t="shared" si="47"/>
        <v>ОК</v>
      </c>
      <c r="P317" t="str">
        <f t="shared" si="48"/>
        <v>Уникальный</v>
      </c>
    </row>
    <row r="318">
      <c r="A318" s="3" t="s">
        <v>1139</v>
      </c>
      <c r="B318" s="3" t="s">
        <v>1140</v>
      </c>
      <c r="C318" s="3" t="s">
        <v>45</v>
      </c>
      <c r="D318" s="3" t="s">
        <v>46</v>
      </c>
      <c r="E318" s="3" t="s">
        <v>265</v>
      </c>
      <c r="F318" s="3" t="s">
        <v>331</v>
      </c>
      <c r="G318" s="3" t="s">
        <v>28</v>
      </c>
      <c r="H318" t="str">
        <f t="shared" si="42"/>
        <v>АРТ-317</v>
      </c>
      <c r="I318" t="str">
        <f t="shared" si="43"/>
        <v xml:space="preserve">Ноутбук Asus Tuf Gaming F15</v>
      </c>
      <c r="J318" t="str">
        <f>IFERROR(VLOOKUP(TRIM(C318),Справочники!$A$3:$B$13,2,0),"Нет в справочнике")</f>
        <v>Ноутбуки</v>
      </c>
      <c r="K318" t="str">
        <f t="shared" si="44"/>
        <v>Asus</v>
      </c>
      <c r="L318" s="4">
        <f t="shared" si="45"/>
        <v>68000</v>
      </c>
      <c r="M318" s="4">
        <f t="shared" si="46"/>
        <v>107000</v>
      </c>
      <c r="N318" t="str">
        <f>IFERROR(VLOOKUP(TRIM(G318),Справочники!$P$3:$Q$7,2,0),"Нет в справочнике")</f>
        <v>шт.</v>
      </c>
      <c r="O318" t="str">
        <f t="shared" si="47"/>
        <v>ОК</v>
      </c>
      <c r="P318" t="str">
        <f t="shared" si="48"/>
        <v>Уникальный</v>
      </c>
    </row>
    <row r="319">
      <c r="A319" s="3" t="s">
        <v>1141</v>
      </c>
      <c r="B319" s="3" t="s">
        <v>1142</v>
      </c>
      <c r="C319" s="3" t="s">
        <v>38</v>
      </c>
      <c r="D319" s="3" t="s">
        <v>39</v>
      </c>
      <c r="E319" s="3" t="s">
        <v>269</v>
      </c>
      <c r="F319" s="3" t="s">
        <v>1143</v>
      </c>
      <c r="G319" s="3" t="s">
        <v>22</v>
      </c>
      <c r="H319" t="str">
        <f t="shared" si="42"/>
        <v>АРТ-318</v>
      </c>
      <c r="I319" t="str">
        <f t="shared" si="43"/>
        <v xml:space="preserve">Ноутбук Asus Tuf Gaming F15</v>
      </c>
      <c r="J319" t="str">
        <f>IFERROR(VLOOKUP(TRIM(C319),Справочники!$A$3:$B$13,2,0),"Нет в справочнике")</f>
        <v>Ноутбуки</v>
      </c>
      <c r="K319" t="str">
        <f t="shared" si="44"/>
        <v>Asus</v>
      </c>
      <c r="L319" s="4">
        <f t="shared" si="45"/>
        <v>71500</v>
      </c>
      <c r="M319" s="4">
        <f t="shared" si="46"/>
        <v>112500</v>
      </c>
      <c r="N319" t="str">
        <f>IFERROR(VLOOKUP(TRIM(G319),Справочники!$P$3:$Q$7,2,0),"Нет в справочнике")</f>
        <v>шт.</v>
      </c>
      <c r="O319" t="str">
        <f t="shared" si="47"/>
        <v>ОК</v>
      </c>
      <c r="P319" t="str">
        <f t="shared" si="48"/>
        <v>Уникальный</v>
      </c>
    </row>
    <row r="320">
      <c r="A320" s="3" t="s">
        <v>1144</v>
      </c>
      <c r="B320" s="3" t="s">
        <v>1145</v>
      </c>
      <c r="C320" s="3" t="s">
        <v>83</v>
      </c>
      <c r="D320" s="3" t="s">
        <v>325</v>
      </c>
      <c r="E320" s="3" t="s">
        <v>1146</v>
      </c>
      <c r="F320" s="3" t="s">
        <v>1147</v>
      </c>
      <c r="G320" s="3" t="s">
        <v>42</v>
      </c>
      <c r="H320" t="str">
        <f t="shared" si="42"/>
        <v>АРТ-319</v>
      </c>
      <c r="I320" t="str">
        <f t="shared" si="43"/>
        <v xml:space="preserve">Телевизор Tcl 98C735</v>
      </c>
      <c r="J320" t="str">
        <f>IFERROR(VLOOKUP(TRIM(C320),Справочники!$A$3:$B$13,2,0),"Нет в справочнике")</f>
        <v>Телевизоры</v>
      </c>
      <c r="K320" t="str">
        <f t="shared" si="44"/>
        <v>TCL</v>
      </c>
      <c r="L320" s="4">
        <f t="shared" si="45"/>
        <v>120000</v>
      </c>
      <c r="M320" s="4">
        <f t="shared" si="46"/>
        <v>184990</v>
      </c>
      <c r="N320" t="str">
        <f>IFERROR(VLOOKUP(TRIM(G320),Справочники!$P$3:$Q$7,2,0),"Нет в справочнике")</f>
        <v>шт.</v>
      </c>
      <c r="O320" t="str">
        <f t="shared" si="47"/>
        <v>ОК</v>
      </c>
      <c r="P320" t="str">
        <f t="shared" si="48"/>
        <v>Уникальный</v>
      </c>
    </row>
    <row r="321">
      <c r="A321" s="3" t="s">
        <v>1148</v>
      </c>
      <c r="B321" s="3" t="s">
        <v>1149</v>
      </c>
      <c r="C321" s="3" t="s">
        <v>83</v>
      </c>
      <c r="D321" s="3" t="s">
        <v>330</v>
      </c>
      <c r="E321" s="3" t="s">
        <v>1150</v>
      </c>
      <c r="F321" s="3" t="s">
        <v>1151</v>
      </c>
      <c r="G321" s="3" t="s">
        <v>35</v>
      </c>
      <c r="H321" t="str">
        <f t="shared" si="42"/>
        <v>АРТ-320</v>
      </c>
      <c r="I321" t="str">
        <f t="shared" si="43"/>
        <v xml:space="preserve">Телевизор Tcl 98C735</v>
      </c>
      <c r="J321" t="str">
        <f>IFERROR(VLOOKUP(TRIM(C321),Справочники!$A$3:$B$13,2,0),"Нет в справочнике")</f>
        <v>Телевизоры</v>
      </c>
      <c r="K321" t="str">
        <f t="shared" si="44"/>
        <v>TCL</v>
      </c>
      <c r="L321" s="4">
        <f t="shared" si="45"/>
        <v>118000</v>
      </c>
      <c r="M321" s="4">
        <f t="shared" si="46"/>
        <v>181500</v>
      </c>
      <c r="N321" t="str">
        <f>IFERROR(VLOOKUP(TRIM(G321),Справочники!$P$3:$Q$7,2,0),"Нет в справочнике")</f>
        <v>шт.</v>
      </c>
      <c r="O321" t="str">
        <f t="shared" si="47"/>
        <v>ОК</v>
      </c>
      <c r="P321" t="str">
        <f t="shared" si="48"/>
        <v>Уникальный</v>
      </c>
    </row>
    <row r="322">
      <c r="A322" s="3" t="s">
        <v>1152</v>
      </c>
      <c r="B322" s="3" t="s">
        <v>1153</v>
      </c>
      <c r="C322" s="3" t="s">
        <v>83</v>
      </c>
      <c r="D322" s="3" t="s">
        <v>325</v>
      </c>
      <c r="E322" s="3" t="s">
        <v>1154</v>
      </c>
      <c r="F322" s="3" t="s">
        <v>1155</v>
      </c>
      <c r="G322" s="3" t="s">
        <v>22</v>
      </c>
      <c r="H322" t="str">
        <f t="shared" si="42"/>
        <v>АРТ-321</v>
      </c>
      <c r="I322" t="str">
        <f t="shared" si="43"/>
        <v xml:space="preserve">Телевизор Tcl 98C735</v>
      </c>
      <c r="J322" t="str">
        <f>IFERROR(VLOOKUP(TRIM(C322),Справочники!$A$3:$B$13,2,0),"Нет в справочнике")</f>
        <v>Телевизоры</v>
      </c>
      <c r="K322" t="str">
        <f t="shared" si="44"/>
        <v>TCL</v>
      </c>
      <c r="L322" s="4">
        <f t="shared" si="45"/>
        <v>122000</v>
      </c>
      <c r="M322" s="4">
        <f t="shared" si="46"/>
        <v>188000</v>
      </c>
      <c r="N322" t="str">
        <f>IFERROR(VLOOKUP(TRIM(G322),Справочники!$P$3:$Q$7,2,0),"Нет в справочнике")</f>
        <v>шт.</v>
      </c>
      <c r="O322" t="str">
        <f t="shared" si="47"/>
        <v>ОК</v>
      </c>
      <c r="P322" t="str">
        <f t="shared" si="48"/>
        <v>Уникальный</v>
      </c>
    </row>
    <row r="323">
      <c r="A323" s="3" t="s">
        <v>1156</v>
      </c>
      <c r="B323" s="3" t="s">
        <v>1157</v>
      </c>
      <c r="C323" s="3" t="s">
        <v>98</v>
      </c>
      <c r="D323" s="3" t="s">
        <v>224</v>
      </c>
      <c r="E323" s="3" t="s">
        <v>738</v>
      </c>
      <c r="F323" s="3" t="s">
        <v>367</v>
      </c>
      <c r="G323" s="3" t="s">
        <v>42</v>
      </c>
      <c r="H323" t="str">
        <f t="shared" si="42"/>
        <v>АРТ-322</v>
      </c>
      <c r="I323" t="str">
        <f t="shared" si="43"/>
        <v xml:space="preserve">Наушники Sony Wh-Ch720N</v>
      </c>
      <c r="J323" t="str">
        <f>IFERROR(VLOOKUP(TRIM(C323),Справочники!$A$3:$B$13,2,0),"Нет в справочнике")</f>
        <v>Наушники</v>
      </c>
      <c r="K323" t="str">
        <f t="shared" si="44"/>
        <v>Sony</v>
      </c>
      <c r="L323" s="4">
        <f t="shared" si="45"/>
        <v>8000</v>
      </c>
      <c r="M323" s="4">
        <f t="shared" si="46"/>
        <v>12990</v>
      </c>
      <c r="N323" t="str">
        <f>IFERROR(VLOOKUP(TRIM(G323),Справочники!$P$3:$Q$7,2,0),"Нет в справочнике")</f>
        <v>шт.</v>
      </c>
      <c r="O323" t="str">
        <f t="shared" si="47"/>
        <v>ОК</v>
      </c>
      <c r="P323" t="str">
        <f t="shared" si="48"/>
        <v>Уникальный</v>
      </c>
    </row>
    <row r="324">
      <c r="A324" s="3" t="s">
        <v>1158</v>
      </c>
      <c r="B324" s="3" t="s">
        <v>1159</v>
      </c>
      <c r="C324" s="3" t="s">
        <v>98</v>
      </c>
      <c r="D324" s="3" t="s">
        <v>104</v>
      </c>
      <c r="E324" s="3" t="s">
        <v>366</v>
      </c>
      <c r="F324" s="3" t="s">
        <v>348</v>
      </c>
      <c r="G324" s="3" t="s">
        <v>28</v>
      </c>
      <c r="H324" t="str">
        <f t="shared" si="42"/>
        <v>АРТ-323</v>
      </c>
      <c r="I324" t="str">
        <f t="shared" si="43"/>
        <v xml:space="preserve">Наушники Sony Wh-Ch720N</v>
      </c>
      <c r="J324" t="str">
        <f>IFERROR(VLOOKUP(TRIM(C324),Справочники!$A$3:$B$13,2,0),"Нет в справочнике")</f>
        <v>Наушники</v>
      </c>
      <c r="K324" t="str">
        <f t="shared" si="44"/>
        <v>Sony</v>
      </c>
      <c r="L324" s="4">
        <f t="shared" si="45"/>
        <v>7500</v>
      </c>
      <c r="M324" s="4">
        <f t="shared" si="46"/>
        <v>12500</v>
      </c>
      <c r="N324" t="str">
        <f>IFERROR(VLOOKUP(TRIM(G324),Справочники!$P$3:$Q$7,2,0),"Нет в справочнике")</f>
        <v>шт.</v>
      </c>
      <c r="O324" t="str">
        <f t="shared" si="47"/>
        <v>ОК</v>
      </c>
      <c r="P324" t="str">
        <f t="shared" si="48"/>
        <v>Уникальный</v>
      </c>
    </row>
    <row r="325">
      <c r="A325" s="3" t="s">
        <v>1160</v>
      </c>
      <c r="B325" s="3" t="s">
        <v>1161</v>
      </c>
      <c r="C325" s="3" t="s">
        <v>98</v>
      </c>
      <c r="D325" s="3" t="s">
        <v>99</v>
      </c>
      <c r="E325" s="3" t="s">
        <v>178</v>
      </c>
      <c r="F325" s="3" t="s">
        <v>1162</v>
      </c>
      <c r="G325" s="3" t="s">
        <v>22</v>
      </c>
      <c r="H325" t="str">
        <f t="shared" si="42"/>
        <v>АРТ-324</v>
      </c>
      <c r="I325" t="str">
        <f t="shared" si="43"/>
        <v xml:space="preserve">Наушники Sony Wh-Ch720N</v>
      </c>
      <c r="J325" t="str">
        <f>IFERROR(VLOOKUP(TRIM(C325),Справочники!$A$3:$B$13,2,0),"Нет в справочнике")</f>
        <v>Наушники</v>
      </c>
      <c r="K325" t="str">
        <f t="shared" si="44"/>
        <v>Sony</v>
      </c>
      <c r="L325" s="4">
        <f t="shared" si="45"/>
        <v>8500</v>
      </c>
      <c r="M325" s="4">
        <f t="shared" si="46"/>
        <v>13800</v>
      </c>
      <c r="N325" t="str">
        <f>IFERROR(VLOOKUP(TRIM(G325),Справочники!$P$3:$Q$7,2,0),"Нет в справочнике")</f>
        <v>шт.</v>
      </c>
      <c r="O325" t="str">
        <f t="shared" si="47"/>
        <v>ОК</v>
      </c>
      <c r="P325" t="str">
        <f t="shared" si="48"/>
        <v>Уникальный</v>
      </c>
    </row>
    <row r="326">
      <c r="A326" s="3" t="s">
        <v>1163</v>
      </c>
      <c r="B326" s="3" t="s">
        <v>1164</v>
      </c>
      <c r="C326" s="3" t="s">
        <v>143</v>
      </c>
      <c r="D326" s="3" t="s">
        <v>84</v>
      </c>
      <c r="E326" s="3" t="s">
        <v>1165</v>
      </c>
      <c r="F326" s="3" t="s">
        <v>1166</v>
      </c>
      <c r="G326" s="3" t="s">
        <v>42</v>
      </c>
      <c r="H326" t="str">
        <f t="shared" si="42"/>
        <v>АРТ-325</v>
      </c>
      <c r="I326" t="str">
        <f t="shared" si="43"/>
        <v xml:space="preserve">Монитор Lg 27Up850N</v>
      </c>
      <c r="J326" t="str">
        <f>IFERROR(VLOOKUP(TRIM(C326),Справочники!$A$3:$B$13,2,0),"Нет в справочнике")</f>
        <v>Мониторы</v>
      </c>
      <c r="K326" t="str">
        <f t="shared" si="44"/>
        <v>LG</v>
      </c>
      <c r="L326" s="4">
        <f t="shared" si="45"/>
        <v>43000</v>
      </c>
      <c r="M326" s="4">
        <f t="shared" si="46"/>
        <v>66990</v>
      </c>
      <c r="N326" t="str">
        <f>IFERROR(VLOOKUP(TRIM(G326),Справочники!$P$3:$Q$7,2,0),"Нет в справочнике")</f>
        <v>шт.</v>
      </c>
      <c r="O326" t="str">
        <f t="shared" si="47"/>
        <v>ОК</v>
      </c>
      <c r="P326" t="str">
        <f t="shared" si="48"/>
        <v>Уникальный</v>
      </c>
    </row>
    <row r="327">
      <c r="A327" s="3" t="s">
        <v>1167</v>
      </c>
      <c r="B327" s="3" t="s">
        <v>1168</v>
      </c>
      <c r="C327" s="3" t="s">
        <v>143</v>
      </c>
      <c r="D327" s="3" t="s">
        <v>89</v>
      </c>
      <c r="E327" s="3" t="s">
        <v>572</v>
      </c>
      <c r="F327" s="3" t="s">
        <v>1169</v>
      </c>
      <c r="G327" s="3" t="s">
        <v>35</v>
      </c>
      <c r="H327" t="str">
        <f t="shared" si="42"/>
        <v>АРТ-326</v>
      </c>
      <c r="I327" t="str">
        <f t="shared" si="43"/>
        <v xml:space="preserve">Монитор Lg 27Up850N</v>
      </c>
      <c r="J327" t="str">
        <f>IFERROR(VLOOKUP(TRIM(C327),Справочники!$A$3:$B$13,2,0),"Нет в справочнике")</f>
        <v>Мониторы</v>
      </c>
      <c r="K327" t="str">
        <f t="shared" si="44"/>
        <v>LG</v>
      </c>
      <c r="L327" s="4">
        <f t="shared" si="45"/>
        <v>41500</v>
      </c>
      <c r="M327" s="4">
        <f t="shared" si="46"/>
        <v>64500</v>
      </c>
      <c r="N327" t="str">
        <f>IFERROR(VLOOKUP(TRIM(G327),Справочники!$P$3:$Q$7,2,0),"Нет в справочнике")</f>
        <v>шт.</v>
      </c>
      <c r="O327" t="str">
        <f t="shared" si="47"/>
        <v>ОК</v>
      </c>
      <c r="P327" t="str">
        <f t="shared" si="48"/>
        <v>Уникальный</v>
      </c>
    </row>
    <row r="328">
      <c r="A328" s="3" t="s">
        <v>1170</v>
      </c>
      <c r="B328" s="3" t="s">
        <v>1171</v>
      </c>
      <c r="C328" s="3" t="s">
        <v>143</v>
      </c>
      <c r="D328" s="3" t="s">
        <v>84</v>
      </c>
      <c r="E328" s="3" t="s">
        <v>384</v>
      </c>
      <c r="F328" s="3" t="s">
        <v>1172</v>
      </c>
      <c r="G328" s="3" t="s">
        <v>22</v>
      </c>
      <c r="H328" t="str">
        <f t="shared" si="42"/>
        <v>АРТ-327</v>
      </c>
      <c r="I328" t="str">
        <f t="shared" si="43"/>
        <v xml:space="preserve">Монитор Lg 27Up850N</v>
      </c>
      <c r="J328" t="str">
        <f>IFERROR(VLOOKUP(TRIM(C328),Справочники!$A$3:$B$13,2,0),"Нет в справочнике")</f>
        <v>Мониторы</v>
      </c>
      <c r="K328" t="str">
        <f t="shared" si="44"/>
        <v>LG</v>
      </c>
      <c r="L328" s="4">
        <f t="shared" si="45"/>
        <v>44500</v>
      </c>
      <c r="M328" s="4">
        <f t="shared" si="46"/>
        <v>69000</v>
      </c>
      <c r="N328" t="str">
        <f>IFERROR(VLOOKUP(TRIM(G328),Справочники!$P$3:$Q$7,2,0),"Нет в справочнике")</f>
        <v>шт.</v>
      </c>
      <c r="O328" t="str">
        <f t="shared" si="47"/>
        <v>ОК</v>
      </c>
      <c r="P328" t="str">
        <f t="shared" si="48"/>
        <v>Уникальный</v>
      </c>
    </row>
    <row r="329">
      <c r="A329" s="3" t="s">
        <v>1173</v>
      </c>
      <c r="B329" s="3" t="s">
        <v>1174</v>
      </c>
      <c r="C329" s="3" t="s">
        <v>157</v>
      </c>
      <c r="D329" s="3" t="s">
        <v>524</v>
      </c>
      <c r="E329" s="3" t="s">
        <v>841</v>
      </c>
      <c r="F329" s="3" t="s">
        <v>986</v>
      </c>
      <c r="G329" s="3" t="s">
        <v>42</v>
      </c>
      <c r="H329" t="str">
        <f t="shared" si="42"/>
        <v>АРТ-328</v>
      </c>
      <c r="I329" t="str">
        <f t="shared" si="43"/>
        <v xml:space="preserve">Клавиатура Keychron Q1 Pro</v>
      </c>
      <c r="J329" t="str">
        <f>IFERROR(VLOOKUP(TRIM(C329),Справочники!$A$3:$B$13,2,0),"Нет в справочнике")</f>
        <v>Аксессуары</v>
      </c>
      <c r="K329" t="str">
        <f t="shared" si="44"/>
        <v>Keychron</v>
      </c>
      <c r="L329" s="4">
        <f t="shared" si="45"/>
        <v>7000</v>
      </c>
      <c r="M329" s="4">
        <f t="shared" si="46"/>
        <v>11990</v>
      </c>
      <c r="N329" t="str">
        <f>IFERROR(VLOOKUP(TRIM(G329),Справочники!$P$3:$Q$7,2,0),"Нет в справочнике")</f>
        <v>шт.</v>
      </c>
      <c r="O329" t="str">
        <f t="shared" si="47"/>
        <v>ОК</v>
      </c>
      <c r="P329" t="str">
        <f t="shared" si="48"/>
        <v>Уникальный</v>
      </c>
    </row>
    <row r="330">
      <c r="A330" s="3" t="s">
        <v>1175</v>
      </c>
      <c r="B330" s="3" t="s">
        <v>1176</v>
      </c>
      <c r="C330" s="3" t="s">
        <v>157</v>
      </c>
      <c r="D330" s="3" t="s">
        <v>528</v>
      </c>
      <c r="E330" s="3" t="s">
        <v>273</v>
      </c>
      <c r="F330" s="3" t="s">
        <v>343</v>
      </c>
      <c r="G330" s="3" t="s">
        <v>28</v>
      </c>
      <c r="H330" t="str">
        <f t="shared" si="42"/>
        <v>АРТ-329</v>
      </c>
      <c r="I330" t="str">
        <f t="shared" si="43"/>
        <v xml:space="preserve">Клавиатура Keychron Q1 Pro</v>
      </c>
      <c r="J330" t="str">
        <f>IFERROR(VLOOKUP(TRIM(C330),Справочники!$A$3:$B$13,2,0),"Нет в справочнике")</f>
        <v>Аксессуары</v>
      </c>
      <c r="K330" t="str">
        <f t="shared" si="44"/>
        <v>Keychron</v>
      </c>
      <c r="L330" s="4">
        <f t="shared" si="45"/>
        <v>6500</v>
      </c>
      <c r="M330" s="4">
        <f t="shared" si="46"/>
        <v>11500</v>
      </c>
      <c r="N330" t="str">
        <f>IFERROR(VLOOKUP(TRIM(G330),Справочники!$P$3:$Q$7,2,0),"Нет в справочнике")</f>
        <v>шт.</v>
      </c>
      <c r="O330" t="str">
        <f t="shared" si="47"/>
        <v>ОК</v>
      </c>
      <c r="P330" t="str">
        <f t="shared" si="48"/>
        <v>Уникальный</v>
      </c>
    </row>
    <row r="331">
      <c r="A331" s="3" t="s">
        <v>1177</v>
      </c>
      <c r="B331" s="3" t="s">
        <v>1178</v>
      </c>
      <c r="C331" s="3" t="s">
        <v>157</v>
      </c>
      <c r="D331" s="3" t="s">
        <v>531</v>
      </c>
      <c r="E331" s="3" t="s">
        <v>366</v>
      </c>
      <c r="F331" s="3" t="s">
        <v>993</v>
      </c>
      <c r="G331" s="3" t="s">
        <v>22</v>
      </c>
      <c r="H331" t="str">
        <f t="shared" si="42"/>
        <v>АРТ-330</v>
      </c>
      <c r="I331" t="str">
        <f t="shared" si="43"/>
        <v xml:space="preserve">Клавиатура Keychron Q1 Pro</v>
      </c>
      <c r="J331" t="str">
        <f>IFERROR(VLOOKUP(TRIM(C331),Справочники!$A$3:$B$13,2,0),"Нет в справочнике")</f>
        <v>Аксессуары</v>
      </c>
      <c r="K331" t="str">
        <f t="shared" si="44"/>
        <v>Keychron</v>
      </c>
      <c r="L331" s="4">
        <f t="shared" si="45"/>
        <v>7500</v>
      </c>
      <c r="M331" s="4">
        <f t="shared" si="46"/>
        <v>12800</v>
      </c>
      <c r="N331" t="str">
        <f>IFERROR(VLOOKUP(TRIM(G331),Справочники!$P$3:$Q$7,2,0),"Нет в справочнике")</f>
        <v>шт.</v>
      </c>
      <c r="O331" t="str">
        <f t="shared" si="47"/>
        <v>ОК</v>
      </c>
      <c r="P331" t="str">
        <f t="shared" si="48"/>
        <v>Уникальный</v>
      </c>
    </row>
    <row r="332">
      <c r="A332" s="3" t="s">
        <v>1179</v>
      </c>
      <c r="B332" s="3" t="s">
        <v>1180</v>
      </c>
      <c r="C332" s="3" t="s">
        <v>199</v>
      </c>
      <c r="D332" s="3" t="s">
        <v>1181</v>
      </c>
      <c r="E332" s="3" t="s">
        <v>200</v>
      </c>
      <c r="F332" s="3" t="s">
        <v>201</v>
      </c>
      <c r="G332" s="3" t="s">
        <v>42</v>
      </c>
      <c r="H332" t="str">
        <f t="shared" si="42"/>
        <v>АРТ-331</v>
      </c>
      <c r="I332" t="str">
        <f t="shared" si="43"/>
        <v xml:space="preserve">Смарт-Часы Suunto 9 Peak</v>
      </c>
      <c r="J332" t="str">
        <f>IFERROR(VLOOKUP(TRIM(C332),Справочники!$A$3:$B$13,2,0),"Нет в справочнике")</f>
        <v>Часы</v>
      </c>
      <c r="K332" t="str">
        <f t="shared" si="44"/>
        <v>Suunto</v>
      </c>
      <c r="L332" s="4">
        <f t="shared" si="45"/>
        <v>45000</v>
      </c>
      <c r="M332" s="4">
        <f t="shared" si="46"/>
        <v>69990</v>
      </c>
      <c r="N332" t="str">
        <f>IFERROR(VLOOKUP(TRIM(G332),Справочники!$P$3:$Q$7,2,0),"Нет в справочнике")</f>
        <v>шт.</v>
      </c>
      <c r="O332" t="str">
        <f t="shared" si="47"/>
        <v>ОК</v>
      </c>
      <c r="P332" t="str">
        <f t="shared" si="48"/>
        <v>Уникальный</v>
      </c>
    </row>
    <row r="333">
      <c r="A333" s="3" t="s">
        <v>1182</v>
      </c>
      <c r="B333" s="3" t="s">
        <v>1183</v>
      </c>
      <c r="C333" s="3" t="s">
        <v>199</v>
      </c>
      <c r="D333" s="3" t="s">
        <v>1184</v>
      </c>
      <c r="E333" s="3" t="s">
        <v>292</v>
      </c>
      <c r="F333" s="3" t="s">
        <v>865</v>
      </c>
      <c r="G333" s="3" t="s">
        <v>35</v>
      </c>
      <c r="H333" t="str">
        <f t="shared" si="42"/>
        <v>АРТ-332</v>
      </c>
      <c r="I333" t="str">
        <f t="shared" si="43"/>
        <v xml:space="preserve">Смарт-Часы Suunto 9 Peak</v>
      </c>
      <c r="J333" t="str">
        <f>IFERROR(VLOOKUP(TRIM(C333),Справочники!$A$3:$B$13,2,0),"Нет в справочнике")</f>
        <v>Часы</v>
      </c>
      <c r="K333" t="str">
        <f t="shared" si="44"/>
        <v>Suunto</v>
      </c>
      <c r="L333" s="4">
        <f t="shared" si="45"/>
        <v>43500</v>
      </c>
      <c r="M333" s="4">
        <f t="shared" si="46"/>
        <v>67500</v>
      </c>
      <c r="N333" t="str">
        <f>IFERROR(VLOOKUP(TRIM(G333),Справочники!$P$3:$Q$7,2,0),"Нет в справочнике")</f>
        <v>шт.</v>
      </c>
      <c r="O333" t="str">
        <f t="shared" si="47"/>
        <v>ОК</v>
      </c>
      <c r="P333" t="str">
        <f t="shared" si="48"/>
        <v>Уникальный</v>
      </c>
    </row>
    <row r="334">
      <c r="A334" s="3" t="s">
        <v>1185</v>
      </c>
      <c r="B334" s="3" t="s">
        <v>1186</v>
      </c>
      <c r="C334" s="3" t="s">
        <v>199</v>
      </c>
      <c r="D334" s="3" t="s">
        <v>1187</v>
      </c>
      <c r="E334" s="3" t="s">
        <v>268</v>
      </c>
      <c r="F334" s="3" t="s">
        <v>403</v>
      </c>
      <c r="G334" s="3" t="s">
        <v>22</v>
      </c>
      <c r="H334" t="str">
        <f t="shared" si="42"/>
        <v>АРТ-333</v>
      </c>
      <c r="I334" t="str">
        <f t="shared" si="43"/>
        <v xml:space="preserve">Смарт-Часы Suunto 9 Peak</v>
      </c>
      <c r="J334" t="str">
        <f>IFERROR(VLOOKUP(TRIM(C334),Справочники!$A$3:$B$13,2,0),"Нет в справочнике")</f>
        <v>Часы</v>
      </c>
      <c r="K334" t="str">
        <f t="shared" si="44"/>
        <v>Suunto</v>
      </c>
      <c r="L334" s="4">
        <f t="shared" si="45"/>
        <v>46500</v>
      </c>
      <c r="M334" s="4">
        <f t="shared" si="46"/>
        <v>72000</v>
      </c>
      <c r="N334" t="str">
        <f>IFERROR(VLOOKUP(TRIM(G334),Справочники!$P$3:$Q$7,2,0),"Нет в справочнике")</f>
        <v>шт.</v>
      </c>
      <c r="O334" t="str">
        <f t="shared" si="47"/>
        <v>ОК</v>
      </c>
      <c r="P334" t="str">
        <f t="shared" si="48"/>
        <v>Уникальный</v>
      </c>
    </row>
    <row r="335">
      <c r="A335" s="3" t="s">
        <v>1188</v>
      </c>
      <c r="B335" s="3" t="s">
        <v>1189</v>
      </c>
      <c r="C335" s="3" t="s">
        <v>69</v>
      </c>
      <c r="D335" s="3" t="s">
        <v>310</v>
      </c>
      <c r="E335" s="3" t="s">
        <v>558</v>
      </c>
      <c r="F335" s="3" t="s">
        <v>1024</v>
      </c>
      <c r="G335" s="3" t="s">
        <v>42</v>
      </c>
      <c r="H335" t="str">
        <f t="shared" si="42"/>
        <v>АРТ-334</v>
      </c>
      <c r="I335" t="str">
        <f t="shared" si="43"/>
        <v xml:space="preserve">Планшет Oneplus Pad</v>
      </c>
      <c r="J335" t="str">
        <f>IFERROR(VLOOKUP(TRIM(C335),Справочники!$A$3:$B$13,2,0),"Нет в справочнике")</f>
        <v>Планшеты</v>
      </c>
      <c r="K335" t="str">
        <f t="shared" si="44"/>
        <v>Oneplus</v>
      </c>
      <c r="L335" s="4">
        <f t="shared" si="45"/>
        <v>30000</v>
      </c>
      <c r="M335" s="4">
        <f t="shared" si="46"/>
        <v>48990</v>
      </c>
      <c r="N335" t="str">
        <f>IFERROR(VLOOKUP(TRIM(G335),Справочники!$P$3:$Q$7,2,0),"Нет в справочнике")</f>
        <v>шт.</v>
      </c>
      <c r="O335" t="str">
        <f t="shared" si="47"/>
        <v>ОК</v>
      </c>
      <c r="P335" t="str">
        <f t="shared" si="48"/>
        <v>Уникальный</v>
      </c>
    </row>
    <row r="336">
      <c r="A336" s="3" t="s">
        <v>1190</v>
      </c>
      <c r="B336" s="3" t="s">
        <v>1191</v>
      </c>
      <c r="C336" s="3" t="s">
        <v>69</v>
      </c>
      <c r="D336" s="3" t="s">
        <v>315</v>
      </c>
      <c r="E336" s="3" t="s">
        <v>692</v>
      </c>
      <c r="F336" s="3" t="s">
        <v>1027</v>
      </c>
      <c r="G336" s="3" t="s">
        <v>28</v>
      </c>
      <c r="H336" t="str">
        <f t="shared" si="42"/>
        <v>АРТ-335</v>
      </c>
      <c r="I336" t="str">
        <f t="shared" si="43"/>
        <v xml:space="preserve">Планшет Oneplus Pad</v>
      </c>
      <c r="J336" t="str">
        <f>IFERROR(VLOOKUP(TRIM(C336),Справочники!$A$3:$B$13,2,0),"Нет в справочнике")</f>
        <v>Планшеты</v>
      </c>
      <c r="K336" t="str">
        <f t="shared" si="44"/>
        <v>Oneplus</v>
      </c>
      <c r="L336" s="4">
        <f t="shared" si="45"/>
        <v>28500</v>
      </c>
      <c r="M336" s="4">
        <f t="shared" si="46"/>
        <v>47000</v>
      </c>
      <c r="N336" t="str">
        <f>IFERROR(VLOOKUP(TRIM(G336),Справочники!$P$3:$Q$7,2,0),"Нет в справочнике")</f>
        <v>шт.</v>
      </c>
      <c r="O336" t="str">
        <f t="shared" si="47"/>
        <v>ОК</v>
      </c>
      <c r="P336" t="str">
        <f t="shared" si="48"/>
        <v>Уникальный</v>
      </c>
    </row>
    <row r="337">
      <c r="A337" s="3" t="s">
        <v>1192</v>
      </c>
      <c r="B337" s="3" t="s">
        <v>1193</v>
      </c>
      <c r="C337" s="3" t="s">
        <v>69</v>
      </c>
      <c r="D337" s="3" t="s">
        <v>320</v>
      </c>
      <c r="E337" s="3" t="s">
        <v>254</v>
      </c>
      <c r="F337" s="3" t="s">
        <v>358</v>
      </c>
      <c r="G337" s="3" t="s">
        <v>22</v>
      </c>
      <c r="H337" t="str">
        <f t="shared" si="42"/>
        <v>АРТ-336</v>
      </c>
      <c r="I337" t="str">
        <f t="shared" si="43"/>
        <v xml:space="preserve">Планшет Oneplus Pad</v>
      </c>
      <c r="J337" t="str">
        <f>IFERROR(VLOOKUP(TRIM(C337),Справочники!$A$3:$B$13,2,0),"Нет в справочнике")</f>
        <v>Планшеты</v>
      </c>
      <c r="K337" t="str">
        <f t="shared" si="44"/>
        <v>Oneplus</v>
      </c>
      <c r="L337" s="4">
        <f t="shared" si="45"/>
        <v>31500</v>
      </c>
      <c r="M337" s="4">
        <f t="shared" si="46"/>
        <v>50500</v>
      </c>
      <c r="N337" t="str">
        <f>IFERROR(VLOOKUP(TRIM(G337),Справочники!$P$3:$Q$7,2,0),"Нет в справочнике")</f>
        <v>шт.</v>
      </c>
      <c r="O337" t="str">
        <f t="shared" si="47"/>
        <v>ОК</v>
      </c>
      <c r="P337" t="str">
        <f t="shared" si="48"/>
        <v>Уникальный</v>
      </c>
    </row>
    <row r="338">
      <c r="A338" s="3" t="s">
        <v>1194</v>
      </c>
      <c r="B338" s="3" t="s">
        <v>1195</v>
      </c>
      <c r="C338" s="3" t="s">
        <v>18</v>
      </c>
      <c r="D338" s="3" t="s">
        <v>619</v>
      </c>
      <c r="E338" s="3" t="s">
        <v>186</v>
      </c>
      <c r="F338" s="3" t="s">
        <v>824</v>
      </c>
      <c r="G338" s="3" t="s">
        <v>42</v>
      </c>
      <c r="H338" t="str">
        <f t="shared" si="42"/>
        <v>АРТ-337</v>
      </c>
      <c r="I338" t="str">
        <f t="shared" si="43"/>
        <v xml:space="preserve">Смартфон Motorola Razr 40</v>
      </c>
      <c r="J338" t="str">
        <f>IFERROR(VLOOKUP(TRIM(C338),Справочники!$A$3:$B$13,2,0),"Нет в справочнике")</f>
        <v>Смартфоны</v>
      </c>
      <c r="K338" t="str">
        <f t="shared" si="44"/>
        <v>Motorola</v>
      </c>
      <c r="L338" s="4">
        <f t="shared" si="45"/>
        <v>40000</v>
      </c>
      <c r="M338" s="4">
        <f t="shared" si="46"/>
        <v>64990</v>
      </c>
      <c r="N338" t="str">
        <f>IFERROR(VLOOKUP(TRIM(G338),Справочники!$P$3:$Q$7,2,0),"Нет в справочнике")</f>
        <v>шт.</v>
      </c>
      <c r="O338" t="str">
        <f t="shared" si="47"/>
        <v>ОК</v>
      </c>
      <c r="P338" t="str">
        <f t="shared" si="48"/>
        <v>Уникальный</v>
      </c>
    </row>
    <row r="339">
      <c r="A339" s="3" t="s">
        <v>1196</v>
      </c>
      <c r="B339" s="3" t="s">
        <v>1197</v>
      </c>
      <c r="C339" s="3" t="s">
        <v>25</v>
      </c>
      <c r="D339" s="3" t="s">
        <v>623</v>
      </c>
      <c r="E339" s="3" t="s">
        <v>396</v>
      </c>
      <c r="F339" s="3" t="s">
        <v>827</v>
      </c>
      <c r="G339" s="3" t="s">
        <v>35</v>
      </c>
      <c r="H339" t="str">
        <f t="shared" si="42"/>
        <v>АРТ-338</v>
      </c>
      <c r="I339" t="str">
        <f t="shared" si="43"/>
        <v xml:space="preserve">Смартфон Motorola Razr 40</v>
      </c>
      <c r="J339" t="str">
        <f>IFERROR(VLOOKUP(TRIM(C339),Справочники!$A$3:$B$13,2,0),"Нет в справочнике")</f>
        <v>Смартфоны</v>
      </c>
      <c r="K339" t="str">
        <f t="shared" si="44"/>
        <v>Motorola</v>
      </c>
      <c r="L339" s="4">
        <f t="shared" si="45"/>
        <v>38500</v>
      </c>
      <c r="M339" s="4">
        <f t="shared" si="46"/>
        <v>62500</v>
      </c>
      <c r="N339" t="str">
        <f>IFERROR(VLOOKUP(TRIM(G339),Справочники!$P$3:$Q$7,2,0),"Нет в справочнике")</f>
        <v>шт.</v>
      </c>
      <c r="O339" t="str">
        <f t="shared" si="47"/>
        <v>ОК</v>
      </c>
      <c r="P339" t="str">
        <f t="shared" si="48"/>
        <v>Уникальный</v>
      </c>
    </row>
    <row r="340">
      <c r="A340" s="3" t="s">
        <v>1198</v>
      </c>
      <c r="B340" s="3" t="s">
        <v>1199</v>
      </c>
      <c r="C340" s="3" t="s">
        <v>31</v>
      </c>
      <c r="D340" s="3" t="s">
        <v>626</v>
      </c>
      <c r="E340" s="3" t="s">
        <v>572</v>
      </c>
      <c r="F340" s="3" t="s">
        <v>831</v>
      </c>
      <c r="G340" s="3" t="s">
        <v>22</v>
      </c>
      <c r="H340" t="str">
        <f t="shared" si="42"/>
        <v>АРТ-339</v>
      </c>
      <c r="I340" t="str">
        <f t="shared" si="43"/>
        <v xml:space="preserve">Смартфон Motorola Razr 40</v>
      </c>
      <c r="J340" t="str">
        <f>IFERROR(VLOOKUP(TRIM(C340),Справочники!$A$3:$B$13,2,0),"Нет в справочнике")</f>
        <v>Смартфоны</v>
      </c>
      <c r="K340" t="str">
        <f t="shared" si="44"/>
        <v>Motorola</v>
      </c>
      <c r="L340" s="4">
        <f t="shared" si="45"/>
        <v>41500</v>
      </c>
      <c r="M340" s="4">
        <f t="shared" si="46"/>
        <v>67000</v>
      </c>
      <c r="N340" t="str">
        <f>IFERROR(VLOOKUP(TRIM(G340),Справочники!$P$3:$Q$7,2,0),"Нет в справочнике")</f>
        <v>шт.</v>
      </c>
      <c r="O340" t="str">
        <f t="shared" si="47"/>
        <v>ОК</v>
      </c>
      <c r="P340" t="str">
        <f t="shared" si="48"/>
        <v>Уникальный</v>
      </c>
    </row>
    <row r="341">
      <c r="A341" s="3" t="s">
        <v>1200</v>
      </c>
      <c r="B341" s="3" t="s">
        <v>1201</v>
      </c>
      <c r="C341" s="3" t="s">
        <v>38</v>
      </c>
      <c r="D341" s="3" t="s">
        <v>629</v>
      </c>
      <c r="E341" s="3" t="s">
        <v>225</v>
      </c>
      <c r="F341" s="3" t="s">
        <v>226</v>
      </c>
      <c r="G341" s="3" t="s">
        <v>42</v>
      </c>
      <c r="H341" t="str">
        <f t="shared" si="42"/>
        <v>АРТ-340</v>
      </c>
      <c r="I341" t="str">
        <f t="shared" si="43"/>
        <v xml:space="preserve">Ноутбук Gigabyte Aero 16</v>
      </c>
      <c r="J341" t="str">
        <f>IFERROR(VLOOKUP(TRIM(C341),Справочники!$A$3:$B$13,2,0),"Нет в справочнике")</f>
        <v>Ноутбуки</v>
      </c>
      <c r="K341" t="str">
        <f t="shared" si="44"/>
        <v>Gigabyte</v>
      </c>
      <c r="L341" s="4">
        <f t="shared" si="45"/>
        <v>88000</v>
      </c>
      <c r="M341" s="4">
        <f t="shared" si="46"/>
        <v>134990</v>
      </c>
      <c r="N341" t="str">
        <f>IFERROR(VLOOKUP(TRIM(G341),Справочники!$P$3:$Q$7,2,0),"Нет в справочнике")</f>
        <v>шт.</v>
      </c>
      <c r="O341" t="str">
        <f t="shared" si="47"/>
        <v>ОК</v>
      </c>
      <c r="P341" t="str">
        <f t="shared" si="48"/>
        <v>Уникальный</v>
      </c>
    </row>
    <row r="342">
      <c r="A342" s="3" t="s">
        <v>1202</v>
      </c>
      <c r="B342" s="3" t="s">
        <v>1203</v>
      </c>
      <c r="C342" s="3" t="s">
        <v>45</v>
      </c>
      <c r="D342" s="3" t="s">
        <v>633</v>
      </c>
      <c r="E342" s="3" t="s">
        <v>51</v>
      </c>
      <c r="F342" s="3" t="s">
        <v>230</v>
      </c>
      <c r="G342" s="3" t="s">
        <v>28</v>
      </c>
      <c r="H342" t="str">
        <f t="shared" si="42"/>
        <v>АРТ-341</v>
      </c>
      <c r="I342" t="str">
        <f t="shared" si="43"/>
        <v xml:space="preserve">Ноутбук Gigabyte Aero 16</v>
      </c>
      <c r="J342" t="str">
        <f>IFERROR(VLOOKUP(TRIM(C342),Справочники!$A$3:$B$13,2,0),"Нет в справочнике")</f>
        <v>Ноутбуки</v>
      </c>
      <c r="K342" t="str">
        <f t="shared" si="44"/>
        <v>Gigabyte</v>
      </c>
      <c r="L342" s="4">
        <f t="shared" si="45"/>
        <v>86000</v>
      </c>
      <c r="M342" s="4">
        <f t="shared" si="46"/>
        <v>132000</v>
      </c>
      <c r="N342" t="str">
        <f>IFERROR(VLOOKUP(TRIM(G342),Справочники!$P$3:$Q$7,2,0),"Нет в справочнике")</f>
        <v>шт.</v>
      </c>
      <c r="O342" t="str">
        <f t="shared" si="47"/>
        <v>ОК</v>
      </c>
      <c r="P342" t="str">
        <f t="shared" si="48"/>
        <v>Уникальный</v>
      </c>
    </row>
    <row r="343">
      <c r="A343" s="3" t="s">
        <v>1204</v>
      </c>
      <c r="B343" s="3" t="s">
        <v>1205</v>
      </c>
      <c r="C343" s="3" t="s">
        <v>38</v>
      </c>
      <c r="D343" s="3" t="s">
        <v>636</v>
      </c>
      <c r="E343" s="3" t="s">
        <v>233</v>
      </c>
      <c r="F343" s="3" t="s">
        <v>1082</v>
      </c>
      <c r="G343" s="3" t="s">
        <v>22</v>
      </c>
      <c r="H343" t="str">
        <f t="shared" si="42"/>
        <v>АРТ-342</v>
      </c>
      <c r="I343" t="str">
        <f t="shared" si="43"/>
        <v xml:space="preserve">Ноутбук Gigabyte Aero 16</v>
      </c>
      <c r="J343" t="str">
        <f>IFERROR(VLOOKUP(TRIM(C343),Справочники!$A$3:$B$13,2,0),"Нет в справочнике")</f>
        <v>Ноутбуки</v>
      </c>
      <c r="K343" t="str">
        <f t="shared" si="44"/>
        <v>Gigabyte</v>
      </c>
      <c r="L343" s="4">
        <f t="shared" si="45"/>
        <v>89500</v>
      </c>
      <c r="M343" s="4">
        <f t="shared" si="46"/>
        <v>137500</v>
      </c>
      <c r="N343" t="str">
        <f>IFERROR(VLOOKUP(TRIM(G343),Справочники!$P$3:$Q$7,2,0),"Нет в справочнике")</f>
        <v>шт.</v>
      </c>
      <c r="O343" t="str">
        <f t="shared" si="47"/>
        <v>ОК</v>
      </c>
      <c r="P343" t="str">
        <f t="shared" si="48"/>
        <v>Уникальный</v>
      </c>
    </row>
    <row r="344">
      <c r="A344" s="3" t="s">
        <v>1206</v>
      </c>
      <c r="B344" s="3" t="s">
        <v>1207</v>
      </c>
      <c r="C344" s="3" t="s">
        <v>83</v>
      </c>
      <c r="D344" s="3" t="s">
        <v>55</v>
      </c>
      <c r="E344" s="3" t="s">
        <v>70</v>
      </c>
      <c r="F344" s="3" t="s">
        <v>535</v>
      </c>
      <c r="G344" s="3" t="s">
        <v>42</v>
      </c>
      <c r="H344" t="str">
        <f t="shared" si="42"/>
        <v>АРТ-343</v>
      </c>
      <c r="I344" t="str">
        <f t="shared" si="43"/>
        <v xml:space="preserve">Телевизор Samsung Crystal Uhd</v>
      </c>
      <c r="J344" t="str">
        <f>IFERROR(VLOOKUP(TRIM(C344),Справочники!$A$3:$B$13,2,0),"Нет в справочнике")</f>
        <v>Телевизоры</v>
      </c>
      <c r="K344" t="str">
        <f t="shared" si="44"/>
        <v>Samsung</v>
      </c>
      <c r="L344" s="4">
        <f t="shared" si="45"/>
        <v>55000</v>
      </c>
      <c r="M344" s="4">
        <f t="shared" si="46"/>
        <v>84990</v>
      </c>
      <c r="N344" t="str">
        <f>IFERROR(VLOOKUP(TRIM(G344),Справочники!$P$3:$Q$7,2,0),"Нет в справочнике")</f>
        <v>шт.</v>
      </c>
      <c r="O344" t="str">
        <f t="shared" si="47"/>
        <v>ОК</v>
      </c>
      <c r="P344" t="str">
        <f t="shared" si="48"/>
        <v>Уникальный</v>
      </c>
    </row>
    <row r="345">
      <c r="A345" s="3" t="s">
        <v>1208</v>
      </c>
      <c r="B345" s="3" t="s">
        <v>1209</v>
      </c>
      <c r="C345" s="3" t="s">
        <v>83</v>
      </c>
      <c r="D345" s="3" t="s">
        <v>148</v>
      </c>
      <c r="E345" s="3" t="s">
        <v>1052</v>
      </c>
      <c r="F345" s="3" t="s">
        <v>297</v>
      </c>
      <c r="G345" s="3" t="s">
        <v>35</v>
      </c>
      <c r="H345" t="str">
        <f t="shared" si="42"/>
        <v>АРТ-344</v>
      </c>
      <c r="I345" t="str">
        <f t="shared" si="43"/>
        <v xml:space="preserve">Телевизор Samsung Crystal Uhd</v>
      </c>
      <c r="J345" t="str">
        <f>IFERROR(VLOOKUP(TRIM(C345),Справочники!$A$3:$B$13,2,0),"Нет в справочнике")</f>
        <v>Телевизоры</v>
      </c>
      <c r="K345" t="str">
        <f t="shared" si="44"/>
        <v>Samsung</v>
      </c>
      <c r="L345" s="4">
        <f t="shared" si="45"/>
        <v>53000</v>
      </c>
      <c r="M345" s="4">
        <f t="shared" si="46"/>
        <v>82000</v>
      </c>
      <c r="N345" t="str">
        <f>IFERROR(VLOOKUP(TRIM(G345),Справочники!$P$3:$Q$7,2,0),"Нет в справочнике")</f>
        <v>шт.</v>
      </c>
      <c r="O345" t="str">
        <f t="shared" si="47"/>
        <v>ОК</v>
      </c>
      <c r="P345" t="str">
        <f t="shared" si="48"/>
        <v>Уникальный</v>
      </c>
    </row>
    <row r="346">
      <c r="A346" s="3" t="s">
        <v>1210</v>
      </c>
      <c r="B346" s="3" t="s">
        <v>1211</v>
      </c>
      <c r="C346" s="3" t="s">
        <v>83</v>
      </c>
      <c r="D346" s="3" t="s">
        <v>60</v>
      </c>
      <c r="E346" s="3" t="s">
        <v>419</v>
      </c>
      <c r="F346" s="3" t="s">
        <v>1055</v>
      </c>
      <c r="G346" s="3" t="s">
        <v>22</v>
      </c>
      <c r="H346" t="str">
        <f t="shared" si="42"/>
        <v>АРТ-345</v>
      </c>
      <c r="I346" t="str">
        <f t="shared" si="43"/>
        <v xml:space="preserve">Телевизор Samsung Crystal Uhd</v>
      </c>
      <c r="J346" t="str">
        <f>IFERROR(VLOOKUP(TRIM(C346),Справочники!$A$3:$B$13,2,0),"Нет в справочнике")</f>
        <v>Телевизоры</v>
      </c>
      <c r="K346" t="str">
        <f t="shared" si="44"/>
        <v>Samsung</v>
      </c>
      <c r="L346" s="4">
        <f t="shared" si="45"/>
        <v>56500</v>
      </c>
      <c r="M346" s="4">
        <f t="shared" si="46"/>
        <v>87500</v>
      </c>
      <c r="N346" t="str">
        <f>IFERROR(VLOOKUP(TRIM(G346),Справочники!$P$3:$Q$7,2,0),"Нет в справочнике")</f>
        <v>шт.</v>
      </c>
      <c r="O346" t="str">
        <f t="shared" si="47"/>
        <v>ОК</v>
      </c>
      <c r="P346" t="str">
        <f t="shared" si="48"/>
        <v>Уникальный</v>
      </c>
    </row>
    <row r="347">
      <c r="A347" s="3" t="s">
        <v>1212</v>
      </c>
      <c r="B347" s="3" t="s">
        <v>1213</v>
      </c>
      <c r="C347" s="3" t="s">
        <v>98</v>
      </c>
      <c r="D347" s="3" t="s">
        <v>654</v>
      </c>
      <c r="E347" s="3" t="s">
        <v>338</v>
      </c>
      <c r="F347" s="3" t="s">
        <v>339</v>
      </c>
      <c r="G347" s="3" t="s">
        <v>42</v>
      </c>
      <c r="H347" t="str">
        <f t="shared" si="42"/>
        <v>АРТ-346</v>
      </c>
      <c r="I347" t="str">
        <f t="shared" si="43"/>
        <v xml:space="preserve">Наушники Audio-Technica Ath-Twx9</v>
      </c>
      <c r="J347" t="str">
        <f>IFERROR(VLOOKUP(TRIM(C347),Справочники!$A$3:$B$13,2,0),"Нет в справочнике")</f>
        <v>Наушники</v>
      </c>
      <c r="K347" t="str">
        <f t="shared" si="44"/>
        <v>Audio-Technica</v>
      </c>
      <c r="L347" s="4">
        <f t="shared" si="45"/>
        <v>12000</v>
      </c>
      <c r="M347" s="4">
        <f t="shared" si="46"/>
        <v>19990</v>
      </c>
      <c r="N347" t="str">
        <f>IFERROR(VLOOKUP(TRIM(G347),Справочники!$P$3:$Q$7,2,0),"Нет в справочнике")</f>
        <v>шт.</v>
      </c>
      <c r="O347" t="str">
        <f t="shared" si="47"/>
        <v>ОК</v>
      </c>
      <c r="P347" t="str">
        <f t="shared" si="48"/>
        <v>Уникальный</v>
      </c>
    </row>
    <row r="348">
      <c r="A348" s="3" t="s">
        <v>1214</v>
      </c>
      <c r="B348" s="3" t="s">
        <v>1215</v>
      </c>
      <c r="C348" s="3" t="s">
        <v>98</v>
      </c>
      <c r="D348" s="3" t="s">
        <v>659</v>
      </c>
      <c r="E348" s="3" t="s">
        <v>343</v>
      </c>
      <c r="F348" s="3" t="s">
        <v>344</v>
      </c>
      <c r="G348" s="3" t="s">
        <v>28</v>
      </c>
      <c r="H348" t="str">
        <f t="shared" si="42"/>
        <v>АРТ-347</v>
      </c>
      <c r="I348" t="str">
        <f t="shared" si="43"/>
        <v xml:space="preserve">Наушники Audio-Technica Ath-Twx9</v>
      </c>
      <c r="J348" t="str">
        <f>IFERROR(VLOOKUP(TRIM(C348),Справочники!$A$3:$B$13,2,0),"Нет в справочнике")</f>
        <v>Наушники</v>
      </c>
      <c r="K348" t="str">
        <f t="shared" si="44"/>
        <v>Audio-Technica</v>
      </c>
      <c r="L348" s="4">
        <f t="shared" si="45"/>
        <v>11500</v>
      </c>
      <c r="M348" s="4">
        <f t="shared" si="46"/>
        <v>19000</v>
      </c>
      <c r="N348" t="str">
        <f>IFERROR(VLOOKUP(TRIM(G348),Справочники!$P$3:$Q$7,2,0),"Нет в справочнике")</f>
        <v>шт.</v>
      </c>
      <c r="O348" t="str">
        <f t="shared" si="47"/>
        <v>ОК</v>
      </c>
      <c r="P348" t="str">
        <f t="shared" si="48"/>
        <v>Уникальный</v>
      </c>
    </row>
    <row r="349">
      <c r="A349" s="3" t="s">
        <v>1216</v>
      </c>
      <c r="B349" s="3" t="s">
        <v>1217</v>
      </c>
      <c r="C349" s="3" t="s">
        <v>98</v>
      </c>
      <c r="D349" s="3" t="s">
        <v>663</v>
      </c>
      <c r="E349" s="3" t="s">
        <v>348</v>
      </c>
      <c r="F349" s="3" t="s">
        <v>349</v>
      </c>
      <c r="G349" s="3" t="s">
        <v>22</v>
      </c>
      <c r="H349" t="str">
        <f t="shared" si="42"/>
        <v>АРТ-348</v>
      </c>
      <c r="I349" t="str">
        <f t="shared" si="43"/>
        <v xml:space="preserve">Наушники Audio-Technica Ath-Twx9</v>
      </c>
      <c r="J349" t="str">
        <f>IFERROR(VLOOKUP(TRIM(C349),Справочники!$A$3:$B$13,2,0),"Нет в справочнике")</f>
        <v>Наушники</v>
      </c>
      <c r="K349" t="str">
        <f t="shared" si="44"/>
        <v>Audio-Technica</v>
      </c>
      <c r="L349" s="4">
        <f t="shared" si="45"/>
        <v>12500</v>
      </c>
      <c r="M349" s="4">
        <f t="shared" si="46"/>
        <v>20800</v>
      </c>
      <c r="N349" t="str">
        <f>IFERROR(VLOOKUP(TRIM(G349),Справочники!$P$3:$Q$7,2,0),"Нет в справочнике")</f>
        <v>шт.</v>
      </c>
      <c r="O349" t="str">
        <f t="shared" si="47"/>
        <v>ОК</v>
      </c>
      <c r="P349" t="str">
        <f t="shared" si="48"/>
        <v>Уникальный</v>
      </c>
    </row>
    <row r="350">
      <c r="A350" s="3" t="s">
        <v>1218</v>
      </c>
      <c r="B350" s="3" t="s">
        <v>1219</v>
      </c>
      <c r="C350" s="3" t="s">
        <v>143</v>
      </c>
      <c r="D350" s="3" t="s">
        <v>212</v>
      </c>
      <c r="E350" s="3" t="s">
        <v>129</v>
      </c>
      <c r="F350" s="3" t="s">
        <v>879</v>
      </c>
      <c r="G350" s="3" t="s">
        <v>42</v>
      </c>
      <c r="H350" t="str">
        <f t="shared" si="42"/>
        <v>АРТ-349</v>
      </c>
      <c r="I350" t="str">
        <f t="shared" si="43"/>
        <v xml:space="preserve">Монитор Dell S2721Qs</v>
      </c>
      <c r="J350" t="str">
        <f>IFERROR(VLOOKUP(TRIM(C350),Справочники!$A$3:$B$13,2,0),"Нет в справочнике")</f>
        <v>Мониторы</v>
      </c>
      <c r="K350" t="str">
        <f t="shared" si="44"/>
        <v>Dell</v>
      </c>
      <c r="L350" s="4">
        <f t="shared" si="45"/>
        <v>35000</v>
      </c>
      <c r="M350" s="4">
        <f t="shared" si="46"/>
        <v>54990</v>
      </c>
      <c r="N350" t="str">
        <f>IFERROR(VLOOKUP(TRIM(G350),Справочники!$P$3:$Q$7,2,0),"Нет в справочнике")</f>
        <v>шт.</v>
      </c>
      <c r="O350" t="str">
        <f t="shared" si="47"/>
        <v>ОК</v>
      </c>
      <c r="P350" t="str">
        <f t="shared" si="48"/>
        <v>Уникальный</v>
      </c>
    </row>
    <row r="351">
      <c r="A351" s="3" t="s">
        <v>1220</v>
      </c>
      <c r="B351" s="3" t="s">
        <v>1221</v>
      </c>
      <c r="C351" s="3" t="s">
        <v>143</v>
      </c>
      <c r="D351" s="3" t="s">
        <v>216</v>
      </c>
      <c r="E351" s="3" t="s">
        <v>504</v>
      </c>
      <c r="F351" s="3" t="s">
        <v>802</v>
      </c>
      <c r="G351" s="3" t="s">
        <v>35</v>
      </c>
      <c r="H351" t="str">
        <f t="shared" si="42"/>
        <v>АРТ-350</v>
      </c>
      <c r="I351" t="str">
        <f t="shared" si="43"/>
        <v xml:space="preserve">Монитор Dell S2721Qs</v>
      </c>
      <c r="J351" t="str">
        <f>IFERROR(VLOOKUP(TRIM(C351),Справочники!$A$3:$B$13,2,0),"Нет в справочнике")</f>
        <v>Мониторы</v>
      </c>
      <c r="K351" t="str">
        <f t="shared" si="44"/>
        <v>Dell</v>
      </c>
      <c r="L351" s="4">
        <f t="shared" si="45"/>
        <v>33500</v>
      </c>
      <c r="M351" s="4">
        <f t="shared" si="46"/>
        <v>52500</v>
      </c>
      <c r="N351" t="str">
        <f>IFERROR(VLOOKUP(TRIM(G351),Справочники!$P$3:$Q$7,2,0),"Нет в справочнике")</f>
        <v>шт.</v>
      </c>
      <c r="O351" t="str">
        <f t="shared" si="47"/>
        <v>ОК</v>
      </c>
      <c r="P351" t="str">
        <f t="shared" si="48"/>
        <v>Уникальный</v>
      </c>
    </row>
    <row r="352">
      <c r="A352" s="3" t="s">
        <v>1222</v>
      </c>
      <c r="B352" s="3" t="s">
        <v>1223</v>
      </c>
      <c r="C352" s="3" t="s">
        <v>143</v>
      </c>
      <c r="D352" s="3" t="s">
        <v>220</v>
      </c>
      <c r="E352" s="3" t="s">
        <v>884</v>
      </c>
      <c r="F352" s="3" t="s">
        <v>885</v>
      </c>
      <c r="G352" s="3" t="s">
        <v>22</v>
      </c>
      <c r="H352" t="str">
        <f t="shared" si="42"/>
        <v>АРТ-351</v>
      </c>
      <c r="I352" t="str">
        <f t="shared" si="43"/>
        <v xml:space="preserve">Монитор Dell S2721Qs</v>
      </c>
      <c r="J352" t="str">
        <f>IFERROR(VLOOKUP(TRIM(C352),Справочники!$A$3:$B$13,2,0),"Нет в справочнике")</f>
        <v>Мониторы</v>
      </c>
      <c r="K352" t="str">
        <f t="shared" si="44"/>
        <v>Dell</v>
      </c>
      <c r="L352" s="4">
        <f t="shared" si="45"/>
        <v>36500</v>
      </c>
      <c r="M352" s="4">
        <f t="shared" si="46"/>
        <v>57000</v>
      </c>
      <c r="N352" t="str">
        <f>IFERROR(VLOOKUP(TRIM(G352),Справочники!$P$3:$Q$7,2,0),"Нет в справочнике")</f>
        <v>шт.</v>
      </c>
      <c r="O352" t="str">
        <f t="shared" si="47"/>
        <v>ОК</v>
      </c>
      <c r="P352" t="str">
        <f t="shared" si="48"/>
        <v>Уникальный</v>
      </c>
    </row>
    <row r="353">
      <c r="A353" s="3" t="s">
        <v>1224</v>
      </c>
      <c r="B353" s="3" t="s">
        <v>1225</v>
      </c>
      <c r="C353" s="3" t="s">
        <v>157</v>
      </c>
      <c r="D353" s="3" t="s">
        <v>272</v>
      </c>
      <c r="E353" s="3" t="s">
        <v>1106</v>
      </c>
      <c r="F353" s="3" t="s">
        <v>444</v>
      </c>
      <c r="G353" s="3" t="s">
        <v>42</v>
      </c>
      <c r="H353" t="str">
        <f t="shared" si="42"/>
        <v>АРТ-352</v>
      </c>
      <c r="I353" t="str">
        <f t="shared" si="43"/>
        <v xml:space="preserve">Колонка Jbl Flip 6</v>
      </c>
      <c r="J353" t="str">
        <f>IFERROR(VLOOKUP(TRIM(C353),Справочники!$A$3:$B$13,2,0),"Нет в справочнике")</f>
        <v>Аксессуары</v>
      </c>
      <c r="K353" t="str">
        <f t="shared" si="44"/>
        <v>JBL</v>
      </c>
      <c r="L353" s="4">
        <f t="shared" si="45"/>
        <v>4000</v>
      </c>
      <c r="M353" s="4">
        <f t="shared" si="46"/>
        <v>6990</v>
      </c>
      <c r="N353" t="str">
        <f>IFERROR(VLOOKUP(TRIM(G353),Справочники!$P$3:$Q$7,2,0),"Нет в справочнике")</f>
        <v>шт.</v>
      </c>
      <c r="O353" t="str">
        <f t="shared" si="47"/>
        <v>ОК</v>
      </c>
      <c r="P353" t="str">
        <f t="shared" si="48"/>
        <v>Уникальный</v>
      </c>
    </row>
    <row r="354">
      <c r="A354" s="3" t="s">
        <v>1226</v>
      </c>
      <c r="B354" s="3" t="s">
        <v>1227</v>
      </c>
      <c r="C354" s="3" t="s">
        <v>157</v>
      </c>
      <c r="D354" s="3" t="s">
        <v>277</v>
      </c>
      <c r="E354" s="3" t="s">
        <v>443</v>
      </c>
      <c r="F354" s="3" t="s">
        <v>273</v>
      </c>
      <c r="G354" s="3" t="s">
        <v>28</v>
      </c>
      <c r="H354" t="str">
        <f t="shared" si="42"/>
        <v>АРТ-353</v>
      </c>
      <c r="I354" t="str">
        <f t="shared" si="43"/>
        <v xml:space="preserve">Колонка Jbl Flip 6</v>
      </c>
      <c r="J354" t="str">
        <f>IFERROR(VLOOKUP(TRIM(C354),Справочники!$A$3:$B$13,2,0),"Нет в справочнике")</f>
        <v>Аксессуары</v>
      </c>
      <c r="K354" t="str">
        <f t="shared" si="44"/>
        <v>JBL</v>
      </c>
      <c r="L354" s="4">
        <f t="shared" si="45"/>
        <v>3500</v>
      </c>
      <c r="M354" s="4">
        <f t="shared" si="46"/>
        <v>6500</v>
      </c>
      <c r="N354" t="str">
        <f>IFERROR(VLOOKUP(TRIM(G354),Справочники!$P$3:$Q$7,2,0),"Нет в справочнике")</f>
        <v>шт.</v>
      </c>
      <c r="O354" t="str">
        <f t="shared" si="47"/>
        <v>ОК</v>
      </c>
      <c r="P354" t="str">
        <f t="shared" si="48"/>
        <v>Уникальный</v>
      </c>
    </row>
    <row r="355">
      <c r="A355" s="3" t="s">
        <v>1228</v>
      </c>
      <c r="B355" s="3" t="s">
        <v>1229</v>
      </c>
      <c r="C355" s="3" t="s">
        <v>157</v>
      </c>
      <c r="D355" s="3" t="s">
        <v>272</v>
      </c>
      <c r="E355" s="3" t="s">
        <v>173</v>
      </c>
      <c r="F355" s="3" t="s">
        <v>375</v>
      </c>
      <c r="G355" s="3" t="s">
        <v>22</v>
      </c>
      <c r="H355" t="str">
        <f t="shared" si="42"/>
        <v>АРТ-354</v>
      </c>
      <c r="I355" t="str">
        <f t="shared" si="43"/>
        <v xml:space="preserve">Колонка Jbl Flip 6</v>
      </c>
      <c r="J355" t="str">
        <f>IFERROR(VLOOKUP(TRIM(C355),Справочники!$A$3:$B$13,2,0),"Нет в справочнике")</f>
        <v>Аксессуары</v>
      </c>
      <c r="K355" t="str">
        <f t="shared" si="44"/>
        <v>JBL</v>
      </c>
      <c r="L355" s="4">
        <f t="shared" si="45"/>
        <v>4500</v>
      </c>
      <c r="M355" s="4">
        <f t="shared" si="46"/>
        <v>7800</v>
      </c>
      <c r="N355" t="str">
        <f>IFERROR(VLOOKUP(TRIM(G355),Справочники!$P$3:$Q$7,2,0),"Нет в справочнике")</f>
        <v>шт.</v>
      </c>
      <c r="O355" t="str">
        <f t="shared" si="47"/>
        <v>ОК</v>
      </c>
      <c r="P355" t="str">
        <f t="shared" si="48"/>
        <v>Уникальный</v>
      </c>
    </row>
    <row r="356">
      <c r="A356" s="3" t="s">
        <v>1230</v>
      </c>
      <c r="B356" s="3" t="s">
        <v>1231</v>
      </c>
      <c r="C356" s="3" t="s">
        <v>18</v>
      </c>
      <c r="D356" s="3" t="s">
        <v>185</v>
      </c>
      <c r="E356" s="3" t="s">
        <v>70</v>
      </c>
      <c r="F356" s="3" t="s">
        <v>1232</v>
      </c>
      <c r="G356" s="3" t="s">
        <v>42</v>
      </c>
      <c r="H356" t="str">
        <f t="shared" ref="H356:H419" si="49">"АРТ-"&amp;TEXT(VALUE(LEFT(SUBSTITUTE(SUBSTITUTE(SUBSTITUTE(SUBSTITUTE(TRIM(A356),"№",""),"АРТ-",""),"АРТ_",""),"АРТ",""),3)),"000")</f>
        <v>АРТ-355</v>
      </c>
      <c r="I356" t="str">
        <f t="shared" ref="I356:I419" si="50">PROPER(TRIM(IFERROR(LEFT(B356,FIND("(",B356)-1),B356)))</f>
        <v xml:space="preserve">Смартфон Huawei P60 Pro</v>
      </c>
      <c r="J356" t="str">
        <f>IFERROR(VLOOKUP(TRIM(C356),Справочники!$A$3:$B$13,2,0),"Нет в справочнике")</f>
        <v>Смартфоны</v>
      </c>
      <c r="K356" t="str">
        <f t="shared" ref="K356:K419" si="51">IF(LEN(TRIM(D356))&lt;=3,UPPER(TRIM(D356)),PROPER(TRIM(D356)))</f>
        <v>Huawei</v>
      </c>
      <c r="L356" s="4">
        <f t="shared" ref="L356:L419" si="52">ROUND(VALUE(SUBSTITUTE(SUBSTITUTE(SUBSTITUTE(SUBSTITUTE(SUBSTITUTE(TRIM(E356)," ",""),"руб.",""),"₽",""),",",""),".",""))/IF(OR(ISNUMBER(FIND(",",SUBSTITUTE(SUBSTITUTE(SUBSTITUTE(TRIM(E356)," ",""),"руб.",""),"₽",""))),ISNUMBER(FIND(".",SUBSTITUTE(SUBSTITUTE(SUBSTITUTE(TRIM(E356)," ",""),"руб.",""),"₽","")))),100,1),2)</f>
        <v>55000</v>
      </c>
      <c r="M356" s="4">
        <f t="shared" ref="M356:M419" si="53">ROUND(VALUE(SUBSTITUTE(SUBSTITUTE(SUBSTITUTE(SUBSTITUTE(SUBSTITUTE(TRIM(F356)," ",""),"руб.",""),"₽",""),",",""),".",""))/IF(OR(ISNUMBER(FIND(",",SUBSTITUTE(SUBSTITUTE(SUBSTITUTE(TRIM(F356)," ",""),"руб.",""),"₽",""))),ISNUMBER(FIND(".",SUBSTITUTE(SUBSTITUTE(SUBSTITUTE(TRIM(F356)," ",""),"руб.",""),"₽","")))),100,1),2)</f>
        <v>85990</v>
      </c>
      <c r="N356" t="str">
        <f>IFERROR(VLOOKUP(TRIM(G356),Справочники!$P$3:$Q$7,2,0),"Нет в справочнике")</f>
        <v>шт.</v>
      </c>
      <c r="O356" t="str">
        <f t="shared" ref="O356:O419" si="54">IF(M356&gt;=L356,"ОК","Розница ниже закупки")</f>
        <v>ОК</v>
      </c>
      <c r="P356" t="str">
        <f t="shared" ref="P356:P419" si="55">IF(COUNTIF($H$2:$H$502,H356)&gt;1,"Повтор артикула","Уникальный")</f>
        <v>Уникальный</v>
      </c>
    </row>
    <row r="357">
      <c r="A357" s="3" t="s">
        <v>1233</v>
      </c>
      <c r="B357" s="3" t="s">
        <v>1234</v>
      </c>
      <c r="C357" s="3" t="s">
        <v>25</v>
      </c>
      <c r="D357" s="3" t="s">
        <v>190</v>
      </c>
      <c r="E357" s="3" t="s">
        <v>1052</v>
      </c>
      <c r="F357" s="3" t="s">
        <v>790</v>
      </c>
      <c r="G357" s="3" t="s">
        <v>35</v>
      </c>
      <c r="H357" t="str">
        <f t="shared" si="49"/>
        <v>АРТ-356</v>
      </c>
      <c r="I357" t="str">
        <f t="shared" si="50"/>
        <v xml:space="preserve">Смартфон Huawei P60 Pro</v>
      </c>
      <c r="J357" t="str">
        <f>IFERROR(VLOOKUP(TRIM(C357),Справочники!$A$3:$B$13,2,0),"Нет в справочнике")</f>
        <v>Смартфоны</v>
      </c>
      <c r="K357" t="str">
        <f t="shared" si="51"/>
        <v>Huawei</v>
      </c>
      <c r="L357" s="4">
        <f t="shared" si="52"/>
        <v>53000</v>
      </c>
      <c r="M357" s="4">
        <f t="shared" si="53"/>
        <v>83000</v>
      </c>
      <c r="N357" t="str">
        <f>IFERROR(VLOOKUP(TRIM(G357),Справочники!$P$3:$Q$7,2,0),"Нет в справочнике")</f>
        <v>шт.</v>
      </c>
      <c r="O357" t="str">
        <f t="shared" si="54"/>
        <v>ОК</v>
      </c>
      <c r="P357" t="str">
        <f t="shared" si="55"/>
        <v>Уникальный</v>
      </c>
    </row>
    <row r="358">
      <c r="A358" s="3" t="s">
        <v>1235</v>
      </c>
      <c r="B358" s="3" t="s">
        <v>1236</v>
      </c>
      <c r="C358" s="3" t="s">
        <v>31</v>
      </c>
      <c r="D358" s="3" t="s">
        <v>195</v>
      </c>
      <c r="E358" s="3" t="s">
        <v>419</v>
      </c>
      <c r="F358" s="3" t="s">
        <v>225</v>
      </c>
      <c r="G358" s="3" t="s">
        <v>22</v>
      </c>
      <c r="H358" t="str">
        <f t="shared" si="49"/>
        <v>АРТ-357</v>
      </c>
      <c r="I358" t="str">
        <f t="shared" si="50"/>
        <v xml:space="preserve">Смартфон Huawei P60 Pro</v>
      </c>
      <c r="J358" t="str">
        <f>IFERROR(VLOOKUP(TRIM(C358),Справочники!$A$3:$B$13,2,0),"Нет в справочнике")</f>
        <v>Смартфоны</v>
      </c>
      <c r="K358" t="str">
        <f t="shared" si="51"/>
        <v>Huawei</v>
      </c>
      <c r="L358" s="4">
        <f t="shared" si="52"/>
        <v>56500</v>
      </c>
      <c r="M358" s="4">
        <f t="shared" si="53"/>
        <v>88000</v>
      </c>
      <c r="N358" t="str">
        <f>IFERROR(VLOOKUP(TRIM(G358),Справочники!$P$3:$Q$7,2,0),"Нет в справочнике")</f>
        <v>шт.</v>
      </c>
      <c r="O358" t="str">
        <f t="shared" si="54"/>
        <v>ОК</v>
      </c>
      <c r="P358" t="str">
        <f t="shared" si="55"/>
        <v>Уникальный</v>
      </c>
    </row>
    <row r="359">
      <c r="A359" s="3" t="s">
        <v>1237</v>
      </c>
      <c r="B359" s="3" t="s">
        <v>1238</v>
      </c>
      <c r="C359" s="3" t="s">
        <v>69</v>
      </c>
      <c r="D359" s="3" t="s">
        <v>19</v>
      </c>
      <c r="E359" s="3" t="s">
        <v>913</v>
      </c>
      <c r="F359" s="3" t="s">
        <v>845</v>
      </c>
      <c r="G359" s="3" t="s">
        <v>42</v>
      </c>
      <c r="H359" t="str">
        <f t="shared" si="49"/>
        <v>АРТ-358</v>
      </c>
      <c r="I359" t="str">
        <f t="shared" si="50"/>
        <v xml:space="preserve">Планшет Apple Ipad Air</v>
      </c>
      <c r="J359" t="str">
        <f>IFERROR(VLOOKUP(TRIM(C359),Справочники!$A$3:$B$13,2,0),"Нет в справочнике")</f>
        <v>Планшеты</v>
      </c>
      <c r="K359" t="str">
        <f t="shared" si="51"/>
        <v>Apple</v>
      </c>
      <c r="L359" s="4">
        <f t="shared" si="52"/>
        <v>38000</v>
      </c>
      <c r="M359" s="4">
        <f t="shared" si="53"/>
        <v>59990</v>
      </c>
      <c r="N359" t="str">
        <f>IFERROR(VLOOKUP(TRIM(G359),Справочники!$P$3:$Q$7,2,0),"Нет в справочнике")</f>
        <v>шт.</v>
      </c>
      <c r="O359" t="str">
        <f t="shared" si="54"/>
        <v>ОК</v>
      </c>
      <c r="P359" t="str">
        <f t="shared" si="55"/>
        <v>Уникальный</v>
      </c>
    </row>
    <row r="360">
      <c r="A360" s="3" t="s">
        <v>1239</v>
      </c>
      <c r="B360" s="3" t="s">
        <v>1240</v>
      </c>
      <c r="C360" s="3" t="s">
        <v>69</v>
      </c>
      <c r="D360" s="3" t="s">
        <v>74</v>
      </c>
      <c r="E360" s="3" t="s">
        <v>884</v>
      </c>
      <c r="F360" s="3" t="s">
        <v>602</v>
      </c>
      <c r="G360" s="3" t="s">
        <v>28</v>
      </c>
      <c r="H360" t="str">
        <f t="shared" si="49"/>
        <v>АРТ-359</v>
      </c>
      <c r="I360" t="str">
        <f t="shared" si="50"/>
        <v xml:space="preserve">Планшет Apple Ipad Air</v>
      </c>
      <c r="J360" t="str">
        <f>IFERROR(VLOOKUP(TRIM(C360),Справочники!$A$3:$B$13,2,0),"Нет в справочнике")</f>
        <v>Планшеты</v>
      </c>
      <c r="K360" t="str">
        <f t="shared" si="51"/>
        <v>Apple</v>
      </c>
      <c r="L360" s="4">
        <f t="shared" si="52"/>
        <v>36500</v>
      </c>
      <c r="M360" s="4">
        <f t="shared" si="53"/>
        <v>58000</v>
      </c>
      <c r="N360" t="str">
        <f>IFERROR(VLOOKUP(TRIM(G360),Справочники!$P$3:$Q$7,2,0),"Нет в справочнике")</f>
        <v>шт.</v>
      </c>
      <c r="O360" t="str">
        <f t="shared" si="54"/>
        <v>ОК</v>
      </c>
      <c r="P360" t="str">
        <f t="shared" si="55"/>
        <v>Уникальный</v>
      </c>
    </row>
    <row r="361">
      <c r="A361" s="3" t="s">
        <v>1241</v>
      </c>
      <c r="B361" s="3" t="s">
        <v>1242</v>
      </c>
      <c r="C361" s="3" t="s">
        <v>69</v>
      </c>
      <c r="D361" s="3" t="s">
        <v>32</v>
      </c>
      <c r="E361" s="3" t="s">
        <v>61</v>
      </c>
      <c r="F361" s="3" t="s">
        <v>432</v>
      </c>
      <c r="G361" s="3" t="s">
        <v>22</v>
      </c>
      <c r="H361" t="str">
        <f t="shared" si="49"/>
        <v>АРТ-360</v>
      </c>
      <c r="I361" t="str">
        <f t="shared" si="50"/>
        <v xml:space="preserve">Планшет Apple Ipad Air</v>
      </c>
      <c r="J361" t="str">
        <f>IFERROR(VLOOKUP(TRIM(C361),Справочники!$A$3:$B$13,2,0),"Нет в справочнике")</f>
        <v>Планшеты</v>
      </c>
      <c r="K361" t="str">
        <f t="shared" si="51"/>
        <v>Apple</v>
      </c>
      <c r="L361" s="4">
        <f t="shared" si="52"/>
        <v>39500</v>
      </c>
      <c r="M361" s="4">
        <f t="shared" si="53"/>
        <v>62000</v>
      </c>
      <c r="N361" t="str">
        <f>IFERROR(VLOOKUP(TRIM(G361),Справочники!$P$3:$Q$7,2,0),"Нет в справочнике")</f>
        <v>шт.</v>
      </c>
      <c r="O361" t="str">
        <f t="shared" si="54"/>
        <v>ОК</v>
      </c>
      <c r="P361" t="str">
        <f t="shared" si="55"/>
        <v>Уникальный</v>
      </c>
    </row>
    <row r="362">
      <c r="A362" s="3" t="s">
        <v>1243</v>
      </c>
      <c r="B362" s="3" t="s">
        <v>1244</v>
      </c>
      <c r="C362" s="3" t="s">
        <v>38</v>
      </c>
      <c r="D362" s="3" t="s">
        <v>459</v>
      </c>
      <c r="E362" s="3" t="s">
        <v>85</v>
      </c>
      <c r="F362" s="3" t="s">
        <v>1245</v>
      </c>
      <c r="G362" s="3" t="s">
        <v>42</v>
      </c>
      <c r="H362" t="str">
        <f t="shared" si="49"/>
        <v>АРТ-361</v>
      </c>
      <c r="I362" t="str">
        <f t="shared" si="50"/>
        <v xml:space="preserve">Ноутбук Msi Creator Z17</v>
      </c>
      <c r="J362" t="str">
        <f>IFERROR(VLOOKUP(TRIM(C362),Справочники!$A$3:$B$13,2,0),"Нет в справочнике")</f>
        <v>Ноутбуки</v>
      </c>
      <c r="K362" t="str">
        <f t="shared" si="51"/>
        <v>MSI</v>
      </c>
      <c r="L362" s="4">
        <f t="shared" si="52"/>
        <v>95000</v>
      </c>
      <c r="M362" s="4">
        <f t="shared" si="53"/>
        <v>145990</v>
      </c>
      <c r="N362" t="str">
        <f>IFERROR(VLOOKUP(TRIM(G362),Справочники!$P$3:$Q$7,2,0),"Нет в справочнике")</f>
        <v>шт.</v>
      </c>
      <c r="O362" t="str">
        <f t="shared" si="54"/>
        <v>ОК</v>
      </c>
      <c r="P362" t="str">
        <f t="shared" si="55"/>
        <v>Уникальный</v>
      </c>
    </row>
    <row r="363">
      <c r="A363" s="3" t="s">
        <v>1246</v>
      </c>
      <c r="B363" s="3" t="s">
        <v>1247</v>
      </c>
      <c r="C363" s="3" t="s">
        <v>45</v>
      </c>
      <c r="D363" s="3" t="s">
        <v>463</v>
      </c>
      <c r="E363" s="3" t="s">
        <v>811</v>
      </c>
      <c r="F363" s="3" t="s">
        <v>637</v>
      </c>
      <c r="G363" s="3" t="s">
        <v>35</v>
      </c>
      <c r="H363" t="str">
        <f t="shared" si="49"/>
        <v>АРТ-362</v>
      </c>
      <c r="I363" t="str">
        <f t="shared" si="50"/>
        <v xml:space="preserve">Ноутбук Msi Creator Z17</v>
      </c>
      <c r="J363" t="str">
        <f>IFERROR(VLOOKUP(TRIM(C363),Справочники!$A$3:$B$13,2,0),"Нет в справочнике")</f>
        <v>Ноутбуки</v>
      </c>
      <c r="K363" t="str">
        <f t="shared" si="51"/>
        <v>MSI</v>
      </c>
      <c r="L363" s="4">
        <f t="shared" si="52"/>
        <v>93000</v>
      </c>
      <c r="M363" s="4">
        <f t="shared" si="53"/>
        <v>142500</v>
      </c>
      <c r="N363" t="str">
        <f>IFERROR(VLOOKUP(TRIM(G363),Справочники!$P$3:$Q$7,2,0),"Нет в справочнике")</f>
        <v>шт.</v>
      </c>
      <c r="O363" t="str">
        <f t="shared" si="54"/>
        <v>ОК</v>
      </c>
      <c r="P363" t="str">
        <f t="shared" si="55"/>
        <v>Уникальный</v>
      </c>
    </row>
    <row r="364">
      <c r="A364" s="3" t="s">
        <v>1248</v>
      </c>
      <c r="B364" s="3" t="s">
        <v>1249</v>
      </c>
      <c r="C364" s="3" t="s">
        <v>38</v>
      </c>
      <c r="D364" s="3" t="s">
        <v>459</v>
      </c>
      <c r="E364" s="3" t="s">
        <v>94</v>
      </c>
      <c r="F364" s="3" t="s">
        <v>1250</v>
      </c>
      <c r="G364" s="3" t="s">
        <v>22</v>
      </c>
      <c r="H364" t="str">
        <f t="shared" si="49"/>
        <v>АРТ-363</v>
      </c>
      <c r="I364" t="str">
        <f t="shared" si="50"/>
        <v xml:space="preserve">Ноутбук Msi Creator Z17</v>
      </c>
      <c r="J364" t="str">
        <f>IFERROR(VLOOKUP(TRIM(C364),Справочники!$A$3:$B$13,2,0),"Нет в справочнике")</f>
        <v>Ноутбуки</v>
      </c>
      <c r="K364" t="str">
        <f t="shared" si="51"/>
        <v>MSI</v>
      </c>
      <c r="L364" s="4">
        <f t="shared" si="52"/>
        <v>96500</v>
      </c>
      <c r="M364" s="4">
        <f t="shared" si="53"/>
        <v>149000</v>
      </c>
      <c r="N364" t="str">
        <f>IFERROR(VLOOKUP(TRIM(G364),Справочники!$P$3:$Q$7,2,0),"Нет в справочнике")</f>
        <v>шт.</v>
      </c>
      <c r="O364" t="str">
        <f t="shared" si="54"/>
        <v>ОК</v>
      </c>
      <c r="P364" t="str">
        <f t="shared" si="55"/>
        <v>Уникальный</v>
      </c>
    </row>
    <row r="365">
      <c r="A365" s="3" t="s">
        <v>1251</v>
      </c>
      <c r="B365" s="3" t="s">
        <v>1252</v>
      </c>
      <c r="C365" s="3" t="s">
        <v>83</v>
      </c>
      <c r="D365" s="3" t="s">
        <v>224</v>
      </c>
      <c r="E365" s="3" t="s">
        <v>114</v>
      </c>
      <c r="F365" s="3" t="s">
        <v>630</v>
      </c>
      <c r="G365" s="3" t="s">
        <v>42</v>
      </c>
      <c r="H365" t="str">
        <f t="shared" si="49"/>
        <v>АРТ-364</v>
      </c>
      <c r="I365" t="str">
        <f t="shared" si="50"/>
        <v xml:space="preserve">Телевизор Sony A80L</v>
      </c>
      <c r="J365" t="str">
        <f>IFERROR(VLOOKUP(TRIM(C365),Справочники!$A$3:$B$13,2,0),"Нет в справочнике")</f>
        <v>Телевизоры</v>
      </c>
      <c r="K365" t="str">
        <f t="shared" si="51"/>
        <v>Sony</v>
      </c>
      <c r="L365" s="4">
        <f t="shared" si="52"/>
        <v>90000</v>
      </c>
      <c r="M365" s="4">
        <f t="shared" si="53"/>
        <v>139990</v>
      </c>
      <c r="N365" t="str">
        <f>IFERROR(VLOOKUP(TRIM(G365),Справочники!$P$3:$Q$7,2,0),"Нет в справочнике")</f>
        <v>шт.</v>
      </c>
      <c r="O365" t="str">
        <f t="shared" si="54"/>
        <v>ОК</v>
      </c>
      <c r="P365" t="str">
        <f t="shared" si="55"/>
        <v>Уникальный</v>
      </c>
    </row>
    <row r="366">
      <c r="A366" s="3" t="s">
        <v>1253</v>
      </c>
      <c r="B366" s="3" t="s">
        <v>1254</v>
      </c>
      <c r="C366" s="3" t="s">
        <v>83</v>
      </c>
      <c r="D366" s="3" t="s">
        <v>104</v>
      </c>
      <c r="E366" s="3" t="s">
        <v>225</v>
      </c>
      <c r="F366" s="3" t="s">
        <v>125</v>
      </c>
      <c r="G366" s="3" t="s">
        <v>28</v>
      </c>
      <c r="H366" t="str">
        <f t="shared" si="49"/>
        <v>АРТ-365</v>
      </c>
      <c r="I366" t="str">
        <f t="shared" si="50"/>
        <v xml:space="preserve">Телевизор Sony A80L</v>
      </c>
      <c r="J366" t="str">
        <f>IFERROR(VLOOKUP(TRIM(C366),Справочники!$A$3:$B$13,2,0),"Нет в справочнике")</f>
        <v>Телевизоры</v>
      </c>
      <c r="K366" t="str">
        <f t="shared" si="51"/>
        <v>Sony</v>
      </c>
      <c r="L366" s="4">
        <f t="shared" si="52"/>
        <v>88000</v>
      </c>
      <c r="M366" s="4">
        <f t="shared" si="53"/>
        <v>137000</v>
      </c>
      <c r="N366" t="str">
        <f>IFERROR(VLOOKUP(TRIM(G366),Справочники!$P$3:$Q$7,2,0),"Нет в справочнике")</f>
        <v>шт.</v>
      </c>
      <c r="O366" t="str">
        <f t="shared" si="54"/>
        <v>ОК</v>
      </c>
      <c r="P366" t="str">
        <f t="shared" si="55"/>
        <v>Уникальный</v>
      </c>
    </row>
    <row r="367">
      <c r="A367" s="3" t="s">
        <v>1255</v>
      </c>
      <c r="B367" s="3" t="s">
        <v>1256</v>
      </c>
      <c r="C367" s="3" t="s">
        <v>83</v>
      </c>
      <c r="D367" s="3" t="s">
        <v>99</v>
      </c>
      <c r="E367" s="3" t="s">
        <v>124</v>
      </c>
      <c r="F367" s="3" t="s">
        <v>637</v>
      </c>
      <c r="G367" s="3" t="s">
        <v>22</v>
      </c>
      <c r="H367" t="str">
        <f t="shared" si="49"/>
        <v>АРТ-366</v>
      </c>
      <c r="I367" t="str">
        <f t="shared" si="50"/>
        <v xml:space="preserve">Телевизор Sony A80L</v>
      </c>
      <c r="J367" t="str">
        <f>IFERROR(VLOOKUP(TRIM(C367),Справочники!$A$3:$B$13,2,0),"Нет в справочнике")</f>
        <v>Телевизоры</v>
      </c>
      <c r="K367" t="str">
        <f t="shared" si="51"/>
        <v>Sony</v>
      </c>
      <c r="L367" s="4">
        <f t="shared" si="52"/>
        <v>91500</v>
      </c>
      <c r="M367" s="4">
        <f t="shared" si="53"/>
        <v>142500</v>
      </c>
      <c r="N367" t="str">
        <f>IFERROR(VLOOKUP(TRIM(G367),Справочники!$P$3:$Q$7,2,0),"Нет в справочнике")</f>
        <v>шт.</v>
      </c>
      <c r="O367" t="str">
        <f t="shared" si="54"/>
        <v>ОК</v>
      </c>
      <c r="P367" t="str">
        <f t="shared" si="55"/>
        <v>Уникальный</v>
      </c>
    </row>
    <row r="368">
      <c r="A368" s="3" t="s">
        <v>1257</v>
      </c>
      <c r="B368" s="3" t="s">
        <v>1258</v>
      </c>
      <c r="C368" s="3" t="s">
        <v>98</v>
      </c>
      <c r="D368" s="3" t="s">
        <v>870</v>
      </c>
      <c r="E368" s="3" t="s">
        <v>338</v>
      </c>
      <c r="F368" s="3" t="s">
        <v>339</v>
      </c>
      <c r="G368" s="3" t="s">
        <v>42</v>
      </c>
      <c r="H368" t="str">
        <f t="shared" si="49"/>
        <v>АРТ-367</v>
      </c>
      <c r="I368" t="str">
        <f t="shared" si="50"/>
        <v xml:space="preserve">Наушники Beats Fit Pro</v>
      </c>
      <c r="J368" t="str">
        <f>IFERROR(VLOOKUP(TRIM(C368),Справочники!$A$3:$B$13,2,0),"Нет в справочнике")</f>
        <v>Наушники</v>
      </c>
      <c r="K368" t="str">
        <f t="shared" si="51"/>
        <v>Beats</v>
      </c>
      <c r="L368" s="4">
        <f t="shared" si="52"/>
        <v>12000</v>
      </c>
      <c r="M368" s="4">
        <f t="shared" si="53"/>
        <v>19990</v>
      </c>
      <c r="N368" t="str">
        <f>IFERROR(VLOOKUP(TRIM(G368),Справочники!$P$3:$Q$7,2,0),"Нет в справочнике")</f>
        <v>шт.</v>
      </c>
      <c r="O368" t="str">
        <f t="shared" si="54"/>
        <v>ОК</v>
      </c>
      <c r="P368" t="str">
        <f t="shared" si="55"/>
        <v>Уникальный</v>
      </c>
    </row>
    <row r="369">
      <c r="A369" s="3" t="s">
        <v>1259</v>
      </c>
      <c r="B369" s="3" t="s">
        <v>1260</v>
      </c>
      <c r="C369" s="3" t="s">
        <v>98</v>
      </c>
      <c r="D369" s="3" t="s">
        <v>873</v>
      </c>
      <c r="E369" s="3" t="s">
        <v>343</v>
      </c>
      <c r="F369" s="3" t="s">
        <v>344</v>
      </c>
      <c r="G369" s="3" t="s">
        <v>35</v>
      </c>
      <c r="H369" t="str">
        <f t="shared" si="49"/>
        <v>АРТ-368</v>
      </c>
      <c r="I369" t="str">
        <f t="shared" si="50"/>
        <v xml:space="preserve">Наушники Beats Fit Pro</v>
      </c>
      <c r="J369" t="str">
        <f>IFERROR(VLOOKUP(TRIM(C369),Справочники!$A$3:$B$13,2,0),"Нет в справочнике")</f>
        <v>Наушники</v>
      </c>
      <c r="K369" t="str">
        <f t="shared" si="51"/>
        <v>Beats</v>
      </c>
      <c r="L369" s="4">
        <f t="shared" si="52"/>
        <v>11500</v>
      </c>
      <c r="M369" s="4">
        <f t="shared" si="53"/>
        <v>19000</v>
      </c>
      <c r="N369" t="str">
        <f>IFERROR(VLOOKUP(TRIM(G369),Справочники!$P$3:$Q$7,2,0),"Нет в справочнике")</f>
        <v>шт.</v>
      </c>
      <c r="O369" t="str">
        <f t="shared" si="54"/>
        <v>ОК</v>
      </c>
      <c r="P369" t="str">
        <f t="shared" si="55"/>
        <v>Уникальный</v>
      </c>
    </row>
    <row r="370">
      <c r="A370" s="3" t="s">
        <v>1261</v>
      </c>
      <c r="B370" s="3" t="s">
        <v>1262</v>
      </c>
      <c r="C370" s="3" t="s">
        <v>98</v>
      </c>
      <c r="D370" s="3" t="s">
        <v>876</v>
      </c>
      <c r="E370" s="3" t="s">
        <v>348</v>
      </c>
      <c r="F370" s="3" t="s">
        <v>349</v>
      </c>
      <c r="G370" s="3" t="s">
        <v>22</v>
      </c>
      <c r="H370" t="str">
        <f t="shared" si="49"/>
        <v>АРТ-369</v>
      </c>
      <c r="I370" t="str">
        <f t="shared" si="50"/>
        <v xml:space="preserve">Наушники Beats Fit Pro</v>
      </c>
      <c r="J370" t="str">
        <f>IFERROR(VLOOKUP(TRIM(C370),Справочники!$A$3:$B$13,2,0),"Нет в справочнике")</f>
        <v>Наушники</v>
      </c>
      <c r="K370" t="str">
        <f t="shared" si="51"/>
        <v>Beats</v>
      </c>
      <c r="L370" s="4">
        <f t="shared" si="52"/>
        <v>12500</v>
      </c>
      <c r="M370" s="4">
        <f t="shared" si="53"/>
        <v>20800</v>
      </c>
      <c r="N370" t="str">
        <f>IFERROR(VLOOKUP(TRIM(G370),Справочники!$P$3:$Q$7,2,0),"Нет в справочнике")</f>
        <v>шт.</v>
      </c>
      <c r="O370" t="str">
        <f t="shared" si="54"/>
        <v>ОК</v>
      </c>
      <c r="P370" t="str">
        <f t="shared" si="55"/>
        <v>Уникальный</v>
      </c>
    </row>
    <row r="371">
      <c r="A371" s="3" t="s">
        <v>1263</v>
      </c>
      <c r="B371" s="3" t="s">
        <v>1264</v>
      </c>
      <c r="C371" s="3" t="s">
        <v>143</v>
      </c>
      <c r="D371" s="3" t="s">
        <v>39</v>
      </c>
      <c r="E371" s="3" t="s">
        <v>249</v>
      </c>
      <c r="F371" s="3" t="s">
        <v>765</v>
      </c>
      <c r="G371" s="3" t="s">
        <v>42</v>
      </c>
      <c r="H371" t="str">
        <f t="shared" si="49"/>
        <v>АРТ-370</v>
      </c>
      <c r="I371" t="str">
        <f t="shared" si="50"/>
        <v xml:space="preserve">Монитор Asus Vg27Aq</v>
      </c>
      <c r="J371" t="str">
        <f>IFERROR(VLOOKUP(TRIM(C371),Справочники!$A$3:$B$13,2,0),"Нет в справочнике")</f>
        <v>Мониторы</v>
      </c>
      <c r="K371" t="str">
        <f t="shared" si="51"/>
        <v>Asus</v>
      </c>
      <c r="L371" s="4">
        <f t="shared" si="52"/>
        <v>32000</v>
      </c>
      <c r="M371" s="4">
        <f t="shared" si="53"/>
        <v>49990</v>
      </c>
      <c r="N371" t="str">
        <f>IFERROR(VLOOKUP(TRIM(G371),Справочники!$P$3:$Q$7,2,0),"Нет в справочнике")</f>
        <v>шт.</v>
      </c>
      <c r="O371" t="str">
        <f t="shared" si="54"/>
        <v>ОК</v>
      </c>
      <c r="P371" t="str">
        <f t="shared" si="55"/>
        <v>Уникальный</v>
      </c>
    </row>
    <row r="372">
      <c r="A372" s="3" t="s">
        <v>1265</v>
      </c>
      <c r="B372" s="3" t="s">
        <v>1266</v>
      </c>
      <c r="C372" s="3" t="s">
        <v>143</v>
      </c>
      <c r="D372" s="3" t="s">
        <v>46</v>
      </c>
      <c r="E372" s="3" t="s">
        <v>110</v>
      </c>
      <c r="F372" s="3" t="s">
        <v>512</v>
      </c>
      <c r="G372" s="3" t="s">
        <v>28</v>
      </c>
      <c r="H372" t="str">
        <f t="shared" si="49"/>
        <v>АРТ-371</v>
      </c>
      <c r="I372" t="str">
        <f t="shared" si="50"/>
        <v xml:space="preserve">Монитор Asus Vg27Aq</v>
      </c>
      <c r="J372" t="str">
        <f>IFERROR(VLOOKUP(TRIM(C372),Справочники!$A$3:$B$13,2,0),"Нет в справочнике")</f>
        <v>Мониторы</v>
      </c>
      <c r="K372" t="str">
        <f t="shared" si="51"/>
        <v>Asus</v>
      </c>
      <c r="L372" s="4">
        <f t="shared" si="52"/>
        <v>30500</v>
      </c>
      <c r="M372" s="4">
        <f t="shared" si="53"/>
        <v>48000</v>
      </c>
      <c r="N372" t="str">
        <f>IFERROR(VLOOKUP(TRIM(G372),Справочники!$P$3:$Q$7,2,0),"Нет в справочнике")</f>
        <v>шт.</v>
      </c>
      <c r="O372" t="str">
        <f t="shared" si="54"/>
        <v>ОК</v>
      </c>
      <c r="P372" t="str">
        <f t="shared" si="55"/>
        <v>Уникальный</v>
      </c>
    </row>
    <row r="373">
      <c r="A373" s="3" t="s">
        <v>1267</v>
      </c>
      <c r="B373" s="3" t="s">
        <v>1268</v>
      </c>
      <c r="C373" s="3" t="s">
        <v>143</v>
      </c>
      <c r="D373" s="3" t="s">
        <v>39</v>
      </c>
      <c r="E373" s="3" t="s">
        <v>504</v>
      </c>
      <c r="F373" s="3" t="s">
        <v>353</v>
      </c>
      <c r="G373" s="3" t="s">
        <v>22</v>
      </c>
      <c r="H373" t="str">
        <f t="shared" si="49"/>
        <v>АРТ-372</v>
      </c>
      <c r="I373" t="str">
        <f t="shared" si="50"/>
        <v xml:space="preserve">Монитор Asus Vg27Aq</v>
      </c>
      <c r="J373" t="str">
        <f>IFERROR(VLOOKUP(TRIM(C373),Справочники!$A$3:$B$13,2,0),"Нет в справочнике")</f>
        <v>Мониторы</v>
      </c>
      <c r="K373" t="str">
        <f t="shared" si="51"/>
        <v>Asus</v>
      </c>
      <c r="L373" s="4">
        <f t="shared" si="52"/>
        <v>33500</v>
      </c>
      <c r="M373" s="4">
        <f t="shared" si="53"/>
        <v>52000</v>
      </c>
      <c r="N373" t="str">
        <f>IFERROR(VLOOKUP(TRIM(G373),Справочники!$P$3:$Q$7,2,0),"Нет в справочнике")</f>
        <v>шт.</v>
      </c>
      <c r="O373" t="str">
        <f t="shared" si="54"/>
        <v>ОК</v>
      </c>
      <c r="P373" t="str">
        <f t="shared" si="55"/>
        <v>Уникальный</v>
      </c>
    </row>
    <row r="374">
      <c r="A374" s="3" t="s">
        <v>1269</v>
      </c>
      <c r="B374" s="3" t="s">
        <v>1270</v>
      </c>
      <c r="C374" s="3" t="s">
        <v>157</v>
      </c>
      <c r="D374" s="3" t="s">
        <v>365</v>
      </c>
      <c r="E374" s="3" t="s">
        <v>178</v>
      </c>
      <c r="F374" s="3" t="s">
        <v>739</v>
      </c>
      <c r="G374" s="3" t="s">
        <v>42</v>
      </c>
      <c r="H374" t="str">
        <f t="shared" si="49"/>
        <v>АРТ-373</v>
      </c>
      <c r="I374" t="str">
        <f t="shared" si="50"/>
        <v xml:space="preserve">Клавиатура Razer Huntsman V2</v>
      </c>
      <c r="J374" t="str">
        <f>IFERROR(VLOOKUP(TRIM(C374),Справочники!$A$3:$B$13,2,0),"Нет в справочнике")</f>
        <v>Аксессуары</v>
      </c>
      <c r="K374" t="str">
        <f t="shared" si="51"/>
        <v>Razer</v>
      </c>
      <c r="L374" s="4">
        <f t="shared" si="52"/>
        <v>8500</v>
      </c>
      <c r="M374" s="4">
        <f t="shared" si="53"/>
        <v>13990</v>
      </c>
      <c r="N374" t="str">
        <f>IFERROR(VLOOKUP(TRIM(G374),Справочники!$P$3:$Q$7,2,0),"Нет в справочнике")</f>
        <v>шт.</v>
      </c>
      <c r="O374" t="str">
        <f t="shared" si="54"/>
        <v>ОК</v>
      </c>
      <c r="P374" t="str">
        <f t="shared" si="55"/>
        <v>Уникальный</v>
      </c>
    </row>
    <row r="375">
      <c r="A375" s="3" t="s">
        <v>1271</v>
      </c>
      <c r="B375" s="3" t="s">
        <v>1272</v>
      </c>
      <c r="C375" s="3" t="s">
        <v>157</v>
      </c>
      <c r="D375" s="3" t="s">
        <v>370</v>
      </c>
      <c r="E375" s="3" t="s">
        <v>738</v>
      </c>
      <c r="F375" s="3" t="s">
        <v>376</v>
      </c>
      <c r="G375" s="3" t="s">
        <v>35</v>
      </c>
      <c r="H375" t="str">
        <f t="shared" si="49"/>
        <v>АРТ-374</v>
      </c>
      <c r="I375" t="str">
        <f t="shared" si="50"/>
        <v xml:space="preserve">Клавиатура Razer Huntsman V2</v>
      </c>
      <c r="J375" t="str">
        <f>IFERROR(VLOOKUP(TRIM(C375),Справочники!$A$3:$B$13,2,0),"Нет в справочнике")</f>
        <v>Аксессуары</v>
      </c>
      <c r="K375" t="str">
        <f t="shared" si="51"/>
        <v>Razer</v>
      </c>
      <c r="L375" s="4">
        <f t="shared" si="52"/>
        <v>8000</v>
      </c>
      <c r="M375" s="4">
        <f t="shared" si="53"/>
        <v>13500</v>
      </c>
      <c r="N375" t="str">
        <f>IFERROR(VLOOKUP(TRIM(G375),Справочники!$P$3:$Q$7,2,0),"Нет в справочнике")</f>
        <v>шт.</v>
      </c>
      <c r="O375" t="str">
        <f t="shared" si="54"/>
        <v>ОК</v>
      </c>
      <c r="P375" t="str">
        <f t="shared" si="55"/>
        <v>Уникальный</v>
      </c>
    </row>
    <row r="376">
      <c r="A376" s="3" t="s">
        <v>1273</v>
      </c>
      <c r="B376" s="3" t="s">
        <v>1274</v>
      </c>
      <c r="C376" s="3" t="s">
        <v>157</v>
      </c>
      <c r="D376" s="3" t="s">
        <v>374</v>
      </c>
      <c r="E376" s="3" t="s">
        <v>1275</v>
      </c>
      <c r="F376" s="3" t="s">
        <v>747</v>
      </c>
      <c r="G376" s="3" t="s">
        <v>22</v>
      </c>
      <c r="H376" t="str">
        <f t="shared" si="49"/>
        <v>АРТ-375</v>
      </c>
      <c r="I376" t="str">
        <f t="shared" si="50"/>
        <v xml:space="preserve">Клавиатура Razer Huntsman V2</v>
      </c>
      <c r="J376" t="str">
        <f>IFERROR(VLOOKUP(TRIM(C376),Справочники!$A$3:$B$13,2,0),"Нет в справочнике")</f>
        <v>Аксессуары</v>
      </c>
      <c r="K376" t="str">
        <f t="shared" si="51"/>
        <v>Razer</v>
      </c>
      <c r="L376" s="4">
        <f t="shared" si="52"/>
        <v>9000</v>
      </c>
      <c r="M376" s="4">
        <f t="shared" si="53"/>
        <v>14800</v>
      </c>
      <c r="N376" t="str">
        <f>IFERROR(VLOOKUP(TRIM(G376),Справочники!$P$3:$Q$7,2,0),"Нет в справочнике")</f>
        <v>шт.</v>
      </c>
      <c r="O376" t="str">
        <f t="shared" si="54"/>
        <v>ОК</v>
      </c>
      <c r="P376" t="str">
        <f t="shared" si="55"/>
        <v>Уникальный</v>
      </c>
    </row>
    <row r="377">
      <c r="A377" s="3" t="s">
        <v>1276</v>
      </c>
      <c r="B377" s="3" t="s">
        <v>1277</v>
      </c>
      <c r="C377" s="3" t="s">
        <v>199</v>
      </c>
      <c r="D377" s="3" t="s">
        <v>128</v>
      </c>
      <c r="E377" s="3" t="s">
        <v>236</v>
      </c>
      <c r="F377" s="3" t="s">
        <v>237</v>
      </c>
      <c r="G377" s="3" t="s">
        <v>42</v>
      </c>
      <c r="H377" t="str">
        <f t="shared" si="49"/>
        <v>АРТ-376</v>
      </c>
      <c r="I377" t="str">
        <f t="shared" si="50"/>
        <v xml:space="preserve">Смарт-Часы Xiaomi Watch S1</v>
      </c>
      <c r="J377" t="str">
        <f>IFERROR(VLOOKUP(TRIM(C377),Справочники!$A$3:$B$13,2,0),"Нет в справочнике")</f>
        <v>Часы</v>
      </c>
      <c r="K377" t="str">
        <f t="shared" si="51"/>
        <v>Xiaomi</v>
      </c>
      <c r="L377" s="4">
        <f t="shared" si="52"/>
        <v>15000</v>
      </c>
      <c r="M377" s="4">
        <f t="shared" si="53"/>
        <v>24990</v>
      </c>
      <c r="N377" t="str">
        <f>IFERROR(VLOOKUP(TRIM(G377),Справочники!$P$3:$Q$7,2,0),"Нет в справочнике")</f>
        <v>шт.</v>
      </c>
      <c r="O377" t="str">
        <f t="shared" si="54"/>
        <v>ОК</v>
      </c>
      <c r="P377" t="str">
        <f t="shared" si="55"/>
        <v>Уникальный</v>
      </c>
    </row>
    <row r="378">
      <c r="A378" s="3" t="s">
        <v>1278</v>
      </c>
      <c r="B378" s="3" t="s">
        <v>1279</v>
      </c>
      <c r="C378" s="3" t="s">
        <v>199</v>
      </c>
      <c r="D378" s="3" t="s">
        <v>133</v>
      </c>
      <c r="E378" s="3" t="s">
        <v>591</v>
      </c>
      <c r="F378" s="3" t="s">
        <v>778</v>
      </c>
      <c r="G378" s="3" t="s">
        <v>28</v>
      </c>
      <c r="H378" t="str">
        <f t="shared" si="49"/>
        <v>АРТ-377</v>
      </c>
      <c r="I378" t="str">
        <f t="shared" si="50"/>
        <v xml:space="preserve">Смарт-Часы Xiaomi Watch S1</v>
      </c>
      <c r="J378" t="str">
        <f>IFERROR(VLOOKUP(TRIM(C378),Справочники!$A$3:$B$13,2,0),"Нет в справочнике")</f>
        <v>Часы</v>
      </c>
      <c r="K378" t="str">
        <f t="shared" si="51"/>
        <v>Xiaomi</v>
      </c>
      <c r="L378" s="4">
        <f t="shared" si="52"/>
        <v>14000</v>
      </c>
      <c r="M378" s="4">
        <f t="shared" si="53"/>
        <v>23500</v>
      </c>
      <c r="N378" t="str">
        <f>IFERROR(VLOOKUP(TRIM(G378),Справочники!$P$3:$Q$7,2,0),"Нет в справочнике")</f>
        <v>шт.</v>
      </c>
      <c r="O378" t="str">
        <f t="shared" si="54"/>
        <v>ОК</v>
      </c>
      <c r="P378" t="str">
        <f t="shared" si="55"/>
        <v>Уникальный</v>
      </c>
    </row>
    <row r="379">
      <c r="A379" s="3" t="s">
        <v>1280</v>
      </c>
      <c r="B379" s="3" t="s">
        <v>1281</v>
      </c>
      <c r="C379" s="3" t="s">
        <v>199</v>
      </c>
      <c r="D379" s="3" t="s">
        <v>138</v>
      </c>
      <c r="E379" s="3" t="s">
        <v>660</v>
      </c>
      <c r="F379" s="3" t="s">
        <v>782</v>
      </c>
      <c r="G379" s="3" t="s">
        <v>22</v>
      </c>
      <c r="H379" t="str">
        <f t="shared" si="49"/>
        <v>АРТ-378</v>
      </c>
      <c r="I379" t="str">
        <f t="shared" si="50"/>
        <v xml:space="preserve">Смарт-Часы Xiaomi Watch S1</v>
      </c>
      <c r="J379" t="str">
        <f>IFERROR(VLOOKUP(TRIM(C379),Справочники!$A$3:$B$13,2,0),"Нет в справочнике")</f>
        <v>Часы</v>
      </c>
      <c r="K379" t="str">
        <f t="shared" si="51"/>
        <v>Xiaomi</v>
      </c>
      <c r="L379" s="4">
        <f t="shared" si="52"/>
        <v>16000</v>
      </c>
      <c r="M379" s="4">
        <f t="shared" si="53"/>
        <v>26500</v>
      </c>
      <c r="N379" t="str">
        <f>IFERROR(VLOOKUP(TRIM(G379),Справочники!$P$3:$Q$7,2,0),"Нет в справочнике")</f>
        <v>шт.</v>
      </c>
      <c r="O379" t="str">
        <f t="shared" si="54"/>
        <v>ОК</v>
      </c>
      <c r="P379" t="str">
        <f t="shared" si="55"/>
        <v>Уникальный</v>
      </c>
    </row>
    <row r="380">
      <c r="A380" s="3" t="s">
        <v>1282</v>
      </c>
      <c r="B380" s="3" t="s">
        <v>1283</v>
      </c>
      <c r="C380" s="3" t="s">
        <v>69</v>
      </c>
      <c r="D380" s="3" t="s">
        <v>55</v>
      </c>
      <c r="E380" s="3" t="s">
        <v>498</v>
      </c>
      <c r="F380" s="3" t="s">
        <v>1284</v>
      </c>
      <c r="G380" s="3" t="s">
        <v>42</v>
      </c>
      <c r="H380" t="str">
        <f t="shared" si="49"/>
        <v>АРТ-379</v>
      </c>
      <c r="I380" t="str">
        <f t="shared" si="50"/>
        <v xml:space="preserve">Планшет Samsung Galaxy Tab S6</v>
      </c>
      <c r="J380" t="str">
        <f>IFERROR(VLOOKUP(TRIM(C380),Справочники!$A$3:$B$13,2,0),"Нет в справочнике")</f>
        <v>Планшеты</v>
      </c>
      <c r="K380" t="str">
        <f t="shared" si="51"/>
        <v>Samsung</v>
      </c>
      <c r="L380" s="4">
        <f t="shared" si="52"/>
        <v>22000</v>
      </c>
      <c r="M380" s="4">
        <f t="shared" si="53"/>
        <v>36990</v>
      </c>
      <c r="N380" t="str">
        <f>IFERROR(VLOOKUP(TRIM(G380),Справочники!$P$3:$Q$7,2,0),"Нет в справочнике")</f>
        <v>шт.</v>
      </c>
      <c r="O380" t="str">
        <f t="shared" si="54"/>
        <v>ОК</v>
      </c>
      <c r="P380" t="str">
        <f t="shared" si="55"/>
        <v>Уникальный</v>
      </c>
    </row>
    <row r="381">
      <c r="A381" s="3" t="s">
        <v>1285</v>
      </c>
      <c r="B381" s="3" t="s">
        <v>1286</v>
      </c>
      <c r="C381" s="3" t="s">
        <v>69</v>
      </c>
      <c r="D381" s="3" t="s">
        <v>148</v>
      </c>
      <c r="E381" s="3" t="s">
        <v>503</v>
      </c>
      <c r="F381" s="3" t="s">
        <v>1287</v>
      </c>
      <c r="G381" s="3" t="s">
        <v>35</v>
      </c>
      <c r="H381" t="str">
        <f t="shared" si="49"/>
        <v>АРТ-380</v>
      </c>
      <c r="I381" t="str">
        <f t="shared" si="50"/>
        <v xml:space="preserve">Планшет Samsung Galaxy Tab S6</v>
      </c>
      <c r="J381" t="str">
        <f>IFERROR(VLOOKUP(TRIM(C381),Справочники!$A$3:$B$13,2,0),"Нет в справочнике")</f>
        <v>Планшеты</v>
      </c>
      <c r="K381" t="str">
        <f t="shared" si="51"/>
        <v>Samsung</v>
      </c>
      <c r="L381" s="4">
        <f t="shared" si="52"/>
        <v>21000</v>
      </c>
      <c r="M381" s="4">
        <f t="shared" si="53"/>
        <v>35500</v>
      </c>
      <c r="N381" t="str">
        <f>IFERROR(VLOOKUP(TRIM(G381),Справочники!$P$3:$Q$7,2,0),"Нет в справочнике")</f>
        <v>шт.</v>
      </c>
      <c r="O381" t="str">
        <f t="shared" si="54"/>
        <v>ОК</v>
      </c>
      <c r="P381" t="str">
        <f t="shared" si="55"/>
        <v>Уникальный</v>
      </c>
    </row>
    <row r="382">
      <c r="A382" s="3" t="s">
        <v>1288</v>
      </c>
      <c r="B382" s="3" t="s">
        <v>1289</v>
      </c>
      <c r="C382" s="3" t="s">
        <v>69</v>
      </c>
      <c r="D382" s="3" t="s">
        <v>60</v>
      </c>
      <c r="E382" s="3" t="s">
        <v>508</v>
      </c>
      <c r="F382" s="3" t="s">
        <v>396</v>
      </c>
      <c r="G382" s="3" t="s">
        <v>22</v>
      </c>
      <c r="H382" t="str">
        <f t="shared" si="49"/>
        <v>АРТ-381</v>
      </c>
      <c r="I382" t="str">
        <f t="shared" si="50"/>
        <v xml:space="preserve">Планшет Samsung Galaxy Tab S6</v>
      </c>
      <c r="J382" t="str">
        <f>IFERROR(VLOOKUP(TRIM(C382),Справочники!$A$3:$B$13,2,0),"Нет в справочнике")</f>
        <v>Планшеты</v>
      </c>
      <c r="K382" t="str">
        <f t="shared" si="51"/>
        <v>Samsung</v>
      </c>
      <c r="L382" s="4">
        <f t="shared" si="52"/>
        <v>23000</v>
      </c>
      <c r="M382" s="4">
        <f t="shared" si="53"/>
        <v>38500</v>
      </c>
      <c r="N382" t="str">
        <f>IFERROR(VLOOKUP(TRIM(G382),Справочники!$P$3:$Q$7,2,0),"Нет в справочнике")</f>
        <v>шт.</v>
      </c>
      <c r="O382" t="str">
        <f t="shared" si="54"/>
        <v>ОК</v>
      </c>
      <c r="P382" t="str">
        <f t="shared" si="55"/>
        <v>Уникальный</v>
      </c>
    </row>
    <row r="383">
      <c r="A383" s="3" t="s">
        <v>1290</v>
      </c>
      <c r="B383" s="3" t="s">
        <v>1291</v>
      </c>
      <c r="C383" s="3" t="s">
        <v>18</v>
      </c>
      <c r="D383" s="3" t="s">
        <v>310</v>
      </c>
      <c r="E383" s="3" t="s">
        <v>391</v>
      </c>
      <c r="F383" s="3" t="s">
        <v>569</v>
      </c>
      <c r="G383" s="3" t="s">
        <v>42</v>
      </c>
      <c r="H383" t="str">
        <f t="shared" si="49"/>
        <v>АРТ-382</v>
      </c>
      <c r="I383" t="str">
        <f t="shared" si="50"/>
        <v xml:space="preserve">Смартфон Oneplus Nord 3</v>
      </c>
      <c r="J383" t="str">
        <f>IFERROR(VLOOKUP(TRIM(C383),Справочники!$A$3:$B$13,2,0),"Нет в справочнике")</f>
        <v>Смартфоны</v>
      </c>
      <c r="K383" t="str">
        <f t="shared" si="51"/>
        <v>Oneplus</v>
      </c>
      <c r="L383" s="4">
        <f t="shared" si="52"/>
        <v>25000</v>
      </c>
      <c r="M383" s="4">
        <f t="shared" si="53"/>
        <v>42990</v>
      </c>
      <c r="N383" t="str">
        <f>IFERROR(VLOOKUP(TRIM(G383),Справочники!$P$3:$Q$7,2,0),"Нет в справочнике")</f>
        <v>шт.</v>
      </c>
      <c r="O383" t="str">
        <f t="shared" si="54"/>
        <v>ОК</v>
      </c>
      <c r="P383" t="str">
        <f t="shared" si="55"/>
        <v>Уникальный</v>
      </c>
    </row>
    <row r="384">
      <c r="A384" s="3" t="s">
        <v>1292</v>
      </c>
      <c r="B384" s="3" t="s">
        <v>1293</v>
      </c>
      <c r="C384" s="3" t="s">
        <v>25</v>
      </c>
      <c r="D384" s="3" t="s">
        <v>315</v>
      </c>
      <c r="E384" s="3" t="s">
        <v>395</v>
      </c>
      <c r="F384" s="3" t="s">
        <v>572</v>
      </c>
      <c r="G384" s="3" t="s">
        <v>28</v>
      </c>
      <c r="H384" t="str">
        <f t="shared" si="49"/>
        <v>АРТ-383</v>
      </c>
      <c r="I384" t="str">
        <f t="shared" si="50"/>
        <v xml:space="preserve">Смартфон Oneplus Nord 3</v>
      </c>
      <c r="J384" t="str">
        <f>IFERROR(VLOOKUP(TRIM(C384),Справочники!$A$3:$B$13,2,0),"Нет в справочнике")</f>
        <v>Смартфоны</v>
      </c>
      <c r="K384" t="str">
        <f t="shared" si="51"/>
        <v>Oneplus</v>
      </c>
      <c r="L384" s="4">
        <f t="shared" si="52"/>
        <v>24000</v>
      </c>
      <c r="M384" s="4">
        <f t="shared" si="53"/>
        <v>41500</v>
      </c>
      <c r="N384" t="str">
        <f>IFERROR(VLOOKUP(TRIM(G384),Справочники!$P$3:$Q$7,2,0),"Нет в справочнике")</f>
        <v>шт.</v>
      </c>
      <c r="O384" t="str">
        <f t="shared" si="54"/>
        <v>ОК</v>
      </c>
      <c r="P384" t="str">
        <f t="shared" si="55"/>
        <v>Уникальный</v>
      </c>
    </row>
    <row r="385">
      <c r="A385" s="3" t="s">
        <v>1294</v>
      </c>
      <c r="B385" s="3" t="s">
        <v>1295</v>
      </c>
      <c r="C385" s="3" t="s">
        <v>31</v>
      </c>
      <c r="D385" s="3" t="s">
        <v>320</v>
      </c>
      <c r="E385" s="3" t="s">
        <v>399</v>
      </c>
      <c r="F385" s="3" t="s">
        <v>384</v>
      </c>
      <c r="G385" s="3" t="s">
        <v>22</v>
      </c>
      <c r="H385" t="str">
        <f t="shared" si="49"/>
        <v>АРТ-384</v>
      </c>
      <c r="I385" t="str">
        <f t="shared" si="50"/>
        <v xml:space="preserve">Смартфон Oneplus Nord 3</v>
      </c>
      <c r="J385" t="str">
        <f>IFERROR(VLOOKUP(TRIM(C385),Справочники!$A$3:$B$13,2,0),"Нет в справочнике")</f>
        <v>Смартфоны</v>
      </c>
      <c r="K385" t="str">
        <f t="shared" si="51"/>
        <v>Oneplus</v>
      </c>
      <c r="L385" s="4">
        <f t="shared" si="52"/>
        <v>26000</v>
      </c>
      <c r="M385" s="4">
        <f t="shared" si="53"/>
        <v>44500</v>
      </c>
      <c r="N385" t="str">
        <f>IFERROR(VLOOKUP(TRIM(G385),Справочники!$P$3:$Q$7,2,0),"Нет в справочнике")</f>
        <v>шт.</v>
      </c>
      <c r="O385" t="str">
        <f t="shared" si="54"/>
        <v>ОК</v>
      </c>
      <c r="P385" t="str">
        <f t="shared" si="55"/>
        <v>Уникальный</v>
      </c>
    </row>
    <row r="386">
      <c r="A386" s="3" t="s">
        <v>1296</v>
      </c>
      <c r="B386" s="3" t="s">
        <v>1297</v>
      </c>
      <c r="C386" s="3" t="s">
        <v>38</v>
      </c>
      <c r="D386" s="3" t="s">
        <v>296</v>
      </c>
      <c r="E386" s="3" t="s">
        <v>489</v>
      </c>
      <c r="F386" s="3" t="s">
        <v>1298</v>
      </c>
      <c r="G386" s="3" t="s">
        <v>42</v>
      </c>
      <c r="H386" t="str">
        <f t="shared" si="49"/>
        <v>АРТ-385</v>
      </c>
      <c r="I386" t="str">
        <f t="shared" si="50"/>
        <v xml:space="preserve">Ноутбук Hp Omen 16</v>
      </c>
      <c r="J386" t="str">
        <f>IFERROR(VLOOKUP(TRIM(C386),Справочники!$A$3:$B$13,2,0),"Нет в справочнике")</f>
        <v>Ноутбуки</v>
      </c>
      <c r="K386" t="str">
        <f t="shared" si="51"/>
        <v>HP</v>
      </c>
      <c r="L386" s="4">
        <f t="shared" si="52"/>
        <v>76000</v>
      </c>
      <c r="M386" s="4">
        <f t="shared" si="53"/>
        <v>116990</v>
      </c>
      <c r="N386" t="str">
        <f>IFERROR(VLOOKUP(TRIM(G386),Справочники!$P$3:$Q$7,2,0),"Нет в справочнике")</f>
        <v>шт.</v>
      </c>
      <c r="O386" t="str">
        <f t="shared" si="54"/>
        <v>ОК</v>
      </c>
      <c r="P386" t="str">
        <f t="shared" si="55"/>
        <v>Уникальный</v>
      </c>
    </row>
    <row r="387">
      <c r="A387" s="3" t="s">
        <v>1299</v>
      </c>
      <c r="B387" s="3" t="s">
        <v>1300</v>
      </c>
      <c r="C387" s="3" t="s">
        <v>45</v>
      </c>
      <c r="D387" s="3" t="s">
        <v>301</v>
      </c>
      <c r="E387" s="3" t="s">
        <v>1301</v>
      </c>
      <c r="F387" s="3" t="s">
        <v>1302</v>
      </c>
      <c r="G387" s="3" t="s">
        <v>35</v>
      </c>
      <c r="H387" t="str">
        <f t="shared" si="49"/>
        <v>АРТ-386</v>
      </c>
      <c r="I387" t="str">
        <f t="shared" si="50"/>
        <v xml:space="preserve">Ноутбук Hp Omen 16</v>
      </c>
      <c r="J387" t="str">
        <f>IFERROR(VLOOKUP(TRIM(C387),Справочники!$A$3:$B$13,2,0),"Нет в справочнике")</f>
        <v>Ноутбуки</v>
      </c>
      <c r="K387" t="str">
        <f t="shared" si="51"/>
        <v>HP</v>
      </c>
      <c r="L387" s="4">
        <f t="shared" si="52"/>
        <v>74000</v>
      </c>
      <c r="M387" s="4">
        <f t="shared" si="53"/>
        <v>114000</v>
      </c>
      <c r="N387" t="str">
        <f>IFERROR(VLOOKUP(TRIM(G387),Справочники!$P$3:$Q$7,2,0),"Нет в справочнике")</f>
        <v>шт.</v>
      </c>
      <c r="O387" t="str">
        <f t="shared" si="54"/>
        <v>ОК</v>
      </c>
      <c r="P387" t="str">
        <f t="shared" si="55"/>
        <v>Уникальный</v>
      </c>
    </row>
    <row r="388">
      <c r="A388" s="3" t="s">
        <v>1303</v>
      </c>
      <c r="B388" s="3" t="s">
        <v>1304</v>
      </c>
      <c r="C388" s="3" t="s">
        <v>38</v>
      </c>
      <c r="D388" s="3" t="s">
        <v>296</v>
      </c>
      <c r="E388" s="3" t="s">
        <v>359</v>
      </c>
      <c r="F388" s="3" t="s">
        <v>1305</v>
      </c>
      <c r="G388" s="3" t="s">
        <v>22</v>
      </c>
      <c r="H388" t="str">
        <f t="shared" si="49"/>
        <v>АРТ-387</v>
      </c>
      <c r="I388" t="str">
        <f t="shared" si="50"/>
        <v xml:space="preserve">Ноутбук Hp Omen 16</v>
      </c>
      <c r="J388" t="str">
        <f>IFERROR(VLOOKUP(TRIM(C388),Справочники!$A$3:$B$13,2,0),"Нет в справочнике")</f>
        <v>Ноутбуки</v>
      </c>
      <c r="K388" t="str">
        <f t="shared" si="51"/>
        <v>HP</v>
      </c>
      <c r="L388" s="4">
        <f t="shared" si="52"/>
        <v>77500</v>
      </c>
      <c r="M388" s="4">
        <f t="shared" si="53"/>
        <v>119500</v>
      </c>
      <c r="N388" t="str">
        <f>IFERROR(VLOOKUP(TRIM(G388),Справочники!$P$3:$Q$7,2,0),"Нет в справочнике")</f>
        <v>шт.</v>
      </c>
      <c r="O388" t="str">
        <f t="shared" si="54"/>
        <v>ОК</v>
      </c>
      <c r="P388" t="str">
        <f t="shared" si="55"/>
        <v>Уникальный</v>
      </c>
    </row>
    <row r="389">
      <c r="A389" s="3" t="s">
        <v>1306</v>
      </c>
      <c r="B389" s="3" t="s">
        <v>1307</v>
      </c>
      <c r="C389" s="3" t="s">
        <v>83</v>
      </c>
      <c r="D389" s="3" t="s">
        <v>640</v>
      </c>
      <c r="E389" s="3" t="s">
        <v>702</v>
      </c>
      <c r="F389" s="3" t="s">
        <v>937</v>
      </c>
      <c r="G389" s="3" t="s">
        <v>42</v>
      </c>
      <c r="H389" t="str">
        <f t="shared" si="49"/>
        <v>АРТ-388</v>
      </c>
      <c r="I389" t="str">
        <f t="shared" si="50"/>
        <v xml:space="preserve">Телевизор Panasonic Lx800</v>
      </c>
      <c r="J389" t="str">
        <f>IFERROR(VLOOKUP(TRIM(C389),Справочники!$A$3:$B$13,2,0),"Нет в справочнике")</f>
        <v>Телевизоры</v>
      </c>
      <c r="K389" t="str">
        <f t="shared" si="51"/>
        <v>Panasonic</v>
      </c>
      <c r="L389" s="4">
        <f t="shared" si="52"/>
        <v>50000</v>
      </c>
      <c r="M389" s="4">
        <f t="shared" si="53"/>
        <v>77990</v>
      </c>
      <c r="N389" t="str">
        <f>IFERROR(VLOOKUP(TRIM(G389),Справочники!$P$3:$Q$7,2,0),"Нет в справочнике")</f>
        <v>шт.</v>
      </c>
      <c r="O389" t="str">
        <f t="shared" si="54"/>
        <v>ОК</v>
      </c>
      <c r="P389" t="str">
        <f t="shared" si="55"/>
        <v>Уникальный</v>
      </c>
    </row>
    <row r="390">
      <c r="A390" s="3" t="s">
        <v>1308</v>
      </c>
      <c r="B390" s="3" t="s">
        <v>1309</v>
      </c>
      <c r="C390" s="3" t="s">
        <v>83</v>
      </c>
      <c r="D390" s="3" t="s">
        <v>645</v>
      </c>
      <c r="E390" s="3" t="s">
        <v>512</v>
      </c>
      <c r="F390" s="3" t="s">
        <v>940</v>
      </c>
      <c r="G390" s="3" t="s">
        <v>28</v>
      </c>
      <c r="H390" t="str">
        <f t="shared" si="49"/>
        <v>АРТ-389</v>
      </c>
      <c r="I390" t="str">
        <f t="shared" si="50"/>
        <v xml:space="preserve">Телевизор Panasonic Lx800</v>
      </c>
      <c r="J390" t="str">
        <f>IFERROR(VLOOKUP(TRIM(C390),Справочники!$A$3:$B$13,2,0),"Нет в справочнике")</f>
        <v>Телевизоры</v>
      </c>
      <c r="K390" t="str">
        <f t="shared" si="51"/>
        <v>Panasonic</v>
      </c>
      <c r="L390" s="4">
        <f t="shared" si="52"/>
        <v>48000</v>
      </c>
      <c r="M390" s="4">
        <f t="shared" si="53"/>
        <v>75000</v>
      </c>
      <c r="N390" t="str">
        <f>IFERROR(VLOOKUP(TRIM(G390),Справочники!$P$3:$Q$7,2,0),"Нет в справочнике")</f>
        <v>шт.</v>
      </c>
      <c r="O390" t="str">
        <f t="shared" si="54"/>
        <v>ОК</v>
      </c>
      <c r="P390" t="str">
        <f t="shared" si="55"/>
        <v>Уникальный</v>
      </c>
    </row>
    <row r="391">
      <c r="A391" s="3" t="s">
        <v>1310</v>
      </c>
      <c r="B391" s="3" t="s">
        <v>1311</v>
      </c>
      <c r="C391" s="3" t="s">
        <v>83</v>
      </c>
      <c r="D391" s="3" t="s">
        <v>649</v>
      </c>
      <c r="E391" s="3" t="s">
        <v>771</v>
      </c>
      <c r="F391" s="3" t="s">
        <v>582</v>
      </c>
      <c r="G391" s="3" t="s">
        <v>22</v>
      </c>
      <c r="H391" t="str">
        <f t="shared" si="49"/>
        <v>АРТ-390</v>
      </c>
      <c r="I391" t="str">
        <f t="shared" si="50"/>
        <v xml:space="preserve">Телевизор Panasonic Lx800</v>
      </c>
      <c r="J391" t="str">
        <f>IFERROR(VLOOKUP(TRIM(C391),Справочники!$A$3:$B$13,2,0),"Нет в справочнике")</f>
        <v>Телевизоры</v>
      </c>
      <c r="K391" t="str">
        <f t="shared" si="51"/>
        <v>Panasonic</v>
      </c>
      <c r="L391" s="4">
        <f t="shared" si="52"/>
        <v>51500</v>
      </c>
      <c r="M391" s="4">
        <f t="shared" si="53"/>
        <v>80000</v>
      </c>
      <c r="N391" t="str">
        <f>IFERROR(VLOOKUP(TRIM(G391),Справочники!$P$3:$Q$7,2,0),"Нет в справочнике")</f>
        <v>шт.</v>
      </c>
      <c r="O391" t="str">
        <f t="shared" si="54"/>
        <v>ОК</v>
      </c>
      <c r="P391" t="str">
        <f t="shared" si="55"/>
        <v>Уникальный</v>
      </c>
    </row>
    <row r="392">
      <c r="A392" s="3" t="s">
        <v>1312</v>
      </c>
      <c r="B392" s="3" t="s">
        <v>1313</v>
      </c>
      <c r="C392" s="3" t="s">
        <v>98</v>
      </c>
      <c r="D392" s="3" t="s">
        <v>224</v>
      </c>
      <c r="E392" s="3" t="s">
        <v>990</v>
      </c>
      <c r="F392" s="3" t="s">
        <v>1314</v>
      </c>
      <c r="G392" s="3" t="s">
        <v>42</v>
      </c>
      <c r="H392" t="str">
        <f t="shared" si="49"/>
        <v>АРТ-391</v>
      </c>
      <c r="I392" t="str">
        <f t="shared" si="50"/>
        <v xml:space="preserve">Наушники Sony Linkbuds S</v>
      </c>
      <c r="J392" t="str">
        <f>IFERROR(VLOOKUP(TRIM(C392),Справочники!$A$3:$B$13,2,0),"Нет в справочнике")</f>
        <v>Наушники</v>
      </c>
      <c r="K392" t="str">
        <f t="shared" si="51"/>
        <v>Sony</v>
      </c>
      <c r="L392" s="4">
        <f t="shared" si="52"/>
        <v>11000</v>
      </c>
      <c r="M392" s="4">
        <f t="shared" si="53"/>
        <v>18990</v>
      </c>
      <c r="N392" t="str">
        <f>IFERROR(VLOOKUP(TRIM(G392),Справочники!$P$3:$Q$7,2,0),"Нет в справочнике")</f>
        <v>шт.</v>
      </c>
      <c r="O392" t="str">
        <f t="shared" si="54"/>
        <v>ОК</v>
      </c>
      <c r="P392" t="str">
        <f t="shared" si="55"/>
        <v>Уникальный</v>
      </c>
    </row>
    <row r="393">
      <c r="A393" s="3" t="s">
        <v>1315</v>
      </c>
      <c r="B393" s="3" t="s">
        <v>1316</v>
      </c>
      <c r="C393" s="3" t="s">
        <v>98</v>
      </c>
      <c r="D393" s="3" t="s">
        <v>104</v>
      </c>
      <c r="E393" s="3" t="s">
        <v>170</v>
      </c>
      <c r="F393" s="3" t="s">
        <v>100</v>
      </c>
      <c r="G393" s="3" t="s">
        <v>35</v>
      </c>
      <c r="H393" t="str">
        <f t="shared" si="49"/>
        <v>АРТ-392</v>
      </c>
      <c r="I393" t="str">
        <f t="shared" si="50"/>
        <v xml:space="preserve">Наушники Sony Linkbuds S</v>
      </c>
      <c r="J393" t="str">
        <f>IFERROR(VLOOKUP(TRIM(C393),Справочники!$A$3:$B$13,2,0),"Нет в справочнике")</f>
        <v>Наушники</v>
      </c>
      <c r="K393" t="str">
        <f t="shared" si="51"/>
        <v>Sony</v>
      </c>
      <c r="L393" s="4">
        <f t="shared" si="52"/>
        <v>10500</v>
      </c>
      <c r="M393" s="4">
        <f t="shared" si="53"/>
        <v>18000</v>
      </c>
      <c r="N393" t="str">
        <f>IFERROR(VLOOKUP(TRIM(G393),Справочники!$P$3:$Q$7,2,0),"Нет в справочнике")</f>
        <v>шт.</v>
      </c>
      <c r="O393" t="str">
        <f t="shared" si="54"/>
        <v>ОК</v>
      </c>
      <c r="P393" t="str">
        <f t="shared" si="55"/>
        <v>Уникальный</v>
      </c>
    </row>
    <row r="394">
      <c r="A394" s="3" t="s">
        <v>1317</v>
      </c>
      <c r="B394" s="3" t="s">
        <v>1318</v>
      </c>
      <c r="C394" s="3" t="s">
        <v>98</v>
      </c>
      <c r="D394" s="3" t="s">
        <v>99</v>
      </c>
      <c r="E394" s="3" t="s">
        <v>343</v>
      </c>
      <c r="F394" s="3" t="s">
        <v>1319</v>
      </c>
      <c r="G394" s="3" t="s">
        <v>22</v>
      </c>
      <c r="H394" t="str">
        <f t="shared" si="49"/>
        <v>АРТ-393</v>
      </c>
      <c r="I394" t="str">
        <f t="shared" si="50"/>
        <v xml:space="preserve">Наушники Sony Linkbuds S</v>
      </c>
      <c r="J394" t="str">
        <f>IFERROR(VLOOKUP(TRIM(C394),Справочники!$A$3:$B$13,2,0),"Нет в справочнике")</f>
        <v>Наушники</v>
      </c>
      <c r="K394" t="str">
        <f t="shared" si="51"/>
        <v>Sony</v>
      </c>
      <c r="L394" s="4">
        <f t="shared" si="52"/>
        <v>11500</v>
      </c>
      <c r="M394" s="4">
        <f t="shared" si="53"/>
        <v>19800</v>
      </c>
      <c r="N394" t="str">
        <f>IFERROR(VLOOKUP(TRIM(G394),Справочники!$P$3:$Q$7,2,0),"Нет в справочнике")</f>
        <v>шт.</v>
      </c>
      <c r="O394" t="str">
        <f t="shared" si="54"/>
        <v>ОК</v>
      </c>
      <c r="P394" t="str">
        <f t="shared" si="55"/>
        <v>Уникальный</v>
      </c>
    </row>
    <row r="395">
      <c r="A395" s="3" t="s">
        <v>1320</v>
      </c>
      <c r="B395" s="3" t="s">
        <v>1321</v>
      </c>
      <c r="C395" s="3" t="s">
        <v>143</v>
      </c>
      <c r="D395" s="3" t="s">
        <v>601</v>
      </c>
      <c r="E395" s="3" t="s">
        <v>285</v>
      </c>
      <c r="F395" s="3" t="s">
        <v>824</v>
      </c>
      <c r="G395" s="3" t="s">
        <v>42</v>
      </c>
      <c r="H395" t="str">
        <f t="shared" si="49"/>
        <v>АРТ-394</v>
      </c>
      <c r="I395" t="str">
        <f t="shared" si="50"/>
        <v xml:space="preserve">Монитор Benq Ew3270U</v>
      </c>
      <c r="J395" t="str">
        <f>IFERROR(VLOOKUP(TRIM(C395),Справочники!$A$3:$B$13,2,0),"Нет в справочнике")</f>
        <v>Мониторы</v>
      </c>
      <c r="K395" t="str">
        <f t="shared" si="51"/>
        <v>Benq</v>
      </c>
      <c r="L395" s="4">
        <f t="shared" si="52"/>
        <v>42000</v>
      </c>
      <c r="M395" s="4">
        <f t="shared" si="53"/>
        <v>64990</v>
      </c>
      <c r="N395" t="str">
        <f>IFERROR(VLOOKUP(TRIM(G395),Справочники!$P$3:$Q$7,2,0),"Нет в справочнике")</f>
        <v>шт.</v>
      </c>
      <c r="O395" t="str">
        <f t="shared" si="54"/>
        <v>ОК</v>
      </c>
      <c r="P395" t="str">
        <f t="shared" si="55"/>
        <v>Уникальный</v>
      </c>
    </row>
    <row r="396">
      <c r="A396" s="3" t="s">
        <v>1322</v>
      </c>
      <c r="B396" s="3" t="s">
        <v>1323</v>
      </c>
      <c r="C396" s="3" t="s">
        <v>143</v>
      </c>
      <c r="D396" s="3" t="s">
        <v>605</v>
      </c>
      <c r="E396" s="3" t="s">
        <v>1097</v>
      </c>
      <c r="F396" s="3" t="s">
        <v>827</v>
      </c>
      <c r="G396" s="3" t="s">
        <v>28</v>
      </c>
      <c r="H396" t="str">
        <f t="shared" si="49"/>
        <v>АРТ-395</v>
      </c>
      <c r="I396" t="str">
        <f t="shared" si="50"/>
        <v xml:space="preserve">Монитор Benq Ew3270U</v>
      </c>
      <c r="J396" t="str">
        <f>IFERROR(VLOOKUP(TRIM(C396),Справочники!$A$3:$B$13,2,0),"Нет в справочнике")</f>
        <v>Мониторы</v>
      </c>
      <c r="K396" t="str">
        <f t="shared" si="51"/>
        <v>Benq</v>
      </c>
      <c r="L396" s="4">
        <f t="shared" si="52"/>
        <v>40500</v>
      </c>
      <c r="M396" s="4">
        <f t="shared" si="53"/>
        <v>62500</v>
      </c>
      <c r="N396" t="str">
        <f>IFERROR(VLOOKUP(TRIM(G396),Справочники!$P$3:$Q$7,2,0),"Нет в справочнике")</f>
        <v>шт.</v>
      </c>
      <c r="O396" t="str">
        <f t="shared" si="54"/>
        <v>ОК</v>
      </c>
      <c r="P396" t="str">
        <f t="shared" si="55"/>
        <v>Уникальный</v>
      </c>
    </row>
    <row r="397">
      <c r="A397" s="3" t="s">
        <v>1324</v>
      </c>
      <c r="B397" s="3" t="s">
        <v>1325</v>
      </c>
      <c r="C397" s="3" t="s">
        <v>143</v>
      </c>
      <c r="D397" s="3" t="s">
        <v>608</v>
      </c>
      <c r="E397" s="3" t="s">
        <v>292</v>
      </c>
      <c r="F397" s="3" t="s">
        <v>831</v>
      </c>
      <c r="G397" s="3" t="s">
        <v>22</v>
      </c>
      <c r="H397" t="str">
        <f t="shared" si="49"/>
        <v>АРТ-396</v>
      </c>
      <c r="I397" t="str">
        <f t="shared" si="50"/>
        <v xml:space="preserve">Монитор Benq Ew3270U</v>
      </c>
      <c r="J397" t="str">
        <f>IFERROR(VLOOKUP(TRIM(C397),Справочники!$A$3:$B$13,2,0),"Нет в справочнике")</f>
        <v>Мониторы</v>
      </c>
      <c r="K397" t="str">
        <f t="shared" si="51"/>
        <v>Benq</v>
      </c>
      <c r="L397" s="4">
        <f t="shared" si="52"/>
        <v>43500</v>
      </c>
      <c r="M397" s="4">
        <f t="shared" si="53"/>
        <v>67000</v>
      </c>
      <c r="N397" t="str">
        <f>IFERROR(VLOOKUP(TRIM(G397),Справочники!$P$3:$Q$7,2,0),"Нет в справочнике")</f>
        <v>шт.</v>
      </c>
      <c r="O397" t="str">
        <f t="shared" si="54"/>
        <v>ОК</v>
      </c>
      <c r="P397" t="str">
        <f t="shared" si="55"/>
        <v>Уникальный</v>
      </c>
    </row>
    <row r="398">
      <c r="A398" s="3" t="s">
        <v>1326</v>
      </c>
      <c r="B398" s="3" t="s">
        <v>1327</v>
      </c>
      <c r="C398" s="3" t="s">
        <v>157</v>
      </c>
      <c r="D398" s="3" t="s">
        <v>158</v>
      </c>
      <c r="E398" s="3" t="s">
        <v>173</v>
      </c>
      <c r="F398" s="3" t="s">
        <v>525</v>
      </c>
      <c r="G398" s="3" t="s">
        <v>42</v>
      </c>
      <c r="H398" t="str">
        <f t="shared" si="49"/>
        <v>АРТ-397</v>
      </c>
      <c r="I398" t="str">
        <f t="shared" si="50"/>
        <v xml:space="preserve">Мышь Logitech G502 X</v>
      </c>
      <c r="J398" t="str">
        <f>IFERROR(VLOOKUP(TRIM(C398),Справочники!$A$3:$B$13,2,0),"Нет в справочнике")</f>
        <v>Аксессуары</v>
      </c>
      <c r="K398" t="str">
        <f t="shared" si="51"/>
        <v>Logitech</v>
      </c>
      <c r="L398" s="4">
        <f t="shared" si="52"/>
        <v>4500</v>
      </c>
      <c r="M398" s="4">
        <f t="shared" si="53"/>
        <v>7990</v>
      </c>
      <c r="N398" t="str">
        <f>IFERROR(VLOOKUP(TRIM(G398),Справочники!$P$3:$Q$7,2,0),"Нет в справочнике")</f>
        <v>шт.</v>
      </c>
      <c r="O398" t="str">
        <f t="shared" si="54"/>
        <v>ОК</v>
      </c>
      <c r="P398" t="str">
        <f t="shared" si="55"/>
        <v>Уникальный</v>
      </c>
    </row>
    <row r="399">
      <c r="A399" s="3" t="s">
        <v>1328</v>
      </c>
      <c r="B399" s="3" t="s">
        <v>1329</v>
      </c>
      <c r="C399" s="3" t="s">
        <v>157</v>
      </c>
      <c r="D399" s="3" t="s">
        <v>163</v>
      </c>
      <c r="E399" s="3" t="s">
        <v>1106</v>
      </c>
      <c r="F399" s="3" t="s">
        <v>366</v>
      </c>
      <c r="G399" s="3" t="s">
        <v>35</v>
      </c>
      <c r="H399" t="str">
        <f t="shared" si="49"/>
        <v>АРТ-398</v>
      </c>
      <c r="I399" t="str">
        <f t="shared" si="50"/>
        <v xml:space="preserve">Мышь Logitech G502 X</v>
      </c>
      <c r="J399" t="str">
        <f>IFERROR(VLOOKUP(TRIM(C399),Справочники!$A$3:$B$13,2,0),"Нет в справочнике")</f>
        <v>Аксессуары</v>
      </c>
      <c r="K399" t="str">
        <f t="shared" si="51"/>
        <v>Logitech</v>
      </c>
      <c r="L399" s="4">
        <f t="shared" si="52"/>
        <v>4000</v>
      </c>
      <c r="M399" s="4">
        <f t="shared" si="53"/>
        <v>7500</v>
      </c>
      <c r="N399" t="str">
        <f>IFERROR(VLOOKUP(TRIM(G399),Справочники!$P$3:$Q$7,2,0),"Нет в справочнике")</f>
        <v>шт.</v>
      </c>
      <c r="O399" t="str">
        <f t="shared" si="54"/>
        <v>ОК</v>
      </c>
      <c r="P399" t="str">
        <f t="shared" si="55"/>
        <v>Уникальный</v>
      </c>
    </row>
    <row r="400">
      <c r="A400" s="3" t="s">
        <v>1330</v>
      </c>
      <c r="B400" s="3" t="s">
        <v>1331</v>
      </c>
      <c r="C400" s="3" t="s">
        <v>157</v>
      </c>
      <c r="D400" s="3" t="s">
        <v>168</v>
      </c>
      <c r="E400" s="3" t="s">
        <v>678</v>
      </c>
      <c r="F400" s="3" t="s">
        <v>1110</v>
      </c>
      <c r="G400" s="3" t="s">
        <v>22</v>
      </c>
      <c r="H400" t="str">
        <f t="shared" si="49"/>
        <v>АРТ-399</v>
      </c>
      <c r="I400" t="str">
        <f t="shared" si="50"/>
        <v xml:space="preserve">Мышь Logitech G502 X</v>
      </c>
      <c r="J400" t="str">
        <f>IFERROR(VLOOKUP(TRIM(C400),Справочники!$A$3:$B$13,2,0),"Нет в справочнике")</f>
        <v>Аксессуары</v>
      </c>
      <c r="K400" t="str">
        <f t="shared" si="51"/>
        <v>Logitech</v>
      </c>
      <c r="L400" s="4">
        <f t="shared" si="52"/>
        <v>5000</v>
      </c>
      <c r="M400" s="4">
        <f t="shared" si="53"/>
        <v>8800</v>
      </c>
      <c r="N400" t="str">
        <f>IFERROR(VLOOKUP(TRIM(G400),Справочники!$P$3:$Q$7,2,0),"Нет в справочнике")</f>
        <v>шт.</v>
      </c>
      <c r="O400" t="str">
        <f t="shared" si="54"/>
        <v>ОК</v>
      </c>
      <c r="P400" t="str">
        <f t="shared" si="55"/>
        <v>Уникальный</v>
      </c>
    </row>
    <row r="401">
      <c r="A401" s="3" t="s">
        <v>1332</v>
      </c>
      <c r="B401" s="3" t="s">
        <v>1333</v>
      </c>
      <c r="C401" s="3" t="s">
        <v>18</v>
      </c>
      <c r="D401" s="3" t="s">
        <v>472</v>
      </c>
      <c r="E401" s="3" t="s">
        <v>338</v>
      </c>
      <c r="F401" s="3" t="s">
        <v>339</v>
      </c>
      <c r="G401" s="3" t="s">
        <v>42</v>
      </c>
      <c r="H401" t="str">
        <f t="shared" si="49"/>
        <v>АРТ-400</v>
      </c>
      <c r="I401" t="str">
        <f t="shared" si="50"/>
        <v xml:space="preserve">Смартфон Realme C55</v>
      </c>
      <c r="J401" t="str">
        <f>IFERROR(VLOOKUP(TRIM(C401),Справочники!$A$3:$B$13,2,0),"Нет в справочнике")</f>
        <v>Смартфоны</v>
      </c>
      <c r="K401" t="str">
        <f t="shared" si="51"/>
        <v>Realme</v>
      </c>
      <c r="L401" s="4">
        <f t="shared" si="52"/>
        <v>12000</v>
      </c>
      <c r="M401" s="4">
        <f t="shared" si="53"/>
        <v>19990</v>
      </c>
      <c r="N401" t="str">
        <f>IFERROR(VLOOKUP(TRIM(G401),Справочники!$P$3:$Q$7,2,0),"Нет в справочнике")</f>
        <v>шт.</v>
      </c>
      <c r="O401" t="str">
        <f t="shared" si="54"/>
        <v>ОК</v>
      </c>
      <c r="P401" t="str">
        <f t="shared" si="55"/>
        <v>Уникальный</v>
      </c>
    </row>
    <row r="402">
      <c r="A402" s="3" t="s">
        <v>1334</v>
      </c>
      <c r="B402" s="3" t="s">
        <v>1335</v>
      </c>
      <c r="C402" s="3" t="s">
        <v>25</v>
      </c>
      <c r="D402" s="3" t="s">
        <v>476</v>
      </c>
      <c r="E402" s="3" t="s">
        <v>990</v>
      </c>
      <c r="F402" s="3" t="s">
        <v>344</v>
      </c>
      <c r="G402" s="3" t="s">
        <v>28</v>
      </c>
      <c r="H402" t="str">
        <f t="shared" si="49"/>
        <v>АРТ-401</v>
      </c>
      <c r="I402" t="str">
        <f t="shared" si="50"/>
        <v xml:space="preserve">Смартфон Realme C55</v>
      </c>
      <c r="J402" t="str">
        <f>IFERROR(VLOOKUP(TRIM(C402),Справочники!$A$3:$B$13,2,0),"Нет в справочнике")</f>
        <v>Смартфоны</v>
      </c>
      <c r="K402" t="str">
        <f t="shared" si="51"/>
        <v>Realme</v>
      </c>
      <c r="L402" s="4">
        <f t="shared" si="52"/>
        <v>11000</v>
      </c>
      <c r="M402" s="4">
        <f t="shared" si="53"/>
        <v>19000</v>
      </c>
      <c r="N402" t="str">
        <f>IFERROR(VLOOKUP(TRIM(G402),Справочники!$P$3:$Q$7,2,0),"Нет в справочнике")</f>
        <v>шт.</v>
      </c>
      <c r="O402" t="str">
        <f t="shared" si="54"/>
        <v>ОК</v>
      </c>
      <c r="P402" t="str">
        <f t="shared" si="55"/>
        <v>Уникальный</v>
      </c>
    </row>
    <row r="403">
      <c r="A403" s="3" t="s">
        <v>1336</v>
      </c>
      <c r="B403" s="3" t="s">
        <v>1337</v>
      </c>
      <c r="C403" s="3" t="s">
        <v>31</v>
      </c>
      <c r="D403" s="3" t="s">
        <v>479</v>
      </c>
      <c r="E403" s="3" t="s">
        <v>743</v>
      </c>
      <c r="F403" s="3" t="s">
        <v>503</v>
      </c>
      <c r="G403" s="3" t="s">
        <v>22</v>
      </c>
      <c r="H403" t="str">
        <f t="shared" si="49"/>
        <v>АРТ-402</v>
      </c>
      <c r="I403" t="str">
        <f t="shared" si="50"/>
        <v xml:space="preserve">Смартфон Realme C55</v>
      </c>
      <c r="J403" t="str">
        <f>IFERROR(VLOOKUP(TRIM(C403),Справочники!$A$3:$B$13,2,0),"Нет в справочнике")</f>
        <v>Смартфоны</v>
      </c>
      <c r="K403" t="str">
        <f t="shared" si="51"/>
        <v>Realme</v>
      </c>
      <c r="L403" s="4">
        <f t="shared" si="52"/>
        <v>13000</v>
      </c>
      <c r="M403" s="4">
        <f t="shared" si="53"/>
        <v>21000</v>
      </c>
      <c r="N403" t="str">
        <f>IFERROR(VLOOKUP(TRIM(G403),Справочники!$P$3:$Q$7,2,0),"Нет в справочнике")</f>
        <v>шт.</v>
      </c>
      <c r="O403" t="str">
        <f t="shared" si="54"/>
        <v>ОК</v>
      </c>
      <c r="P403" t="str">
        <f t="shared" si="55"/>
        <v>Уникальный</v>
      </c>
    </row>
    <row r="404">
      <c r="A404" s="3" t="s">
        <v>1338</v>
      </c>
      <c r="B404" s="3" t="s">
        <v>1339</v>
      </c>
      <c r="C404" s="3" t="s">
        <v>69</v>
      </c>
      <c r="D404" s="3" t="s">
        <v>113</v>
      </c>
      <c r="E404" s="3" t="s">
        <v>338</v>
      </c>
      <c r="F404" s="3" t="s">
        <v>339</v>
      </c>
      <c r="G404" s="3" t="s">
        <v>42</v>
      </c>
      <c r="H404" t="str">
        <f t="shared" si="49"/>
        <v>АРТ-403</v>
      </c>
      <c r="I404" t="str">
        <f t="shared" si="50"/>
        <v xml:space="preserve">Планшет Lenovo Tab M10</v>
      </c>
      <c r="J404" t="str">
        <f>IFERROR(VLOOKUP(TRIM(C404),Справочники!$A$3:$B$13,2,0),"Нет в справочнике")</f>
        <v>Планшеты</v>
      </c>
      <c r="K404" t="str">
        <f t="shared" si="51"/>
        <v>Lenovo</v>
      </c>
      <c r="L404" s="4">
        <f t="shared" si="52"/>
        <v>12000</v>
      </c>
      <c r="M404" s="4">
        <f t="shared" si="53"/>
        <v>19990</v>
      </c>
      <c r="N404" t="str">
        <f>IFERROR(VLOOKUP(TRIM(G404),Справочники!$P$3:$Q$7,2,0),"Нет в справочнике")</f>
        <v>шт.</v>
      </c>
      <c r="O404" t="str">
        <f t="shared" si="54"/>
        <v>ОК</v>
      </c>
      <c r="P404" t="str">
        <f t="shared" si="55"/>
        <v>Уникальный</v>
      </c>
    </row>
    <row r="405">
      <c r="A405" s="3" t="s">
        <v>1340</v>
      </c>
      <c r="B405" s="3" t="s">
        <v>1341</v>
      </c>
      <c r="C405" s="3" t="s">
        <v>69</v>
      </c>
      <c r="D405" s="3" t="s">
        <v>118</v>
      </c>
      <c r="E405" s="3" t="s">
        <v>990</v>
      </c>
      <c r="F405" s="3" t="s">
        <v>344</v>
      </c>
      <c r="G405" s="3" t="s">
        <v>35</v>
      </c>
      <c r="H405" t="str">
        <f t="shared" si="49"/>
        <v>АРТ-404</v>
      </c>
      <c r="I405" t="str">
        <f t="shared" si="50"/>
        <v xml:space="preserve">Планшет Lenovo Tab M10</v>
      </c>
      <c r="J405" t="str">
        <f>IFERROR(VLOOKUP(TRIM(C405),Справочники!$A$3:$B$13,2,0),"Нет в справочнике")</f>
        <v>Планшеты</v>
      </c>
      <c r="K405" t="str">
        <f t="shared" si="51"/>
        <v>Lenovo</v>
      </c>
      <c r="L405" s="4">
        <f t="shared" si="52"/>
        <v>11000</v>
      </c>
      <c r="M405" s="4">
        <f t="shared" si="53"/>
        <v>19000</v>
      </c>
      <c r="N405" t="str">
        <f>IFERROR(VLOOKUP(TRIM(G405),Справочники!$P$3:$Q$7,2,0),"Нет в справочнике")</f>
        <v>шт.</v>
      </c>
      <c r="O405" t="str">
        <f t="shared" si="54"/>
        <v>ОК</v>
      </c>
      <c r="P405" t="str">
        <f t="shared" si="55"/>
        <v>Уникальный</v>
      </c>
    </row>
    <row r="406">
      <c r="A406" s="3" t="s">
        <v>1342</v>
      </c>
      <c r="B406" s="3" t="s">
        <v>1343</v>
      </c>
      <c r="C406" s="3" t="s">
        <v>69</v>
      </c>
      <c r="D406" s="3" t="s">
        <v>123</v>
      </c>
      <c r="E406" s="3" t="s">
        <v>743</v>
      </c>
      <c r="F406" s="3" t="s">
        <v>503</v>
      </c>
      <c r="G406" s="3" t="s">
        <v>22</v>
      </c>
      <c r="H406" t="str">
        <f t="shared" si="49"/>
        <v>АРТ-405</v>
      </c>
      <c r="I406" t="str">
        <f t="shared" si="50"/>
        <v xml:space="preserve">Планшет Lenovo Tab M10</v>
      </c>
      <c r="J406" t="str">
        <f>IFERROR(VLOOKUP(TRIM(C406),Справочники!$A$3:$B$13,2,0),"Нет в справочнике")</f>
        <v>Планшеты</v>
      </c>
      <c r="K406" t="str">
        <f t="shared" si="51"/>
        <v>Lenovo</v>
      </c>
      <c r="L406" s="4">
        <f t="shared" si="52"/>
        <v>13000</v>
      </c>
      <c r="M406" s="4">
        <f t="shared" si="53"/>
        <v>21000</v>
      </c>
      <c r="N406" t="str">
        <f>IFERROR(VLOOKUP(TRIM(G406),Справочники!$P$3:$Q$7,2,0),"Нет в справочнике")</f>
        <v>шт.</v>
      </c>
      <c r="O406" t="str">
        <f t="shared" si="54"/>
        <v>ОК</v>
      </c>
      <c r="P406" t="str">
        <f t="shared" si="55"/>
        <v>Уникальный</v>
      </c>
    </row>
    <row r="407">
      <c r="A407" s="3" t="s">
        <v>1344</v>
      </c>
      <c r="B407" s="3" t="s">
        <v>1345</v>
      </c>
      <c r="C407" s="3" t="s">
        <v>83</v>
      </c>
      <c r="D407" s="3" t="s">
        <v>84</v>
      </c>
      <c r="E407" s="3" t="s">
        <v>265</v>
      </c>
      <c r="F407" s="3" t="s">
        <v>718</v>
      </c>
      <c r="G407" s="3" t="s">
        <v>42</v>
      </c>
      <c r="H407" t="str">
        <f t="shared" si="49"/>
        <v>АРТ-406</v>
      </c>
      <c r="I407" t="str">
        <f t="shared" si="50"/>
        <v xml:space="preserve">Телевизор Lg Nanocell 75</v>
      </c>
      <c r="J407" t="str">
        <f>IFERROR(VLOOKUP(TRIM(C407),Справочники!$A$3:$B$13,2,0),"Нет в справочнике")</f>
        <v>Телевизоры</v>
      </c>
      <c r="K407" t="str">
        <f t="shared" si="51"/>
        <v>LG</v>
      </c>
      <c r="L407" s="4">
        <f t="shared" si="52"/>
        <v>68000</v>
      </c>
      <c r="M407" s="4">
        <f t="shared" si="53"/>
        <v>104990</v>
      </c>
      <c r="N407" t="str">
        <f>IFERROR(VLOOKUP(TRIM(G407),Справочники!$P$3:$Q$7,2,0),"Нет в справочнике")</f>
        <v>шт.</v>
      </c>
      <c r="O407" t="str">
        <f t="shared" si="54"/>
        <v>ОК</v>
      </c>
      <c r="P407" t="str">
        <f t="shared" si="55"/>
        <v>Уникальный</v>
      </c>
    </row>
    <row r="408">
      <c r="A408" s="3" t="s">
        <v>1346</v>
      </c>
      <c r="B408" s="3" t="s">
        <v>1347</v>
      </c>
      <c r="C408" s="3" t="s">
        <v>83</v>
      </c>
      <c r="D408" s="3" t="s">
        <v>89</v>
      </c>
      <c r="E408" s="3" t="s">
        <v>289</v>
      </c>
      <c r="F408" s="3" t="s">
        <v>650</v>
      </c>
      <c r="G408" s="3" t="s">
        <v>28</v>
      </c>
      <c r="H408" t="str">
        <f t="shared" si="49"/>
        <v>АРТ-407</v>
      </c>
      <c r="I408" t="str">
        <f t="shared" si="50"/>
        <v xml:space="preserve">Телевизор Lg Nanocell 75</v>
      </c>
      <c r="J408" t="str">
        <f>IFERROR(VLOOKUP(TRIM(C408),Справочники!$A$3:$B$13,2,0),"Нет в справочнике")</f>
        <v>Телевизоры</v>
      </c>
      <c r="K408" t="str">
        <f t="shared" si="51"/>
        <v>LG</v>
      </c>
      <c r="L408" s="4">
        <f t="shared" si="52"/>
        <v>66000</v>
      </c>
      <c r="M408" s="4">
        <f t="shared" si="53"/>
        <v>102000</v>
      </c>
      <c r="N408" t="str">
        <f>IFERROR(VLOOKUP(TRIM(G408),Справочники!$P$3:$Q$7,2,0),"Нет в справочнике")</f>
        <v>шт.</v>
      </c>
      <c r="O408" t="str">
        <f t="shared" si="54"/>
        <v>ОК</v>
      </c>
      <c r="P408" t="str">
        <f t="shared" si="55"/>
        <v>Уникальный</v>
      </c>
    </row>
    <row r="409">
      <c r="A409" s="3" t="s">
        <v>1348</v>
      </c>
      <c r="B409" s="3" t="s">
        <v>1349</v>
      </c>
      <c r="C409" s="3" t="s">
        <v>83</v>
      </c>
      <c r="D409" s="3" t="s">
        <v>84</v>
      </c>
      <c r="E409" s="3" t="s">
        <v>293</v>
      </c>
      <c r="F409" s="3" t="s">
        <v>407</v>
      </c>
      <c r="G409" s="3" t="s">
        <v>22</v>
      </c>
      <c r="H409" t="str">
        <f t="shared" si="49"/>
        <v>АРТ-408</v>
      </c>
      <c r="I409" t="str">
        <f t="shared" si="50"/>
        <v xml:space="preserve">Телевизор Lg Nanocell 75</v>
      </c>
      <c r="J409" t="str">
        <f>IFERROR(VLOOKUP(TRIM(C409),Справочники!$A$3:$B$13,2,0),"Нет в справочнике")</f>
        <v>Телевизоры</v>
      </c>
      <c r="K409" t="str">
        <f t="shared" si="51"/>
        <v>LG</v>
      </c>
      <c r="L409" s="4">
        <f t="shared" si="52"/>
        <v>69500</v>
      </c>
      <c r="M409" s="4">
        <f t="shared" si="53"/>
        <v>107500</v>
      </c>
      <c r="N409" t="str">
        <f>IFERROR(VLOOKUP(TRIM(G409),Справочники!$P$3:$Q$7,2,0),"Нет в справочнике")</f>
        <v>шт.</v>
      </c>
      <c r="O409" t="str">
        <f t="shared" si="54"/>
        <v>ОК</v>
      </c>
      <c r="P409" t="str">
        <f t="shared" si="55"/>
        <v>Уникальный</v>
      </c>
    </row>
    <row r="410">
      <c r="A410" s="3" t="s">
        <v>1350</v>
      </c>
      <c r="B410" s="3" t="s">
        <v>1351</v>
      </c>
      <c r="C410" s="3" t="s">
        <v>98</v>
      </c>
      <c r="D410" s="3" t="s">
        <v>497</v>
      </c>
      <c r="E410" s="3" t="s">
        <v>391</v>
      </c>
      <c r="F410" s="3" t="s">
        <v>392</v>
      </c>
      <c r="G410" s="3" t="s">
        <v>42</v>
      </c>
      <c r="H410" t="str">
        <f t="shared" si="49"/>
        <v>АРТ-409</v>
      </c>
      <c r="I410" t="str">
        <f t="shared" si="50"/>
        <v xml:space="preserve">Наушники Sennheiser Momentum 4</v>
      </c>
      <c r="J410" t="str">
        <f>IFERROR(VLOOKUP(TRIM(C410),Справочники!$A$3:$B$13,2,0),"Нет в справочнике")</f>
        <v>Наушники</v>
      </c>
      <c r="K410" t="str">
        <f t="shared" si="51"/>
        <v>Sennheiser</v>
      </c>
      <c r="L410" s="4">
        <f t="shared" si="52"/>
        <v>25000</v>
      </c>
      <c r="M410" s="4">
        <f t="shared" si="53"/>
        <v>39990</v>
      </c>
      <c r="N410" t="str">
        <f>IFERROR(VLOOKUP(TRIM(G410),Справочники!$P$3:$Q$7,2,0),"Нет в справочнике")</f>
        <v>шт.</v>
      </c>
      <c r="O410" t="str">
        <f t="shared" si="54"/>
        <v>ОК</v>
      </c>
      <c r="P410" t="str">
        <f t="shared" si="55"/>
        <v>Уникальный</v>
      </c>
    </row>
    <row r="411">
      <c r="A411" s="3" t="s">
        <v>1352</v>
      </c>
      <c r="B411" s="3" t="s">
        <v>1353</v>
      </c>
      <c r="C411" s="3" t="s">
        <v>98</v>
      </c>
      <c r="D411" s="3" t="s">
        <v>502</v>
      </c>
      <c r="E411" s="3" t="s">
        <v>395</v>
      </c>
      <c r="F411" s="3" t="s">
        <v>396</v>
      </c>
      <c r="G411" s="3" t="s">
        <v>35</v>
      </c>
      <c r="H411" t="str">
        <f t="shared" si="49"/>
        <v>АРТ-410</v>
      </c>
      <c r="I411" t="str">
        <f t="shared" si="50"/>
        <v xml:space="preserve">Наушники Sennheiser Momentum 4</v>
      </c>
      <c r="J411" t="str">
        <f>IFERROR(VLOOKUP(TRIM(C411),Справочники!$A$3:$B$13,2,0),"Нет в справочнике")</f>
        <v>Наушники</v>
      </c>
      <c r="K411" t="str">
        <f t="shared" si="51"/>
        <v>Sennheiser</v>
      </c>
      <c r="L411" s="4">
        <f t="shared" si="52"/>
        <v>24000</v>
      </c>
      <c r="M411" s="4">
        <f t="shared" si="53"/>
        <v>38500</v>
      </c>
      <c r="N411" t="str">
        <f>IFERROR(VLOOKUP(TRIM(G411),Справочники!$P$3:$Q$7,2,0),"Нет в справочнике")</f>
        <v>шт.</v>
      </c>
      <c r="O411" t="str">
        <f t="shared" si="54"/>
        <v>ОК</v>
      </c>
      <c r="P411" t="str">
        <f t="shared" si="55"/>
        <v>Уникальный</v>
      </c>
    </row>
    <row r="412">
      <c r="A412" s="3" t="s">
        <v>1354</v>
      </c>
      <c r="B412" s="3" t="s">
        <v>1355</v>
      </c>
      <c r="C412" s="3" t="s">
        <v>98</v>
      </c>
      <c r="D412" s="3" t="s">
        <v>507</v>
      </c>
      <c r="E412" s="3" t="s">
        <v>399</v>
      </c>
      <c r="F412" s="3" t="s">
        <v>572</v>
      </c>
      <c r="G412" s="3" t="s">
        <v>22</v>
      </c>
      <c r="H412" t="str">
        <f t="shared" si="49"/>
        <v>АРТ-411</v>
      </c>
      <c r="I412" t="str">
        <f t="shared" si="50"/>
        <v xml:space="preserve">Наушники Sennheiser Momentum 4</v>
      </c>
      <c r="J412" t="str">
        <f>IFERROR(VLOOKUP(TRIM(C412),Справочники!$A$3:$B$13,2,0),"Нет в справочнике")</f>
        <v>Наушники</v>
      </c>
      <c r="K412" t="str">
        <f t="shared" si="51"/>
        <v>Sennheiser</v>
      </c>
      <c r="L412" s="4">
        <f t="shared" si="52"/>
        <v>26000</v>
      </c>
      <c r="M412" s="4">
        <f t="shared" si="53"/>
        <v>41500</v>
      </c>
      <c r="N412" t="str">
        <f>IFERROR(VLOOKUP(TRIM(G412),Справочники!$P$3:$Q$7,2,0),"Нет в справочнике")</f>
        <v>шт.</v>
      </c>
      <c r="O412" t="str">
        <f t="shared" si="54"/>
        <v>ОК</v>
      </c>
      <c r="P412" t="str">
        <f t="shared" si="55"/>
        <v>Уникальный</v>
      </c>
    </row>
    <row r="413">
      <c r="A413" s="3" t="s">
        <v>1356</v>
      </c>
      <c r="B413" s="3" t="s">
        <v>1357</v>
      </c>
      <c r="C413" s="3" t="s">
        <v>143</v>
      </c>
      <c r="D413" s="3" t="s">
        <v>511</v>
      </c>
      <c r="E413" s="3" t="s">
        <v>129</v>
      </c>
      <c r="F413" s="3" t="s">
        <v>879</v>
      </c>
      <c r="G413" s="3" t="s">
        <v>42</v>
      </c>
      <c r="H413" t="str">
        <f t="shared" si="49"/>
        <v>АРТ-412</v>
      </c>
      <c r="I413" t="str">
        <f t="shared" si="50"/>
        <v xml:space="preserve">Монитор Viewsonic Vp2458</v>
      </c>
      <c r="J413" t="str">
        <f>IFERROR(VLOOKUP(TRIM(C413),Справочники!$A$3:$B$13,2,0),"Нет в справочнике")</f>
        <v>Мониторы</v>
      </c>
      <c r="K413" t="str">
        <f t="shared" si="51"/>
        <v>Viewsonic</v>
      </c>
      <c r="L413" s="4">
        <f t="shared" si="52"/>
        <v>35000</v>
      </c>
      <c r="M413" s="4">
        <f t="shared" si="53"/>
        <v>54990</v>
      </c>
      <c r="N413" t="str">
        <f>IFERROR(VLOOKUP(TRIM(G413),Справочники!$P$3:$Q$7,2,0),"Нет в справочнике")</f>
        <v>шт.</v>
      </c>
      <c r="O413" t="str">
        <f t="shared" si="54"/>
        <v>ОК</v>
      </c>
      <c r="P413" t="str">
        <f t="shared" si="55"/>
        <v>Уникальный</v>
      </c>
    </row>
    <row r="414">
      <c r="A414" s="3" t="s">
        <v>1358</v>
      </c>
      <c r="B414" s="3" t="s">
        <v>1359</v>
      </c>
      <c r="C414" s="3" t="s">
        <v>143</v>
      </c>
      <c r="D414" s="3" t="s">
        <v>516</v>
      </c>
      <c r="E414" s="3" t="s">
        <v>504</v>
      </c>
      <c r="F414" s="3" t="s">
        <v>802</v>
      </c>
      <c r="G414" s="3" t="s">
        <v>28</v>
      </c>
      <c r="H414" t="str">
        <f t="shared" si="49"/>
        <v>АРТ-413</v>
      </c>
      <c r="I414" t="str">
        <f t="shared" si="50"/>
        <v xml:space="preserve">Монитор Viewsonic Vp2458</v>
      </c>
      <c r="J414" t="str">
        <f>IFERROR(VLOOKUP(TRIM(C414),Справочники!$A$3:$B$13,2,0),"Нет в справочнике")</f>
        <v>Мониторы</v>
      </c>
      <c r="K414" t="str">
        <f t="shared" si="51"/>
        <v>Viewsonic</v>
      </c>
      <c r="L414" s="4">
        <f t="shared" si="52"/>
        <v>33500</v>
      </c>
      <c r="M414" s="4">
        <f t="shared" si="53"/>
        <v>52500</v>
      </c>
      <c r="N414" t="str">
        <f>IFERROR(VLOOKUP(TRIM(G414),Справочники!$P$3:$Q$7,2,0),"Нет в справочнике")</f>
        <v>шт.</v>
      </c>
      <c r="O414" t="str">
        <f t="shared" si="54"/>
        <v>ОК</v>
      </c>
      <c r="P414" t="str">
        <f t="shared" si="55"/>
        <v>Уникальный</v>
      </c>
    </row>
    <row r="415">
      <c r="A415" s="3" t="s">
        <v>1360</v>
      </c>
      <c r="B415" s="3" t="s">
        <v>1361</v>
      </c>
      <c r="C415" s="3" t="s">
        <v>143</v>
      </c>
      <c r="D415" s="3" t="s">
        <v>520</v>
      </c>
      <c r="E415" s="3" t="s">
        <v>884</v>
      </c>
      <c r="F415" s="3" t="s">
        <v>885</v>
      </c>
      <c r="G415" s="3" t="s">
        <v>22</v>
      </c>
      <c r="H415" t="str">
        <f t="shared" si="49"/>
        <v>АРТ-414</v>
      </c>
      <c r="I415" t="str">
        <f t="shared" si="50"/>
        <v xml:space="preserve">Монитор Viewsonic Vp2458</v>
      </c>
      <c r="J415" t="str">
        <f>IFERROR(VLOOKUP(TRIM(C415),Справочники!$A$3:$B$13,2,0),"Нет в справочнике")</f>
        <v>Мониторы</v>
      </c>
      <c r="K415" t="str">
        <f t="shared" si="51"/>
        <v>Viewsonic</v>
      </c>
      <c r="L415" s="4">
        <f t="shared" si="52"/>
        <v>36500</v>
      </c>
      <c r="M415" s="4">
        <f t="shared" si="53"/>
        <v>57000</v>
      </c>
      <c r="N415" t="str">
        <f>IFERROR(VLOOKUP(TRIM(G415),Справочники!$P$3:$Q$7,2,0),"Нет в справочнике")</f>
        <v>шт.</v>
      </c>
      <c r="O415" t="str">
        <f t="shared" si="54"/>
        <v>ОК</v>
      </c>
      <c r="P415" t="str">
        <f t="shared" si="55"/>
        <v>Уникальный</v>
      </c>
    </row>
    <row r="416">
      <c r="A416" s="3" t="s">
        <v>1362</v>
      </c>
      <c r="B416" s="3" t="s">
        <v>1363</v>
      </c>
      <c r="C416" s="3" t="s">
        <v>157</v>
      </c>
      <c r="D416" s="3" t="s">
        <v>834</v>
      </c>
      <c r="E416" s="3" t="s">
        <v>1275</v>
      </c>
      <c r="F416" s="3" t="s">
        <v>1364</v>
      </c>
      <c r="G416" s="3" t="s">
        <v>42</v>
      </c>
      <c r="H416" t="str">
        <f t="shared" si="49"/>
        <v>АРТ-415</v>
      </c>
      <c r="I416" t="str">
        <f t="shared" si="50"/>
        <v xml:space="preserve">Клавиатура Corsair K100 Rgb</v>
      </c>
      <c r="J416" t="str">
        <f>IFERROR(VLOOKUP(TRIM(C416),Справочники!$A$3:$B$13,2,0),"Нет в справочнике")</f>
        <v>Аксессуары</v>
      </c>
      <c r="K416" t="str">
        <f t="shared" si="51"/>
        <v>Corsair</v>
      </c>
      <c r="L416" s="4">
        <f t="shared" si="52"/>
        <v>9000</v>
      </c>
      <c r="M416" s="4">
        <f t="shared" si="53"/>
        <v>14990</v>
      </c>
      <c r="N416" t="str">
        <f>IFERROR(VLOOKUP(TRIM(G416),Справочники!$P$3:$Q$7,2,0),"Нет в справочнике")</f>
        <v>шт.</v>
      </c>
      <c r="O416" t="str">
        <f t="shared" si="54"/>
        <v>ОК</v>
      </c>
      <c r="P416" t="str">
        <f t="shared" si="55"/>
        <v>Уникальный</v>
      </c>
    </row>
    <row r="417">
      <c r="A417" s="3" t="s">
        <v>1365</v>
      </c>
      <c r="B417" s="3" t="s">
        <v>1366</v>
      </c>
      <c r="C417" s="3" t="s">
        <v>157</v>
      </c>
      <c r="D417" s="3" t="s">
        <v>837</v>
      </c>
      <c r="E417" s="3" t="s">
        <v>178</v>
      </c>
      <c r="F417" s="3" t="s">
        <v>591</v>
      </c>
      <c r="G417" s="3" t="s">
        <v>35</v>
      </c>
      <c r="H417" t="str">
        <f t="shared" si="49"/>
        <v>АРТ-416</v>
      </c>
      <c r="I417" t="str">
        <f t="shared" si="50"/>
        <v xml:space="preserve">Клавиатура Corsair K100 Rgb</v>
      </c>
      <c r="J417" t="str">
        <f>IFERROR(VLOOKUP(TRIM(C417),Справочники!$A$3:$B$13,2,0),"Нет в справочнике")</f>
        <v>Аксессуары</v>
      </c>
      <c r="K417" t="str">
        <f t="shared" si="51"/>
        <v>Corsair</v>
      </c>
      <c r="L417" s="4">
        <f t="shared" si="52"/>
        <v>8500</v>
      </c>
      <c r="M417" s="4">
        <f t="shared" si="53"/>
        <v>14000</v>
      </c>
      <c r="N417" t="str">
        <f>IFERROR(VLOOKUP(TRIM(G417),Справочники!$P$3:$Q$7,2,0),"Нет в справочнике")</f>
        <v>шт.</v>
      </c>
      <c r="O417" t="str">
        <f t="shared" si="54"/>
        <v>ОК</v>
      </c>
      <c r="P417" t="str">
        <f t="shared" si="55"/>
        <v>Уникальный</v>
      </c>
    </row>
    <row r="418">
      <c r="A418" s="3" t="s">
        <v>1367</v>
      </c>
      <c r="B418" s="3" t="s">
        <v>1368</v>
      </c>
      <c r="C418" s="3" t="s">
        <v>157</v>
      </c>
      <c r="D418" s="3" t="s">
        <v>840</v>
      </c>
      <c r="E418" s="3" t="s">
        <v>165</v>
      </c>
      <c r="F418" s="3" t="s">
        <v>244</v>
      </c>
      <c r="G418" s="3" t="s">
        <v>22</v>
      </c>
      <c r="H418" t="str">
        <f t="shared" si="49"/>
        <v>АРТ-417</v>
      </c>
      <c r="I418" t="str">
        <f t="shared" si="50"/>
        <v xml:space="preserve">Клавиатура Corsair K100 Rgb</v>
      </c>
      <c r="J418" t="str">
        <f>IFERROR(VLOOKUP(TRIM(C418),Справочники!$A$3:$B$13,2,0),"Нет в справочнике")</f>
        <v>Аксессуары</v>
      </c>
      <c r="K418" t="str">
        <f t="shared" si="51"/>
        <v>Corsair</v>
      </c>
      <c r="L418" s="4">
        <f t="shared" si="52"/>
        <v>9500</v>
      </c>
      <c r="M418" s="4">
        <f t="shared" si="53"/>
        <v>15800</v>
      </c>
      <c r="N418" t="str">
        <f>IFERROR(VLOOKUP(TRIM(G418),Справочники!$P$3:$Q$7,2,0),"Нет в справочнике")</f>
        <v>шт.</v>
      </c>
      <c r="O418" t="str">
        <f t="shared" si="54"/>
        <v>ОК</v>
      </c>
      <c r="P418" t="str">
        <f t="shared" si="55"/>
        <v>Уникальный</v>
      </c>
    </row>
    <row r="419">
      <c r="A419" s="3" t="s">
        <v>1369</v>
      </c>
      <c r="B419" s="3" t="s">
        <v>1370</v>
      </c>
      <c r="C419" s="3" t="s">
        <v>199</v>
      </c>
      <c r="D419" s="3" t="s">
        <v>1371</v>
      </c>
      <c r="E419" s="3" t="s">
        <v>100</v>
      </c>
      <c r="F419" s="3" t="s">
        <v>688</v>
      </c>
      <c r="G419" s="3" t="s">
        <v>42</v>
      </c>
      <c r="H419" t="str">
        <f t="shared" si="49"/>
        <v>АРТ-418</v>
      </c>
      <c r="I419" t="str">
        <f t="shared" si="50"/>
        <v xml:space="preserve">Смарт-Часы Amazfit T-Rex 2</v>
      </c>
      <c r="J419" t="str">
        <f>IFERROR(VLOOKUP(TRIM(C419),Справочники!$A$3:$B$13,2,0),"Нет в справочнике")</f>
        <v>Часы</v>
      </c>
      <c r="K419" t="str">
        <f t="shared" si="51"/>
        <v>Amazfit</v>
      </c>
      <c r="L419" s="4">
        <f t="shared" si="52"/>
        <v>18000</v>
      </c>
      <c r="M419" s="4">
        <f t="shared" si="53"/>
        <v>29990</v>
      </c>
      <c r="N419" t="str">
        <f>IFERROR(VLOOKUP(TRIM(G419),Справочники!$P$3:$Q$7,2,0),"Нет в справочнике")</f>
        <v>шт.</v>
      </c>
      <c r="O419" t="str">
        <f t="shared" si="54"/>
        <v>ОК</v>
      </c>
      <c r="P419" t="str">
        <f t="shared" si="55"/>
        <v>Уникальный</v>
      </c>
    </row>
    <row r="420">
      <c r="A420" s="3" t="s">
        <v>1372</v>
      </c>
      <c r="B420" s="3" t="s">
        <v>1373</v>
      </c>
      <c r="C420" s="3" t="s">
        <v>199</v>
      </c>
      <c r="D420" s="3" t="s">
        <v>1374</v>
      </c>
      <c r="E420" s="3" t="s">
        <v>691</v>
      </c>
      <c r="F420" s="3" t="s">
        <v>692</v>
      </c>
      <c r="G420" s="3" t="s">
        <v>28</v>
      </c>
      <c r="H420" t="str">
        <f t="shared" ref="H420:H483" si="56">"АРТ-"&amp;TEXT(VALUE(LEFT(SUBSTITUTE(SUBSTITUTE(SUBSTITUTE(SUBSTITUTE(TRIM(A420),"№",""),"АРТ-",""),"АРТ_",""),"АРТ",""),3)),"000")</f>
        <v>АРТ-419</v>
      </c>
      <c r="I420" t="str">
        <f t="shared" ref="I420:I483" si="57">PROPER(TRIM(IFERROR(LEFT(B420,FIND("(",B420)-1),B420)))</f>
        <v xml:space="preserve">Смарт-Часы Amazfit T-Rex 2</v>
      </c>
      <c r="J420" t="str">
        <f>IFERROR(VLOOKUP(TRIM(C420),Справочники!$A$3:$B$13,2,0),"Нет в справочнике")</f>
        <v>Часы</v>
      </c>
      <c r="K420" t="str">
        <f t="shared" ref="K420:K483" si="58">IF(LEN(TRIM(D420))&lt;=3,UPPER(TRIM(D420)),PROPER(TRIM(D420)))</f>
        <v>Amazfit</v>
      </c>
      <c r="L420" s="4">
        <f t="shared" ref="L420:L483" si="59">ROUND(VALUE(SUBSTITUTE(SUBSTITUTE(SUBSTITUTE(SUBSTITUTE(SUBSTITUTE(TRIM(E420)," ",""),"руб.",""),"₽",""),",",""),".",""))/IF(OR(ISNUMBER(FIND(",",SUBSTITUTE(SUBSTITUTE(SUBSTITUTE(TRIM(E420)," ",""),"руб.",""),"₽",""))),ISNUMBER(FIND(".",SUBSTITUTE(SUBSTITUTE(SUBSTITUTE(TRIM(E420)," ",""),"руб.",""),"₽","")))),100,1),2)</f>
        <v>17000</v>
      </c>
      <c r="M420" s="4">
        <f t="shared" ref="M420:M483" si="60">ROUND(VALUE(SUBSTITUTE(SUBSTITUTE(SUBSTITUTE(SUBSTITUTE(SUBSTITUTE(TRIM(F420)," ",""),"руб.",""),"₽",""),",",""),".",""))/IF(OR(ISNUMBER(FIND(",",SUBSTITUTE(SUBSTITUTE(SUBSTITUTE(TRIM(F420)," ",""),"руб.",""),"₽",""))),ISNUMBER(FIND(".",SUBSTITUTE(SUBSTITUTE(SUBSTITUTE(TRIM(F420)," ",""),"руб.",""),"₽","")))),100,1),2)</f>
        <v>28500</v>
      </c>
      <c r="N420" t="str">
        <f>IFERROR(VLOOKUP(TRIM(G420),Справочники!$P$3:$Q$7,2,0),"Нет в справочнике")</f>
        <v>шт.</v>
      </c>
      <c r="O420" t="str">
        <f t="shared" ref="O420:O483" si="61">IF(M420&gt;=L420,"ОК","Розница ниже закупки")</f>
        <v>ОК</v>
      </c>
      <c r="P420" t="str">
        <f t="shared" ref="P420:P483" si="62">IF(COUNTIF($H$2:$H$502,H420)&gt;1,"Повтор артикула","Уникальный")</f>
        <v>Уникальный</v>
      </c>
    </row>
    <row r="421">
      <c r="A421" s="3" t="s">
        <v>1375</v>
      </c>
      <c r="B421" s="3" t="s">
        <v>1376</v>
      </c>
      <c r="C421" s="3" t="s">
        <v>199</v>
      </c>
      <c r="D421" s="3" t="s">
        <v>1377</v>
      </c>
      <c r="E421" s="3" t="s">
        <v>344</v>
      </c>
      <c r="F421" s="3" t="s">
        <v>254</v>
      </c>
      <c r="G421" s="3" t="s">
        <v>22</v>
      </c>
      <c r="H421" t="str">
        <f t="shared" si="56"/>
        <v>АРТ-420</v>
      </c>
      <c r="I421" t="str">
        <f t="shared" si="57"/>
        <v xml:space="preserve">Смарт-Часы Amazfit T-Rex 2</v>
      </c>
      <c r="J421" t="str">
        <f>IFERROR(VLOOKUP(TRIM(C421),Справочники!$A$3:$B$13,2,0),"Нет в справочнике")</f>
        <v>Часы</v>
      </c>
      <c r="K421" t="str">
        <f t="shared" si="58"/>
        <v>Amazfit</v>
      </c>
      <c r="L421" s="4">
        <f t="shared" si="59"/>
        <v>19000</v>
      </c>
      <c r="M421" s="4">
        <f t="shared" si="60"/>
        <v>31500</v>
      </c>
      <c r="N421" t="str">
        <f>IFERROR(VLOOKUP(TRIM(G421),Справочники!$P$3:$Q$7,2,0),"Нет в справочнике")</f>
        <v>шт.</v>
      </c>
      <c r="O421" t="str">
        <f t="shared" si="61"/>
        <v>ОК</v>
      </c>
      <c r="P421" t="str">
        <f t="shared" si="62"/>
        <v>Уникальный</v>
      </c>
    </row>
    <row r="422">
      <c r="A422" s="3" t="s">
        <v>1378</v>
      </c>
      <c r="B422" s="3" t="s">
        <v>1379</v>
      </c>
      <c r="C422" s="3" t="s">
        <v>38</v>
      </c>
      <c r="D422" s="3" t="s">
        <v>352</v>
      </c>
      <c r="E422" s="3" t="s">
        <v>297</v>
      </c>
      <c r="F422" s="3" t="s">
        <v>578</v>
      </c>
      <c r="G422" s="3" t="s">
        <v>42</v>
      </c>
      <c r="H422" t="str">
        <f t="shared" si="56"/>
        <v>АРТ-421</v>
      </c>
      <c r="I422" t="str">
        <f t="shared" si="57"/>
        <v xml:space="preserve">Ноутбук Acer Predator Helios 300</v>
      </c>
      <c r="J422" t="str">
        <f>IFERROR(VLOOKUP(TRIM(C422),Справочники!$A$3:$B$13,2,0),"Нет в справочнике")</f>
        <v>Ноутбуки</v>
      </c>
      <c r="K422" t="str">
        <f t="shared" si="58"/>
        <v>Acer</v>
      </c>
      <c r="L422" s="4">
        <f t="shared" si="59"/>
        <v>82000</v>
      </c>
      <c r="M422" s="4">
        <f t="shared" si="60"/>
        <v>126990</v>
      </c>
      <c r="N422" t="str">
        <f>IFERROR(VLOOKUP(TRIM(G422),Справочники!$P$3:$Q$7,2,0),"Нет в справочнике")</f>
        <v>шт.</v>
      </c>
      <c r="O422" t="str">
        <f t="shared" si="61"/>
        <v>ОК</v>
      </c>
      <c r="P422" t="str">
        <f t="shared" si="62"/>
        <v>Уникальный</v>
      </c>
    </row>
    <row r="423">
      <c r="A423" s="3" t="s">
        <v>1380</v>
      </c>
      <c r="B423" s="3" t="s">
        <v>1381</v>
      </c>
      <c r="C423" s="3" t="s">
        <v>45</v>
      </c>
      <c r="D423" s="3" t="s">
        <v>357</v>
      </c>
      <c r="E423" s="3" t="s">
        <v>582</v>
      </c>
      <c r="F423" s="3" t="s">
        <v>583</v>
      </c>
      <c r="G423" s="3" t="s">
        <v>35</v>
      </c>
      <c r="H423" t="str">
        <f t="shared" si="56"/>
        <v>АРТ-422</v>
      </c>
      <c r="I423" t="str">
        <f t="shared" si="57"/>
        <v xml:space="preserve">Ноутбук Acer Predator Helios 300</v>
      </c>
      <c r="J423" t="str">
        <f>IFERROR(VLOOKUP(TRIM(C423),Справочники!$A$3:$B$13,2,0),"Нет в справочнике")</f>
        <v>Ноутбуки</v>
      </c>
      <c r="K423" t="str">
        <f t="shared" si="58"/>
        <v>Acer</v>
      </c>
      <c r="L423" s="4">
        <f t="shared" si="59"/>
        <v>80000</v>
      </c>
      <c r="M423" s="4">
        <f t="shared" si="60"/>
        <v>124000</v>
      </c>
      <c r="N423" t="str">
        <f>IFERROR(VLOOKUP(TRIM(G423),Справочники!$P$3:$Q$7,2,0),"Нет в справочнике")</f>
        <v>шт.</v>
      </c>
      <c r="O423" t="str">
        <f t="shared" si="61"/>
        <v>ОК</v>
      </c>
      <c r="P423" t="str">
        <f t="shared" si="62"/>
        <v>Уникальный</v>
      </c>
    </row>
    <row r="424">
      <c r="A424" s="3" t="s">
        <v>1382</v>
      </c>
      <c r="B424" s="3" t="s">
        <v>1383</v>
      </c>
      <c r="C424" s="3" t="s">
        <v>38</v>
      </c>
      <c r="D424" s="3" t="s">
        <v>362</v>
      </c>
      <c r="E424" s="3" t="s">
        <v>306</v>
      </c>
      <c r="F424" s="3" t="s">
        <v>587</v>
      </c>
      <c r="G424" s="3" t="s">
        <v>22</v>
      </c>
      <c r="H424" t="str">
        <f t="shared" si="56"/>
        <v>АРТ-423</v>
      </c>
      <c r="I424" t="str">
        <f t="shared" si="57"/>
        <v xml:space="preserve">Ноутбук Acer Predator Helios 300</v>
      </c>
      <c r="J424" t="str">
        <f>IFERROR(VLOOKUP(TRIM(C424),Справочники!$A$3:$B$13,2,0),"Нет в справочнике")</f>
        <v>Ноутбуки</v>
      </c>
      <c r="K424" t="str">
        <f t="shared" si="58"/>
        <v>Acer</v>
      </c>
      <c r="L424" s="4">
        <f t="shared" si="59"/>
        <v>83500</v>
      </c>
      <c r="M424" s="4">
        <f t="shared" si="60"/>
        <v>129500</v>
      </c>
      <c r="N424" t="str">
        <f>IFERROR(VLOOKUP(TRIM(G424),Справочники!$P$3:$Q$7,2,0),"Нет в справочнике")</f>
        <v>шт.</v>
      </c>
      <c r="O424" t="str">
        <f t="shared" si="61"/>
        <v>ОК</v>
      </c>
      <c r="P424" t="str">
        <f t="shared" si="62"/>
        <v>Уникальный</v>
      </c>
    </row>
    <row r="425">
      <c r="A425" s="3" t="s">
        <v>1384</v>
      </c>
      <c r="B425" s="3" t="s">
        <v>1385</v>
      </c>
      <c r="C425" s="3" t="s">
        <v>18</v>
      </c>
      <c r="D425" s="3" t="s">
        <v>708</v>
      </c>
      <c r="E425" s="3" t="s">
        <v>387</v>
      </c>
      <c r="F425" s="3" t="s">
        <v>1024</v>
      </c>
      <c r="G425" s="3" t="s">
        <v>42</v>
      </c>
      <c r="H425" t="str">
        <f t="shared" si="56"/>
        <v>АРТ-424</v>
      </c>
      <c r="I425" t="str">
        <f t="shared" si="57"/>
        <v xml:space="preserve">Смартфон Oppo Reno 10</v>
      </c>
      <c r="J425" t="str">
        <f>IFERROR(VLOOKUP(TRIM(C425),Справочники!$A$3:$B$13,2,0),"Нет в справочнике")</f>
        <v>Смартфоны</v>
      </c>
      <c r="K425" t="str">
        <f t="shared" si="58"/>
        <v>Oppo</v>
      </c>
      <c r="L425" s="4">
        <f t="shared" si="59"/>
        <v>29000</v>
      </c>
      <c r="M425" s="4">
        <f t="shared" si="60"/>
        <v>48990</v>
      </c>
      <c r="N425" t="str">
        <f>IFERROR(VLOOKUP(TRIM(G425),Справочники!$P$3:$Q$7,2,0),"Нет в справочнике")</f>
        <v>шт.</v>
      </c>
      <c r="O425" t="str">
        <f t="shared" si="61"/>
        <v>ОК</v>
      </c>
      <c r="P425" t="str">
        <f t="shared" si="62"/>
        <v>Уникальный</v>
      </c>
    </row>
    <row r="426">
      <c r="A426" s="3" t="s">
        <v>1386</v>
      </c>
      <c r="B426" s="3" t="s">
        <v>1387</v>
      </c>
      <c r="C426" s="3" t="s">
        <v>25</v>
      </c>
      <c r="D426" s="3" t="s">
        <v>712</v>
      </c>
      <c r="E426" s="3" t="s">
        <v>379</v>
      </c>
      <c r="F426" s="3" t="s">
        <v>388</v>
      </c>
      <c r="G426" s="3" t="s">
        <v>28</v>
      </c>
      <c r="H426" t="str">
        <f t="shared" si="56"/>
        <v>АРТ-425</v>
      </c>
      <c r="I426" t="str">
        <f t="shared" si="57"/>
        <v xml:space="preserve">Смартфон Oppo Reno 10</v>
      </c>
      <c r="J426" t="str">
        <f>IFERROR(VLOOKUP(TRIM(C426),Справочники!$A$3:$B$13,2,0),"Нет в справочнике")</f>
        <v>Смартфоны</v>
      </c>
      <c r="K426" t="str">
        <f t="shared" si="58"/>
        <v>Oppo</v>
      </c>
      <c r="L426" s="4">
        <f t="shared" si="59"/>
        <v>28000</v>
      </c>
      <c r="M426" s="4">
        <f t="shared" si="60"/>
        <v>47500</v>
      </c>
      <c r="N426" t="str">
        <f>IFERROR(VLOOKUP(TRIM(G426),Справочники!$P$3:$Q$7,2,0),"Нет в справочнике")</f>
        <v>шт.</v>
      </c>
      <c r="O426" t="str">
        <f t="shared" si="61"/>
        <v>ОК</v>
      </c>
      <c r="P426" t="str">
        <f t="shared" si="62"/>
        <v>Уникальный</v>
      </c>
    </row>
    <row r="427">
      <c r="A427" s="3" t="s">
        <v>1388</v>
      </c>
      <c r="B427" s="3" t="s">
        <v>1389</v>
      </c>
      <c r="C427" s="3" t="s">
        <v>31</v>
      </c>
      <c r="D427" s="3" t="s">
        <v>715</v>
      </c>
      <c r="E427" s="3" t="s">
        <v>558</v>
      </c>
      <c r="F427" s="3" t="s">
        <v>358</v>
      </c>
      <c r="G427" s="3" t="s">
        <v>22</v>
      </c>
      <c r="H427" t="str">
        <f t="shared" si="56"/>
        <v>АРТ-426</v>
      </c>
      <c r="I427" t="str">
        <f t="shared" si="57"/>
        <v xml:space="preserve">Смартфон Oppo Reno 10</v>
      </c>
      <c r="J427" t="str">
        <f>IFERROR(VLOOKUP(TRIM(C427),Справочники!$A$3:$B$13,2,0),"Нет в справочнике")</f>
        <v>Смартфоны</v>
      </c>
      <c r="K427" t="str">
        <f t="shared" si="58"/>
        <v>Oppo</v>
      </c>
      <c r="L427" s="4">
        <f t="shared" si="59"/>
        <v>30000</v>
      </c>
      <c r="M427" s="4">
        <f t="shared" si="60"/>
        <v>50500</v>
      </c>
      <c r="N427" t="str">
        <f>IFERROR(VLOOKUP(TRIM(G427),Справочники!$P$3:$Q$7,2,0),"Нет в справочнике")</f>
        <v>шт.</v>
      </c>
      <c r="O427" t="str">
        <f t="shared" si="61"/>
        <v>ОК</v>
      </c>
      <c r="P427" t="str">
        <f t="shared" si="62"/>
        <v>Уникальный</v>
      </c>
    </row>
    <row r="428">
      <c r="A428" s="3" t="s">
        <v>1390</v>
      </c>
      <c r="B428" s="3" t="s">
        <v>1391</v>
      </c>
      <c r="C428" s="3" t="s">
        <v>83</v>
      </c>
      <c r="D428" s="3" t="s">
        <v>128</v>
      </c>
      <c r="E428" s="3" t="s">
        <v>249</v>
      </c>
      <c r="F428" s="3" t="s">
        <v>765</v>
      </c>
      <c r="G428" s="3" t="s">
        <v>42</v>
      </c>
      <c r="H428" t="str">
        <f t="shared" si="56"/>
        <v>АРТ-427</v>
      </c>
      <c r="I428" t="str">
        <f t="shared" si="57"/>
        <v xml:space="preserve">Телевизор Xiaomi Tv 5</v>
      </c>
      <c r="J428" t="str">
        <f>IFERROR(VLOOKUP(TRIM(C428),Справочники!$A$3:$B$13,2,0),"Нет в справочнике")</f>
        <v>Телевизоры</v>
      </c>
      <c r="K428" t="str">
        <f t="shared" si="58"/>
        <v>Xiaomi</v>
      </c>
      <c r="L428" s="4">
        <f t="shared" si="59"/>
        <v>32000</v>
      </c>
      <c r="M428" s="4">
        <f t="shared" si="60"/>
        <v>49990</v>
      </c>
      <c r="N428" t="str">
        <f>IFERROR(VLOOKUP(TRIM(G428),Справочники!$P$3:$Q$7,2,0),"Нет в справочнике")</f>
        <v>шт.</v>
      </c>
      <c r="O428" t="str">
        <f t="shared" si="61"/>
        <v>ОК</v>
      </c>
      <c r="P428" t="str">
        <f t="shared" si="62"/>
        <v>Уникальный</v>
      </c>
    </row>
    <row r="429">
      <c r="A429" s="3" t="s">
        <v>1392</v>
      </c>
      <c r="B429" s="3" t="s">
        <v>1393</v>
      </c>
      <c r="C429" s="3" t="s">
        <v>83</v>
      </c>
      <c r="D429" s="3" t="s">
        <v>133</v>
      </c>
      <c r="E429" s="3" t="s">
        <v>110</v>
      </c>
      <c r="F429" s="3" t="s">
        <v>512</v>
      </c>
      <c r="G429" s="3" t="s">
        <v>35</v>
      </c>
      <c r="H429" t="str">
        <f t="shared" si="56"/>
        <v>АРТ-428</v>
      </c>
      <c r="I429" t="str">
        <f t="shared" si="57"/>
        <v xml:space="preserve">Телевизор Xiaomi Tv 5</v>
      </c>
      <c r="J429" t="str">
        <f>IFERROR(VLOOKUP(TRIM(C429),Справочники!$A$3:$B$13,2,0),"Нет в справочнике")</f>
        <v>Телевизоры</v>
      </c>
      <c r="K429" t="str">
        <f t="shared" si="58"/>
        <v>Xiaomi</v>
      </c>
      <c r="L429" s="4">
        <f t="shared" si="59"/>
        <v>30500</v>
      </c>
      <c r="M429" s="4">
        <f t="shared" si="60"/>
        <v>48000</v>
      </c>
      <c r="N429" t="str">
        <f>IFERROR(VLOOKUP(TRIM(G429),Справочники!$P$3:$Q$7,2,0),"Нет в справочнике")</f>
        <v>шт.</v>
      </c>
      <c r="O429" t="str">
        <f t="shared" si="61"/>
        <v>ОК</v>
      </c>
      <c r="P429" t="str">
        <f t="shared" si="62"/>
        <v>Уникальный</v>
      </c>
    </row>
    <row r="430">
      <c r="A430" s="3" t="s">
        <v>1394</v>
      </c>
      <c r="B430" s="3" t="s">
        <v>1395</v>
      </c>
      <c r="C430" s="3" t="s">
        <v>83</v>
      </c>
      <c r="D430" s="3" t="s">
        <v>138</v>
      </c>
      <c r="E430" s="3" t="s">
        <v>504</v>
      </c>
      <c r="F430" s="3" t="s">
        <v>353</v>
      </c>
      <c r="G430" s="3" t="s">
        <v>22</v>
      </c>
      <c r="H430" t="str">
        <f t="shared" si="56"/>
        <v>АРТ-429</v>
      </c>
      <c r="I430" t="str">
        <f t="shared" si="57"/>
        <v xml:space="preserve">Телевизор Xiaomi Tv 5</v>
      </c>
      <c r="J430" t="str">
        <f>IFERROR(VLOOKUP(TRIM(C430),Справочники!$A$3:$B$13,2,0),"Нет в справочнике")</f>
        <v>Телевизоры</v>
      </c>
      <c r="K430" t="str">
        <f t="shared" si="58"/>
        <v>Xiaomi</v>
      </c>
      <c r="L430" s="4">
        <f t="shared" si="59"/>
        <v>33500</v>
      </c>
      <c r="M430" s="4">
        <f t="shared" si="60"/>
        <v>52000</v>
      </c>
      <c r="N430" t="str">
        <f>IFERROR(VLOOKUP(TRIM(G430),Справочники!$P$3:$Q$7,2,0),"Нет в справочнике")</f>
        <v>шт.</v>
      </c>
      <c r="O430" t="str">
        <f t="shared" si="61"/>
        <v>ОК</v>
      </c>
      <c r="P430" t="str">
        <f t="shared" si="62"/>
        <v>Уникальный</v>
      </c>
    </row>
    <row r="431">
      <c r="A431" s="3" t="s">
        <v>1396</v>
      </c>
      <c r="B431" s="3" t="s">
        <v>1397</v>
      </c>
      <c r="C431" s="3" t="s">
        <v>98</v>
      </c>
      <c r="D431" s="3" t="s">
        <v>337</v>
      </c>
      <c r="E431" s="3" t="s">
        <v>1275</v>
      </c>
      <c r="F431" s="3" t="s">
        <v>1364</v>
      </c>
      <c r="G431" s="3" t="s">
        <v>42</v>
      </c>
      <c r="H431" t="str">
        <f t="shared" si="56"/>
        <v>АРТ-430</v>
      </c>
      <c r="I431" t="str">
        <f t="shared" si="57"/>
        <v xml:space="preserve">Наушники Marshall Motif Ii</v>
      </c>
      <c r="J431" t="str">
        <f>IFERROR(VLOOKUP(TRIM(C431),Справочники!$A$3:$B$13,2,0),"Нет в справочнике")</f>
        <v>Наушники</v>
      </c>
      <c r="K431" t="str">
        <f t="shared" si="58"/>
        <v>Marshall</v>
      </c>
      <c r="L431" s="4">
        <f t="shared" si="59"/>
        <v>9000</v>
      </c>
      <c r="M431" s="4">
        <f t="shared" si="60"/>
        <v>14990</v>
      </c>
      <c r="N431" t="str">
        <f>IFERROR(VLOOKUP(TRIM(G431),Справочники!$P$3:$Q$7,2,0),"Нет в справочнике")</f>
        <v>шт.</v>
      </c>
      <c r="O431" t="str">
        <f t="shared" si="61"/>
        <v>ОК</v>
      </c>
      <c r="P431" t="str">
        <f t="shared" si="62"/>
        <v>Уникальный</v>
      </c>
    </row>
    <row r="432">
      <c r="A432" s="3" t="s">
        <v>1398</v>
      </c>
      <c r="B432" s="3" t="s">
        <v>1399</v>
      </c>
      <c r="C432" s="3" t="s">
        <v>98</v>
      </c>
      <c r="D432" s="3" t="s">
        <v>342</v>
      </c>
      <c r="E432" s="3" t="s">
        <v>178</v>
      </c>
      <c r="F432" s="3" t="s">
        <v>591</v>
      </c>
      <c r="G432" s="3" t="s">
        <v>28</v>
      </c>
      <c r="H432" t="str">
        <f t="shared" si="56"/>
        <v>АРТ-431</v>
      </c>
      <c r="I432" t="str">
        <f t="shared" si="57"/>
        <v xml:space="preserve">Наушники Marshall Motif Ii</v>
      </c>
      <c r="J432" t="str">
        <f>IFERROR(VLOOKUP(TRIM(C432),Справочники!$A$3:$B$13,2,0),"Нет в справочнике")</f>
        <v>Наушники</v>
      </c>
      <c r="K432" t="str">
        <f t="shared" si="58"/>
        <v>Marshall</v>
      </c>
      <c r="L432" s="4">
        <f t="shared" si="59"/>
        <v>8500</v>
      </c>
      <c r="M432" s="4">
        <f t="shared" si="60"/>
        <v>14000</v>
      </c>
      <c r="N432" t="str">
        <f>IFERROR(VLOOKUP(TRIM(G432),Справочники!$P$3:$Q$7,2,0),"Нет в справочнике")</f>
        <v>шт.</v>
      </c>
      <c r="O432" t="str">
        <f t="shared" si="61"/>
        <v>ОК</v>
      </c>
      <c r="P432" t="str">
        <f t="shared" si="62"/>
        <v>Уникальный</v>
      </c>
    </row>
    <row r="433">
      <c r="A433" s="3" t="s">
        <v>1400</v>
      </c>
      <c r="B433" s="3" t="s">
        <v>1401</v>
      </c>
      <c r="C433" s="3" t="s">
        <v>98</v>
      </c>
      <c r="D433" s="3" t="s">
        <v>347</v>
      </c>
      <c r="E433" s="3" t="s">
        <v>165</v>
      </c>
      <c r="F433" s="3" t="s">
        <v>244</v>
      </c>
      <c r="G433" s="3" t="s">
        <v>22</v>
      </c>
      <c r="H433" t="str">
        <f t="shared" si="56"/>
        <v>АРТ-432</v>
      </c>
      <c r="I433" t="str">
        <f t="shared" si="57"/>
        <v xml:space="preserve">Наушники Marshall Motif Ii</v>
      </c>
      <c r="J433" t="str">
        <f>IFERROR(VLOOKUP(TRIM(C433),Справочники!$A$3:$B$13,2,0),"Нет в справочнике")</f>
        <v>Наушники</v>
      </c>
      <c r="K433" t="str">
        <f t="shared" si="58"/>
        <v>Marshall</v>
      </c>
      <c r="L433" s="4">
        <f t="shared" si="59"/>
        <v>9500</v>
      </c>
      <c r="M433" s="4">
        <f t="shared" si="60"/>
        <v>15800</v>
      </c>
      <c r="N433" t="str">
        <f>IFERROR(VLOOKUP(TRIM(G433),Справочники!$P$3:$Q$7,2,0),"Нет в справочнике")</f>
        <v>шт.</v>
      </c>
      <c r="O433" t="str">
        <f t="shared" si="61"/>
        <v>ОК</v>
      </c>
      <c r="P433" t="str">
        <f t="shared" si="62"/>
        <v>Уникальный</v>
      </c>
    </row>
    <row r="434">
      <c r="A434" s="3" t="s">
        <v>1402</v>
      </c>
      <c r="B434" s="3" t="s">
        <v>1403</v>
      </c>
      <c r="C434" s="3" t="s">
        <v>143</v>
      </c>
      <c r="D434" s="3" t="s">
        <v>459</v>
      </c>
      <c r="E434" s="3" t="s">
        <v>379</v>
      </c>
      <c r="F434" s="3" t="s">
        <v>1404</v>
      </c>
      <c r="G434" s="3" t="s">
        <v>42</v>
      </c>
      <c r="H434" t="str">
        <f t="shared" si="56"/>
        <v>АРТ-433</v>
      </c>
      <c r="I434" t="str">
        <f t="shared" si="57"/>
        <v xml:space="preserve">Монитор Msi Pro Mp271</v>
      </c>
      <c r="J434" t="str">
        <f>IFERROR(VLOOKUP(TRIM(C434),Справочники!$A$3:$B$13,2,0),"Нет в справочнике")</f>
        <v>Мониторы</v>
      </c>
      <c r="K434" t="str">
        <f t="shared" si="58"/>
        <v>MSI</v>
      </c>
      <c r="L434" s="4">
        <f t="shared" si="59"/>
        <v>28000</v>
      </c>
      <c r="M434" s="4">
        <f t="shared" si="60"/>
        <v>43990</v>
      </c>
      <c r="N434" t="str">
        <f>IFERROR(VLOOKUP(TRIM(G434),Справочники!$P$3:$Q$7,2,0),"Нет в справочнике")</f>
        <v>шт.</v>
      </c>
      <c r="O434" t="str">
        <f t="shared" si="61"/>
        <v>ОК</v>
      </c>
      <c r="P434" t="str">
        <f t="shared" si="62"/>
        <v>Уникальный</v>
      </c>
    </row>
    <row r="435">
      <c r="A435" s="3" t="s">
        <v>1405</v>
      </c>
      <c r="B435" s="3" t="s">
        <v>1406</v>
      </c>
      <c r="C435" s="3" t="s">
        <v>143</v>
      </c>
      <c r="D435" s="3" t="s">
        <v>463</v>
      </c>
      <c r="E435" s="3" t="s">
        <v>782</v>
      </c>
      <c r="F435" s="3" t="s">
        <v>285</v>
      </c>
      <c r="G435" s="3" t="s">
        <v>35</v>
      </c>
      <c r="H435" t="str">
        <f t="shared" si="56"/>
        <v>АРТ-434</v>
      </c>
      <c r="I435" t="str">
        <f t="shared" si="57"/>
        <v xml:space="preserve">Монитор Msi Pro Mp271</v>
      </c>
      <c r="J435" t="str">
        <f>IFERROR(VLOOKUP(TRIM(C435),Справочники!$A$3:$B$13,2,0),"Нет в справочнике")</f>
        <v>Мониторы</v>
      </c>
      <c r="K435" t="str">
        <f t="shared" si="58"/>
        <v>MSI</v>
      </c>
      <c r="L435" s="4">
        <f t="shared" si="59"/>
        <v>26500</v>
      </c>
      <c r="M435" s="4">
        <f t="shared" si="60"/>
        <v>42000</v>
      </c>
      <c r="N435" t="str">
        <f>IFERROR(VLOOKUP(TRIM(G435),Справочники!$P$3:$Q$7,2,0),"Нет в справочнике")</f>
        <v>шт.</v>
      </c>
      <c r="O435" t="str">
        <f t="shared" si="61"/>
        <v>ОК</v>
      </c>
      <c r="P435" t="str">
        <f t="shared" si="62"/>
        <v>Уникальный</v>
      </c>
    </row>
    <row r="436">
      <c r="A436" s="3" t="s">
        <v>1407</v>
      </c>
      <c r="B436" s="3" t="s">
        <v>1408</v>
      </c>
      <c r="C436" s="3" t="s">
        <v>143</v>
      </c>
      <c r="D436" s="3" t="s">
        <v>459</v>
      </c>
      <c r="E436" s="3" t="s">
        <v>1409</v>
      </c>
      <c r="F436" s="3" t="s">
        <v>1004</v>
      </c>
      <c r="G436" s="3" t="s">
        <v>22</v>
      </c>
      <c r="H436" t="str">
        <f t="shared" si="56"/>
        <v>АРТ-435</v>
      </c>
      <c r="I436" t="str">
        <f t="shared" si="57"/>
        <v xml:space="preserve">Монитор Msi Pro Mp271</v>
      </c>
      <c r="J436" t="str">
        <f>IFERROR(VLOOKUP(TRIM(C436),Справочники!$A$3:$B$13,2,0),"Нет в справочнике")</f>
        <v>Мониторы</v>
      </c>
      <c r="K436" t="str">
        <f t="shared" si="58"/>
        <v>MSI</v>
      </c>
      <c r="L436" s="4">
        <f t="shared" si="59"/>
        <v>29500</v>
      </c>
      <c r="M436" s="4">
        <f t="shared" si="60"/>
        <v>45500</v>
      </c>
      <c r="N436" t="str">
        <f>IFERROR(VLOOKUP(TRIM(G436),Справочники!$P$3:$Q$7,2,0),"Нет в справочнике")</f>
        <v>шт.</v>
      </c>
      <c r="O436" t="str">
        <f t="shared" si="61"/>
        <v>ОК</v>
      </c>
      <c r="P436" t="str">
        <f t="shared" si="62"/>
        <v>Уникальный</v>
      </c>
    </row>
    <row r="437">
      <c r="A437" s="3" t="s">
        <v>1410</v>
      </c>
      <c r="B437" s="3" t="s">
        <v>1411</v>
      </c>
      <c r="C437" s="3" t="s">
        <v>157</v>
      </c>
      <c r="D437" s="3" t="s">
        <v>224</v>
      </c>
      <c r="E437" s="3" t="s">
        <v>443</v>
      </c>
      <c r="F437" s="3" t="s">
        <v>890</v>
      </c>
      <c r="G437" s="3" t="s">
        <v>42</v>
      </c>
      <c r="H437" t="str">
        <f t="shared" si="56"/>
        <v>АРТ-436</v>
      </c>
      <c r="I437" t="str">
        <f t="shared" si="57"/>
        <v xml:space="preserve">Колонка Sony Srs-Xb13</v>
      </c>
      <c r="J437" t="str">
        <f>IFERROR(VLOOKUP(TRIM(C437),Справочники!$A$3:$B$13,2,0),"Нет в справочнике")</f>
        <v>Аксессуары</v>
      </c>
      <c r="K437" t="str">
        <f t="shared" si="58"/>
        <v>Sony</v>
      </c>
      <c r="L437" s="4">
        <f t="shared" si="59"/>
        <v>3500</v>
      </c>
      <c r="M437" s="4">
        <f t="shared" si="60"/>
        <v>5990</v>
      </c>
      <c r="N437" t="str">
        <f>IFERROR(VLOOKUP(TRIM(G437),Справочники!$P$3:$Q$7,2,0),"Нет в справочнике")</f>
        <v>шт.</v>
      </c>
      <c r="O437" t="str">
        <f t="shared" si="61"/>
        <v>ОК</v>
      </c>
      <c r="P437" t="str">
        <f t="shared" si="62"/>
        <v>Уникальный</v>
      </c>
    </row>
    <row r="438">
      <c r="A438" s="3" t="s">
        <v>1412</v>
      </c>
      <c r="B438" s="3" t="s">
        <v>1413</v>
      </c>
      <c r="C438" s="3" t="s">
        <v>157</v>
      </c>
      <c r="D438" s="3" t="s">
        <v>104</v>
      </c>
      <c r="E438" s="3" t="s">
        <v>889</v>
      </c>
      <c r="F438" s="3" t="s">
        <v>159</v>
      </c>
      <c r="G438" s="3" t="s">
        <v>28</v>
      </c>
      <c r="H438" t="str">
        <f t="shared" si="56"/>
        <v>АРТ-437</v>
      </c>
      <c r="I438" t="str">
        <f t="shared" si="57"/>
        <v xml:space="preserve">Колонка Sony Srs-Xb13</v>
      </c>
      <c r="J438" t="str">
        <f>IFERROR(VLOOKUP(TRIM(C438),Справочники!$A$3:$B$13,2,0),"Нет в справочнике")</f>
        <v>Аксессуары</v>
      </c>
      <c r="K438" t="str">
        <f t="shared" si="58"/>
        <v>Sony</v>
      </c>
      <c r="L438" s="4">
        <f t="shared" si="59"/>
        <v>3000</v>
      </c>
      <c r="M438" s="4">
        <f t="shared" si="60"/>
        <v>5500</v>
      </c>
      <c r="N438" t="str">
        <f>IFERROR(VLOOKUP(TRIM(G438),Справочники!$P$3:$Q$7,2,0),"Нет в справочнике")</f>
        <v>шт.</v>
      </c>
      <c r="O438" t="str">
        <f t="shared" si="61"/>
        <v>ОК</v>
      </c>
      <c r="P438" t="str">
        <f t="shared" si="62"/>
        <v>Уникальный</v>
      </c>
    </row>
    <row r="439">
      <c r="A439" s="3" t="s">
        <v>1414</v>
      </c>
      <c r="B439" s="3" t="s">
        <v>1415</v>
      </c>
      <c r="C439" s="3" t="s">
        <v>157</v>
      </c>
      <c r="D439" s="3" t="s">
        <v>99</v>
      </c>
      <c r="E439" s="3" t="s">
        <v>1106</v>
      </c>
      <c r="F439" s="3" t="s">
        <v>281</v>
      </c>
      <c r="G439" s="3" t="s">
        <v>22</v>
      </c>
      <c r="H439" t="str">
        <f t="shared" si="56"/>
        <v>АРТ-438</v>
      </c>
      <c r="I439" t="str">
        <f t="shared" si="57"/>
        <v xml:space="preserve">Колонка Sony Srs-Xb13</v>
      </c>
      <c r="J439" t="str">
        <f>IFERROR(VLOOKUP(TRIM(C439),Справочники!$A$3:$B$13,2,0),"Нет в справочнике")</f>
        <v>Аксессуары</v>
      </c>
      <c r="K439" t="str">
        <f t="shared" si="58"/>
        <v>Sony</v>
      </c>
      <c r="L439" s="4">
        <f t="shared" si="59"/>
        <v>4000</v>
      </c>
      <c r="M439" s="4">
        <f t="shared" si="60"/>
        <v>6800</v>
      </c>
      <c r="N439" t="str">
        <f>IFERROR(VLOOKUP(TRIM(G439),Справочники!$P$3:$Q$7,2,0),"Нет в справочнике")</f>
        <v>шт.</v>
      </c>
      <c r="O439" t="str">
        <f t="shared" si="61"/>
        <v>ОК</v>
      </c>
      <c r="P439" t="str">
        <f t="shared" si="62"/>
        <v>Уникальный</v>
      </c>
    </row>
    <row r="440">
      <c r="A440" s="3" t="s">
        <v>1416</v>
      </c>
      <c r="B440" s="3" t="s">
        <v>1417</v>
      </c>
      <c r="C440" s="3" t="s">
        <v>69</v>
      </c>
      <c r="D440" s="3" t="s">
        <v>844</v>
      </c>
      <c r="E440" s="3" t="s">
        <v>100</v>
      </c>
      <c r="F440" s="3" t="s">
        <v>688</v>
      </c>
      <c r="G440" s="3" t="s">
        <v>42</v>
      </c>
      <c r="H440" t="str">
        <f t="shared" si="56"/>
        <v>АРТ-439</v>
      </c>
      <c r="I440" t="str">
        <f t="shared" si="57"/>
        <v xml:space="preserve">Планшет Honor Pad 8</v>
      </c>
      <c r="J440" t="str">
        <f>IFERROR(VLOOKUP(TRIM(C440),Справочники!$A$3:$B$13,2,0),"Нет в справочнике")</f>
        <v>Планшеты</v>
      </c>
      <c r="K440" t="str">
        <f t="shared" si="58"/>
        <v>Honor</v>
      </c>
      <c r="L440" s="4">
        <f t="shared" si="59"/>
        <v>18000</v>
      </c>
      <c r="M440" s="4">
        <f t="shared" si="60"/>
        <v>29990</v>
      </c>
      <c r="N440" t="str">
        <f>IFERROR(VLOOKUP(TRIM(G440),Справочники!$P$3:$Q$7,2,0),"Нет в справочнике")</f>
        <v>шт.</v>
      </c>
      <c r="O440" t="str">
        <f t="shared" si="61"/>
        <v>ОК</v>
      </c>
      <c r="P440" t="str">
        <f t="shared" si="62"/>
        <v>Уникальный</v>
      </c>
    </row>
    <row r="441">
      <c r="A441" s="3" t="s">
        <v>1418</v>
      </c>
      <c r="B441" s="3" t="s">
        <v>1419</v>
      </c>
      <c r="C441" s="3" t="s">
        <v>69</v>
      </c>
      <c r="D441" s="3" t="s">
        <v>848</v>
      </c>
      <c r="E441" s="3" t="s">
        <v>691</v>
      </c>
      <c r="F441" s="3" t="s">
        <v>692</v>
      </c>
      <c r="G441" s="3" t="s">
        <v>35</v>
      </c>
      <c r="H441" t="str">
        <f t="shared" si="56"/>
        <v>АРТ-440</v>
      </c>
      <c r="I441" t="str">
        <f t="shared" si="57"/>
        <v xml:space="preserve">Планшет Honor Pad 8</v>
      </c>
      <c r="J441" t="str">
        <f>IFERROR(VLOOKUP(TRIM(C441),Справочники!$A$3:$B$13,2,0),"Нет в справочнике")</f>
        <v>Планшеты</v>
      </c>
      <c r="K441" t="str">
        <f t="shared" si="58"/>
        <v>Honor</v>
      </c>
      <c r="L441" s="4">
        <f t="shared" si="59"/>
        <v>17000</v>
      </c>
      <c r="M441" s="4">
        <f t="shared" si="60"/>
        <v>28500</v>
      </c>
      <c r="N441" t="str">
        <f>IFERROR(VLOOKUP(TRIM(G441),Справочники!$P$3:$Q$7,2,0),"Нет в справочнике")</f>
        <v>шт.</v>
      </c>
      <c r="O441" t="str">
        <f t="shared" si="61"/>
        <v>ОК</v>
      </c>
      <c r="P441" t="str">
        <f t="shared" si="62"/>
        <v>Уникальный</v>
      </c>
    </row>
    <row r="442">
      <c r="A442" s="3" t="s">
        <v>1420</v>
      </c>
      <c r="B442" s="3" t="s">
        <v>1421</v>
      </c>
      <c r="C442" s="3" t="s">
        <v>69</v>
      </c>
      <c r="D442" s="3" t="s">
        <v>851</v>
      </c>
      <c r="E442" s="3" t="s">
        <v>344</v>
      </c>
      <c r="F442" s="3" t="s">
        <v>254</v>
      </c>
      <c r="G442" s="3" t="s">
        <v>22</v>
      </c>
      <c r="H442" t="str">
        <f t="shared" si="56"/>
        <v>АРТ-441</v>
      </c>
      <c r="I442" t="str">
        <f t="shared" si="57"/>
        <v xml:space="preserve">Планшет Honor Pad 8</v>
      </c>
      <c r="J442" t="str">
        <f>IFERROR(VLOOKUP(TRIM(C442),Справочники!$A$3:$B$13,2,0),"Нет в справочнике")</f>
        <v>Планшеты</v>
      </c>
      <c r="K442" t="str">
        <f t="shared" si="58"/>
        <v>Honor</v>
      </c>
      <c r="L442" s="4">
        <f t="shared" si="59"/>
        <v>19000</v>
      </c>
      <c r="M442" s="4">
        <f t="shared" si="60"/>
        <v>31500</v>
      </c>
      <c r="N442" t="str">
        <f>IFERROR(VLOOKUP(TRIM(G442),Справочники!$P$3:$Q$7,2,0),"Нет в справочнике")</f>
        <v>шт.</v>
      </c>
      <c r="O442" t="str">
        <f t="shared" si="61"/>
        <v>ОК</v>
      </c>
      <c r="P442" t="str">
        <f t="shared" si="62"/>
        <v>Уникальный</v>
      </c>
    </row>
    <row r="443">
      <c r="A443" s="3" t="s">
        <v>1422</v>
      </c>
      <c r="B443" s="3" t="s">
        <v>1423</v>
      </c>
      <c r="C443" s="3" t="s">
        <v>18</v>
      </c>
      <c r="D443" s="3" t="s">
        <v>797</v>
      </c>
      <c r="E443" s="3" t="s">
        <v>236</v>
      </c>
      <c r="F443" s="3" t="s">
        <v>237</v>
      </c>
      <c r="G443" s="3" t="s">
        <v>42</v>
      </c>
      <c r="H443" t="str">
        <f t="shared" si="56"/>
        <v>АРТ-442</v>
      </c>
      <c r="I443" t="str">
        <f t="shared" si="57"/>
        <v xml:space="preserve">Смартфон Vivo Y100</v>
      </c>
      <c r="J443" t="str">
        <f>IFERROR(VLOOKUP(TRIM(C443),Справочники!$A$3:$B$13,2,0),"Нет в справочнике")</f>
        <v>Смартфоны</v>
      </c>
      <c r="K443" t="str">
        <f t="shared" si="58"/>
        <v>Vivo</v>
      </c>
      <c r="L443" s="4">
        <f t="shared" si="59"/>
        <v>15000</v>
      </c>
      <c r="M443" s="4">
        <f t="shared" si="60"/>
        <v>24990</v>
      </c>
      <c r="N443" t="str">
        <f>IFERROR(VLOOKUP(TRIM(G443),Справочники!$P$3:$Q$7,2,0),"Нет в справочнике")</f>
        <v>шт.</v>
      </c>
      <c r="O443" t="str">
        <f t="shared" si="61"/>
        <v>ОК</v>
      </c>
      <c r="P443" t="str">
        <f t="shared" si="62"/>
        <v>Уникальный</v>
      </c>
    </row>
    <row r="444">
      <c r="A444" s="3" t="s">
        <v>1424</v>
      </c>
      <c r="B444" s="3" t="s">
        <v>1425</v>
      </c>
      <c r="C444" s="3" t="s">
        <v>25</v>
      </c>
      <c r="D444" s="3" t="s">
        <v>801</v>
      </c>
      <c r="E444" s="3" t="s">
        <v>591</v>
      </c>
      <c r="F444" s="3" t="s">
        <v>778</v>
      </c>
      <c r="G444" s="3" t="s">
        <v>28</v>
      </c>
      <c r="H444" t="str">
        <f t="shared" si="56"/>
        <v>АРТ-443</v>
      </c>
      <c r="I444" t="str">
        <f t="shared" si="57"/>
        <v xml:space="preserve">Смартфон Vivo Y100</v>
      </c>
      <c r="J444" t="str">
        <f>IFERROR(VLOOKUP(TRIM(C444),Справочники!$A$3:$B$13,2,0),"Нет в справочнике")</f>
        <v>Смартфоны</v>
      </c>
      <c r="K444" t="str">
        <f t="shared" si="58"/>
        <v>Vivo</v>
      </c>
      <c r="L444" s="4">
        <f t="shared" si="59"/>
        <v>14000</v>
      </c>
      <c r="M444" s="4">
        <f t="shared" si="60"/>
        <v>23500</v>
      </c>
      <c r="N444" t="str">
        <f>IFERROR(VLOOKUP(TRIM(G444),Справочники!$P$3:$Q$7,2,0),"Нет в справочнике")</f>
        <v>шт.</v>
      </c>
      <c r="O444" t="str">
        <f t="shared" si="61"/>
        <v>ОК</v>
      </c>
      <c r="P444" t="str">
        <f t="shared" si="62"/>
        <v>Уникальный</v>
      </c>
    </row>
    <row r="445">
      <c r="A445" s="3" t="s">
        <v>1426</v>
      </c>
      <c r="B445" s="3" t="s">
        <v>1427</v>
      </c>
      <c r="C445" s="3" t="s">
        <v>31</v>
      </c>
      <c r="D445" s="3" t="s">
        <v>805</v>
      </c>
      <c r="E445" s="3" t="s">
        <v>660</v>
      </c>
      <c r="F445" s="3" t="s">
        <v>782</v>
      </c>
      <c r="G445" s="3" t="s">
        <v>22</v>
      </c>
      <c r="H445" t="str">
        <f t="shared" si="56"/>
        <v>АРТ-444</v>
      </c>
      <c r="I445" t="str">
        <f t="shared" si="57"/>
        <v xml:space="preserve">Смартфон Vivo Y100</v>
      </c>
      <c r="J445" t="str">
        <f>IFERROR(VLOOKUP(TRIM(C445),Справочники!$A$3:$B$13,2,0),"Нет в справочнике")</f>
        <v>Смартфоны</v>
      </c>
      <c r="K445" t="str">
        <f t="shared" si="58"/>
        <v>Vivo</v>
      </c>
      <c r="L445" s="4">
        <f t="shared" si="59"/>
        <v>16000</v>
      </c>
      <c r="M445" s="4">
        <f t="shared" si="60"/>
        <v>26500</v>
      </c>
      <c r="N445" t="str">
        <f>IFERROR(VLOOKUP(TRIM(G445),Справочники!$P$3:$Q$7,2,0),"Нет в справочнике")</f>
        <v>шт.</v>
      </c>
      <c r="O445" t="str">
        <f t="shared" si="61"/>
        <v>ОК</v>
      </c>
      <c r="P445" t="str">
        <f t="shared" si="62"/>
        <v>Уникальный</v>
      </c>
    </row>
    <row r="446">
      <c r="A446" s="3" t="s">
        <v>1428</v>
      </c>
      <c r="B446" s="3" t="s">
        <v>1429</v>
      </c>
      <c r="C446" s="3" t="s">
        <v>38</v>
      </c>
      <c r="D446" s="3" t="s">
        <v>785</v>
      </c>
      <c r="E446" s="3" t="s">
        <v>437</v>
      </c>
      <c r="F446" s="3" t="s">
        <v>1430</v>
      </c>
      <c r="G446" s="3" t="s">
        <v>42</v>
      </c>
      <c r="H446" t="str">
        <f t="shared" si="56"/>
        <v>АРТ-445</v>
      </c>
      <c r="I446" t="str">
        <f t="shared" si="57"/>
        <v xml:space="preserve">Ноутбук Framework Laptop 16</v>
      </c>
      <c r="J446" t="str">
        <f>IFERROR(VLOOKUP(TRIM(C446),Справочники!$A$3:$B$13,2,0),"Нет в справочнике")</f>
        <v>Ноутбуки</v>
      </c>
      <c r="K446" t="str">
        <f t="shared" si="58"/>
        <v>Framework</v>
      </c>
      <c r="L446" s="4">
        <f t="shared" si="59"/>
        <v>92000</v>
      </c>
      <c r="M446" s="4">
        <f t="shared" si="60"/>
        <v>141990</v>
      </c>
      <c r="N446" t="str">
        <f>IFERROR(VLOOKUP(TRIM(G446),Справочники!$P$3:$Q$7,2,0),"Нет в справочнике")</f>
        <v>шт.</v>
      </c>
      <c r="O446" t="str">
        <f t="shared" si="61"/>
        <v>ОК</v>
      </c>
      <c r="P446" t="str">
        <f t="shared" si="62"/>
        <v>Уникальный</v>
      </c>
    </row>
    <row r="447">
      <c r="A447" s="3" t="s">
        <v>1431</v>
      </c>
      <c r="B447" s="3" t="s">
        <v>1432</v>
      </c>
      <c r="C447" s="3" t="s">
        <v>45</v>
      </c>
      <c r="D447" s="3" t="s">
        <v>789</v>
      </c>
      <c r="E447" s="3" t="s">
        <v>114</v>
      </c>
      <c r="F447" s="3" t="s">
        <v>1433</v>
      </c>
      <c r="G447" s="3" t="s">
        <v>35</v>
      </c>
      <c r="H447" t="str">
        <f t="shared" si="56"/>
        <v>АРТ-446</v>
      </c>
      <c r="I447" t="str">
        <f t="shared" si="57"/>
        <v xml:space="preserve">Ноутбук Framework Laptop 16</v>
      </c>
      <c r="J447" t="str">
        <f>IFERROR(VLOOKUP(TRIM(C447),Справочники!$A$3:$B$13,2,0),"Нет в справочнике")</f>
        <v>Ноутбуки</v>
      </c>
      <c r="K447" t="str">
        <f t="shared" si="58"/>
        <v>Framework</v>
      </c>
      <c r="L447" s="4">
        <f t="shared" si="59"/>
        <v>90000</v>
      </c>
      <c r="M447" s="4">
        <f t="shared" si="60"/>
        <v>139000</v>
      </c>
      <c r="N447" t="str">
        <f>IFERROR(VLOOKUP(TRIM(G447),Справочники!$P$3:$Q$7,2,0),"Нет в справочнике")</f>
        <v>шт.</v>
      </c>
      <c r="O447" t="str">
        <f t="shared" si="61"/>
        <v>ОК</v>
      </c>
      <c r="P447" t="str">
        <f t="shared" si="62"/>
        <v>Уникальный</v>
      </c>
    </row>
    <row r="448">
      <c r="A448" s="3" t="s">
        <v>1434</v>
      </c>
      <c r="B448" s="3" t="s">
        <v>1435</v>
      </c>
      <c r="C448" s="3" t="s">
        <v>38</v>
      </c>
      <c r="D448" s="3" t="s">
        <v>793</v>
      </c>
      <c r="E448" s="3" t="s">
        <v>90</v>
      </c>
      <c r="F448" s="3" t="s">
        <v>1436</v>
      </c>
      <c r="G448" s="3" t="s">
        <v>22</v>
      </c>
      <c r="H448" t="str">
        <f t="shared" si="56"/>
        <v>АРТ-447</v>
      </c>
      <c r="I448" t="str">
        <f t="shared" si="57"/>
        <v xml:space="preserve">Ноутбук Framework Laptop 16</v>
      </c>
      <c r="J448" t="str">
        <f>IFERROR(VLOOKUP(TRIM(C448),Справочники!$A$3:$B$13,2,0),"Нет в справочнике")</f>
        <v>Ноутбуки</v>
      </c>
      <c r="K448" t="str">
        <f t="shared" si="58"/>
        <v>Framework</v>
      </c>
      <c r="L448" s="4">
        <f t="shared" si="59"/>
        <v>93500</v>
      </c>
      <c r="M448" s="4">
        <f t="shared" si="60"/>
        <v>144500</v>
      </c>
      <c r="N448" t="str">
        <f>IFERROR(VLOOKUP(TRIM(G448),Справочники!$P$3:$Q$7,2,0),"Нет в справочнике")</f>
        <v>шт.</v>
      </c>
      <c r="O448" t="str">
        <f t="shared" si="61"/>
        <v>ОК</v>
      </c>
      <c r="P448" t="str">
        <f t="shared" si="62"/>
        <v>Уникальный</v>
      </c>
    </row>
    <row r="449">
      <c r="A449" s="3" t="s">
        <v>1437</v>
      </c>
      <c r="B449" s="3" t="s">
        <v>1438</v>
      </c>
      <c r="C449" s="3" t="s">
        <v>83</v>
      </c>
      <c r="D449" s="3" t="s">
        <v>577</v>
      </c>
      <c r="E449" s="3" t="s">
        <v>512</v>
      </c>
      <c r="F449" s="3" t="s">
        <v>1439</v>
      </c>
      <c r="G449" s="3" t="s">
        <v>42</v>
      </c>
      <c r="H449" t="str">
        <f t="shared" si="56"/>
        <v>АРТ-448</v>
      </c>
      <c r="I449" t="str">
        <f t="shared" si="57"/>
        <v xml:space="preserve">Телевизор Philips 50Pus8507</v>
      </c>
      <c r="J449" t="str">
        <f>IFERROR(VLOOKUP(TRIM(C449),Справочники!$A$3:$B$13,2,0),"Нет в справочнике")</f>
        <v>Телевизоры</v>
      </c>
      <c r="K449" t="str">
        <f t="shared" si="58"/>
        <v>Philips</v>
      </c>
      <c r="L449" s="4">
        <f t="shared" si="59"/>
        <v>48000</v>
      </c>
      <c r="M449" s="4">
        <f t="shared" si="60"/>
        <v>73990</v>
      </c>
      <c r="N449" t="str">
        <f>IFERROR(VLOOKUP(TRIM(G449),Справочники!$P$3:$Q$7,2,0),"Нет в справочнике")</f>
        <v>шт.</v>
      </c>
      <c r="O449" t="str">
        <f t="shared" si="61"/>
        <v>ОК</v>
      </c>
      <c r="P449" t="str">
        <f t="shared" si="62"/>
        <v>Уникальный</v>
      </c>
    </row>
    <row r="450">
      <c r="A450" s="3" t="s">
        <v>1440</v>
      </c>
      <c r="B450" s="3" t="s">
        <v>1441</v>
      </c>
      <c r="C450" s="3" t="s">
        <v>83</v>
      </c>
      <c r="D450" s="3" t="s">
        <v>581</v>
      </c>
      <c r="E450" s="3" t="s">
        <v>268</v>
      </c>
      <c r="F450" s="3" t="s">
        <v>269</v>
      </c>
      <c r="G450" s="3" t="s">
        <v>28</v>
      </c>
      <c r="H450" t="str">
        <f t="shared" si="56"/>
        <v>АРТ-449</v>
      </c>
      <c r="I450" t="str">
        <f t="shared" si="57"/>
        <v xml:space="preserve">Телевизор Philips 50Pus8507</v>
      </c>
      <c r="J450" t="str">
        <f>IFERROR(VLOOKUP(TRIM(C450),Справочники!$A$3:$B$13,2,0),"Нет в справочнике")</f>
        <v>Телевизоры</v>
      </c>
      <c r="K450" t="str">
        <f t="shared" si="58"/>
        <v>Philips</v>
      </c>
      <c r="L450" s="4">
        <f t="shared" si="59"/>
        <v>46500</v>
      </c>
      <c r="M450" s="4">
        <f t="shared" si="60"/>
        <v>71500</v>
      </c>
      <c r="N450" t="str">
        <f>IFERROR(VLOOKUP(TRIM(G450),Справочники!$P$3:$Q$7,2,0),"Нет в справочнике")</f>
        <v>шт.</v>
      </c>
      <c r="O450" t="str">
        <f t="shared" si="61"/>
        <v>ОК</v>
      </c>
      <c r="P450" t="str">
        <f t="shared" si="62"/>
        <v>Уникальный</v>
      </c>
    </row>
    <row r="451">
      <c r="A451" s="3" t="s">
        <v>1442</v>
      </c>
      <c r="B451" s="3" t="s">
        <v>1443</v>
      </c>
      <c r="C451" s="3" t="s">
        <v>83</v>
      </c>
      <c r="D451" s="3" t="s">
        <v>586</v>
      </c>
      <c r="E451" s="3" t="s">
        <v>480</v>
      </c>
      <c r="F451" s="3" t="s">
        <v>1038</v>
      </c>
      <c r="G451" s="3" t="s">
        <v>22</v>
      </c>
      <c r="H451" t="str">
        <f t="shared" si="56"/>
        <v>АРТ-450</v>
      </c>
      <c r="I451" t="str">
        <f t="shared" si="57"/>
        <v xml:space="preserve">Телевизор Philips 50Pus8507</v>
      </c>
      <c r="J451" t="str">
        <f>IFERROR(VLOOKUP(TRIM(C451),Справочники!$A$3:$B$13,2,0),"Нет в справочнике")</f>
        <v>Телевизоры</v>
      </c>
      <c r="K451" t="str">
        <f t="shared" si="58"/>
        <v>Philips</v>
      </c>
      <c r="L451" s="4">
        <f t="shared" si="59"/>
        <v>49500</v>
      </c>
      <c r="M451" s="4">
        <f t="shared" si="60"/>
        <v>76500</v>
      </c>
      <c r="N451" t="str">
        <f>IFERROR(VLOOKUP(TRIM(G451),Справочники!$P$3:$Q$7,2,0),"Нет в справочнике")</f>
        <v>шт.</v>
      </c>
      <c r="O451" t="str">
        <f t="shared" si="61"/>
        <v>ОК</v>
      </c>
      <c r="P451" t="str">
        <f t="shared" si="62"/>
        <v>Уникальный</v>
      </c>
    </row>
    <row r="452">
      <c r="A452" s="3" t="s">
        <v>1444</v>
      </c>
      <c r="B452" s="3" t="s">
        <v>1445</v>
      </c>
      <c r="C452" s="3" t="s">
        <v>98</v>
      </c>
      <c r="D452" s="3" t="s">
        <v>19</v>
      </c>
      <c r="E452" s="3" t="s">
        <v>391</v>
      </c>
      <c r="F452" s="3" t="s">
        <v>392</v>
      </c>
      <c r="G452" s="3" t="s">
        <v>42</v>
      </c>
      <c r="H452" t="str">
        <f t="shared" si="56"/>
        <v>АРТ-451</v>
      </c>
      <c r="I452" t="str">
        <f t="shared" si="57"/>
        <v xml:space="preserve">Наушники Apple Airpods Max</v>
      </c>
      <c r="J452" t="str">
        <f>IFERROR(VLOOKUP(TRIM(C452),Справочники!$A$3:$B$13,2,0),"Нет в справочнике")</f>
        <v>Наушники</v>
      </c>
      <c r="K452" t="str">
        <f t="shared" si="58"/>
        <v>Apple</v>
      </c>
      <c r="L452" s="4">
        <f t="shared" si="59"/>
        <v>25000</v>
      </c>
      <c r="M452" s="4">
        <f t="shared" si="60"/>
        <v>39990</v>
      </c>
      <c r="N452" t="str">
        <f>IFERROR(VLOOKUP(TRIM(G452),Справочники!$P$3:$Q$7,2,0),"Нет в справочнике")</f>
        <v>шт.</v>
      </c>
      <c r="O452" t="str">
        <f t="shared" si="61"/>
        <v>ОК</v>
      </c>
      <c r="P452" t="str">
        <f t="shared" si="62"/>
        <v>Уникальный</v>
      </c>
    </row>
    <row r="453">
      <c r="A453" s="3" t="s">
        <v>1446</v>
      </c>
      <c r="B453" s="3" t="s">
        <v>1447</v>
      </c>
      <c r="C453" s="3" t="s">
        <v>98</v>
      </c>
      <c r="D453" s="3" t="s">
        <v>74</v>
      </c>
      <c r="E453" s="3" t="s">
        <v>395</v>
      </c>
      <c r="F453" s="3" t="s">
        <v>396</v>
      </c>
      <c r="G453" s="3" t="s">
        <v>35</v>
      </c>
      <c r="H453" t="str">
        <f t="shared" si="56"/>
        <v>АРТ-452</v>
      </c>
      <c r="I453" t="str">
        <f t="shared" si="57"/>
        <v xml:space="preserve">Наушники Apple Airpods Max</v>
      </c>
      <c r="J453" t="str">
        <f>IFERROR(VLOOKUP(TRIM(C453),Справочники!$A$3:$B$13,2,0),"Нет в справочнике")</f>
        <v>Наушники</v>
      </c>
      <c r="K453" t="str">
        <f t="shared" si="58"/>
        <v>Apple</v>
      </c>
      <c r="L453" s="4">
        <f t="shared" si="59"/>
        <v>24000</v>
      </c>
      <c r="M453" s="4">
        <f t="shared" si="60"/>
        <v>38500</v>
      </c>
      <c r="N453" t="str">
        <f>IFERROR(VLOOKUP(TRIM(G453),Справочники!$P$3:$Q$7,2,0),"Нет в справочнике")</f>
        <v>шт.</v>
      </c>
      <c r="O453" t="str">
        <f t="shared" si="61"/>
        <v>ОК</v>
      </c>
      <c r="P453" t="str">
        <f t="shared" si="62"/>
        <v>Уникальный</v>
      </c>
    </row>
    <row r="454">
      <c r="A454" s="3" t="s">
        <v>1448</v>
      </c>
      <c r="B454" s="3" t="s">
        <v>1449</v>
      </c>
      <c r="C454" s="3" t="s">
        <v>98</v>
      </c>
      <c r="D454" s="3" t="s">
        <v>32</v>
      </c>
      <c r="E454" s="3" t="s">
        <v>399</v>
      </c>
      <c r="F454" s="3" t="s">
        <v>572</v>
      </c>
      <c r="G454" s="3" t="s">
        <v>22</v>
      </c>
      <c r="H454" t="str">
        <f t="shared" si="56"/>
        <v>АРТ-453</v>
      </c>
      <c r="I454" t="str">
        <f t="shared" si="57"/>
        <v xml:space="preserve">Наушники Apple Airpods Max</v>
      </c>
      <c r="J454" t="str">
        <f>IFERROR(VLOOKUP(TRIM(C454),Справочники!$A$3:$B$13,2,0),"Нет в справочнике")</f>
        <v>Наушники</v>
      </c>
      <c r="K454" t="str">
        <f t="shared" si="58"/>
        <v>Apple</v>
      </c>
      <c r="L454" s="4">
        <f t="shared" si="59"/>
        <v>26000</v>
      </c>
      <c r="M454" s="4">
        <f t="shared" si="60"/>
        <v>41500</v>
      </c>
      <c r="N454" t="str">
        <f>IFERROR(VLOOKUP(TRIM(G454),Справочники!$P$3:$Q$7,2,0),"Нет в справочнике")</f>
        <v>шт.</v>
      </c>
      <c r="O454" t="str">
        <f t="shared" si="61"/>
        <v>ОК</v>
      </c>
      <c r="P454" t="str">
        <f t="shared" si="62"/>
        <v>Уникальный</v>
      </c>
    </row>
    <row r="455">
      <c r="A455" s="3" t="s">
        <v>1450</v>
      </c>
      <c r="B455" s="3" t="s">
        <v>1451</v>
      </c>
      <c r="C455" s="3" t="s">
        <v>143</v>
      </c>
      <c r="D455" s="3" t="s">
        <v>55</v>
      </c>
      <c r="E455" s="3" t="s">
        <v>512</v>
      </c>
      <c r="F455" s="3" t="s">
        <v>1452</v>
      </c>
      <c r="G455" s="3" t="s">
        <v>42</v>
      </c>
      <c r="H455" t="str">
        <f t="shared" si="56"/>
        <v>АРТ-454</v>
      </c>
      <c r="I455" t="str">
        <f t="shared" si="57"/>
        <v xml:space="preserve">Монитор Samsung Odyssey G7</v>
      </c>
      <c r="J455" t="str">
        <f>IFERROR(VLOOKUP(TRIM(C455),Справочники!$A$3:$B$13,2,0),"Нет в справочнике")</f>
        <v>Мониторы</v>
      </c>
      <c r="K455" t="str">
        <f t="shared" si="58"/>
        <v>Samsung</v>
      </c>
      <c r="L455" s="4">
        <f t="shared" si="59"/>
        <v>48000</v>
      </c>
      <c r="M455" s="4">
        <f t="shared" si="60"/>
        <v>74990</v>
      </c>
      <c r="N455" t="str">
        <f>IFERROR(VLOOKUP(TRIM(G455),Справочники!$P$3:$Q$7,2,0),"Нет в справочнике")</f>
        <v>шт.</v>
      </c>
      <c r="O455" t="str">
        <f t="shared" si="61"/>
        <v>ОК</v>
      </c>
      <c r="P455" t="str">
        <f t="shared" si="62"/>
        <v>Уникальный</v>
      </c>
    </row>
    <row r="456">
      <c r="A456" s="3" t="s">
        <v>1453</v>
      </c>
      <c r="B456" s="3" t="s">
        <v>1454</v>
      </c>
      <c r="C456" s="3" t="s">
        <v>143</v>
      </c>
      <c r="D456" s="3" t="s">
        <v>148</v>
      </c>
      <c r="E456" s="3" t="s">
        <v>268</v>
      </c>
      <c r="F456" s="3" t="s">
        <v>403</v>
      </c>
      <c r="G456" s="3" t="s">
        <v>28</v>
      </c>
      <c r="H456" t="str">
        <f t="shared" si="56"/>
        <v>АРТ-455</v>
      </c>
      <c r="I456" t="str">
        <f t="shared" si="57"/>
        <v xml:space="preserve">Монитор Samsung Odyssey G7</v>
      </c>
      <c r="J456" t="str">
        <f>IFERROR(VLOOKUP(TRIM(C456),Справочники!$A$3:$B$13,2,0),"Нет в справочнике")</f>
        <v>Мониторы</v>
      </c>
      <c r="K456" t="str">
        <f t="shared" si="58"/>
        <v>Samsung</v>
      </c>
      <c r="L456" s="4">
        <f t="shared" si="59"/>
        <v>46500</v>
      </c>
      <c r="M456" s="4">
        <f t="shared" si="60"/>
        <v>72000</v>
      </c>
      <c r="N456" t="str">
        <f>IFERROR(VLOOKUP(TRIM(G456),Справочники!$P$3:$Q$7,2,0),"Нет в справочнике")</f>
        <v>шт.</v>
      </c>
      <c r="O456" t="str">
        <f t="shared" si="61"/>
        <v>ОК</v>
      </c>
      <c r="P456" t="str">
        <f t="shared" si="62"/>
        <v>Уникальный</v>
      </c>
    </row>
    <row r="457">
      <c r="A457" s="3" t="s">
        <v>1455</v>
      </c>
      <c r="B457" s="3" t="s">
        <v>1456</v>
      </c>
      <c r="C457" s="3" t="s">
        <v>143</v>
      </c>
      <c r="D457" s="3" t="s">
        <v>60</v>
      </c>
      <c r="E457" s="3" t="s">
        <v>480</v>
      </c>
      <c r="F457" s="3" t="s">
        <v>359</v>
      </c>
      <c r="G457" s="3" t="s">
        <v>22</v>
      </c>
      <c r="H457" t="str">
        <f t="shared" si="56"/>
        <v>АРТ-456</v>
      </c>
      <c r="I457" t="str">
        <f t="shared" si="57"/>
        <v xml:space="preserve">Монитор Samsung Odyssey G7</v>
      </c>
      <c r="J457" t="str">
        <f>IFERROR(VLOOKUP(TRIM(C457),Справочники!$A$3:$B$13,2,0),"Нет в справочнике")</f>
        <v>Мониторы</v>
      </c>
      <c r="K457" t="str">
        <f t="shared" si="58"/>
        <v>Samsung</v>
      </c>
      <c r="L457" s="4">
        <f t="shared" si="59"/>
        <v>49500</v>
      </c>
      <c r="M457" s="4">
        <f t="shared" si="60"/>
        <v>77500</v>
      </c>
      <c r="N457" t="str">
        <f>IFERROR(VLOOKUP(TRIM(G457),Справочники!$P$3:$Q$7,2,0),"Нет в справочнике")</f>
        <v>шт.</v>
      </c>
      <c r="O457" t="str">
        <f t="shared" si="61"/>
        <v>ОК</v>
      </c>
      <c r="P457" t="str">
        <f t="shared" si="62"/>
        <v>Уникальный</v>
      </c>
    </row>
    <row r="458">
      <c r="A458" s="3" t="s">
        <v>1457</v>
      </c>
      <c r="B458" s="3" t="s">
        <v>1458</v>
      </c>
      <c r="C458" s="3" t="s">
        <v>157</v>
      </c>
      <c r="D458" s="3" t="s">
        <v>677</v>
      </c>
      <c r="E458" s="3" t="s">
        <v>1106</v>
      </c>
      <c r="F458" s="3" t="s">
        <v>444</v>
      </c>
      <c r="G458" s="3" t="s">
        <v>42</v>
      </c>
      <c r="H458" t="str">
        <f t="shared" si="56"/>
        <v>АРТ-457</v>
      </c>
      <c r="I458" t="str">
        <f t="shared" si="57"/>
        <v xml:space="preserve">Клавиатура Ducky One 2 Mini</v>
      </c>
      <c r="J458" t="str">
        <f>IFERROR(VLOOKUP(TRIM(C458),Справочники!$A$3:$B$13,2,0),"Нет в справочнике")</f>
        <v>Аксессуары</v>
      </c>
      <c r="K458" t="str">
        <f t="shared" si="58"/>
        <v>Ducky</v>
      </c>
      <c r="L458" s="4">
        <f t="shared" si="59"/>
        <v>4000</v>
      </c>
      <c r="M458" s="4">
        <f t="shared" si="60"/>
        <v>6990</v>
      </c>
      <c r="N458" t="str">
        <f>IFERROR(VLOOKUP(TRIM(G458),Справочники!$P$3:$Q$7,2,0),"Нет в справочнике")</f>
        <v>шт.</v>
      </c>
      <c r="O458" t="str">
        <f t="shared" si="61"/>
        <v>ОК</v>
      </c>
      <c r="P458" t="str">
        <f t="shared" si="62"/>
        <v>Уникальный</v>
      </c>
    </row>
    <row r="459">
      <c r="A459" s="3" t="s">
        <v>1459</v>
      </c>
      <c r="B459" s="3" t="s">
        <v>1460</v>
      </c>
      <c r="C459" s="3" t="s">
        <v>157</v>
      </c>
      <c r="D459" s="3" t="s">
        <v>681</v>
      </c>
      <c r="E459" s="3" t="s">
        <v>443</v>
      </c>
      <c r="F459" s="3" t="s">
        <v>273</v>
      </c>
      <c r="G459" s="3" t="s">
        <v>35</v>
      </c>
      <c r="H459" t="str">
        <f t="shared" si="56"/>
        <v>АРТ-458</v>
      </c>
      <c r="I459" t="str">
        <f t="shared" si="57"/>
        <v xml:space="preserve">Клавиатура Ducky One 2 Mini</v>
      </c>
      <c r="J459" t="str">
        <f>IFERROR(VLOOKUP(TRIM(C459),Справочники!$A$3:$B$13,2,0),"Нет в справочнике")</f>
        <v>Аксессуары</v>
      </c>
      <c r="K459" t="str">
        <f t="shared" si="58"/>
        <v>Ducky</v>
      </c>
      <c r="L459" s="4">
        <f t="shared" si="59"/>
        <v>3500</v>
      </c>
      <c r="M459" s="4">
        <f t="shared" si="60"/>
        <v>6500</v>
      </c>
      <c r="N459" t="str">
        <f>IFERROR(VLOOKUP(TRIM(G459),Справочники!$P$3:$Q$7,2,0),"Нет в справочнике")</f>
        <v>шт.</v>
      </c>
      <c r="O459" t="str">
        <f t="shared" si="61"/>
        <v>ОК</v>
      </c>
      <c r="P459" t="str">
        <f t="shared" si="62"/>
        <v>Уникальный</v>
      </c>
    </row>
    <row r="460">
      <c r="A460" s="3" t="s">
        <v>1461</v>
      </c>
      <c r="B460" s="3" t="s">
        <v>1462</v>
      </c>
      <c r="C460" s="3" t="s">
        <v>157</v>
      </c>
      <c r="D460" s="3" t="s">
        <v>685</v>
      </c>
      <c r="E460" s="3" t="s">
        <v>173</v>
      </c>
      <c r="F460" s="3" t="s">
        <v>375</v>
      </c>
      <c r="G460" s="3" t="s">
        <v>22</v>
      </c>
      <c r="H460" t="str">
        <f t="shared" si="56"/>
        <v>АРТ-459</v>
      </c>
      <c r="I460" t="str">
        <f t="shared" si="57"/>
        <v xml:space="preserve">Клавиатура Ducky One 2 Mini</v>
      </c>
      <c r="J460" t="str">
        <f>IFERROR(VLOOKUP(TRIM(C460),Справочники!$A$3:$B$13,2,0),"Нет в справочнике")</f>
        <v>Аксессуары</v>
      </c>
      <c r="K460" t="str">
        <f t="shared" si="58"/>
        <v>Ducky</v>
      </c>
      <c r="L460" s="4">
        <f t="shared" si="59"/>
        <v>4500</v>
      </c>
      <c r="M460" s="4">
        <f t="shared" si="60"/>
        <v>7800</v>
      </c>
      <c r="N460" t="str">
        <f>IFERROR(VLOOKUP(TRIM(G460),Справочники!$P$3:$Q$7,2,0),"Нет в справочнике")</f>
        <v>шт.</v>
      </c>
      <c r="O460" t="str">
        <f t="shared" si="61"/>
        <v>ОК</v>
      </c>
      <c r="P460" t="str">
        <f t="shared" si="62"/>
        <v>Уникальный</v>
      </c>
    </row>
    <row r="461">
      <c r="A461" s="3" t="s">
        <v>1463</v>
      </c>
      <c r="B461" s="3" t="s">
        <v>1464</v>
      </c>
      <c r="C461" s="3" t="s">
        <v>199</v>
      </c>
      <c r="D461" s="3" t="s">
        <v>534</v>
      </c>
      <c r="E461" s="3" t="s">
        <v>558</v>
      </c>
      <c r="F461" s="3" t="s">
        <v>473</v>
      </c>
      <c r="G461" s="3" t="s">
        <v>42</v>
      </c>
      <c r="H461" t="str">
        <f t="shared" si="56"/>
        <v>АРТ-460</v>
      </c>
      <c r="I461" t="str">
        <f t="shared" si="57"/>
        <v xml:space="preserve">Смарт-Часы Garmin Instinct 2</v>
      </c>
      <c r="J461" t="str">
        <f>IFERROR(VLOOKUP(TRIM(C461),Справочники!$A$3:$B$13,2,0),"Нет в справочнике")</f>
        <v>Часы</v>
      </c>
      <c r="K461" t="str">
        <f t="shared" si="58"/>
        <v>Garmin</v>
      </c>
      <c r="L461" s="4">
        <f t="shared" si="59"/>
        <v>30000</v>
      </c>
      <c r="M461" s="4">
        <f t="shared" si="60"/>
        <v>47990</v>
      </c>
      <c r="N461" t="str">
        <f>IFERROR(VLOOKUP(TRIM(G461),Справочники!$P$3:$Q$7,2,0),"Нет в справочнике")</f>
        <v>шт.</v>
      </c>
      <c r="O461" t="str">
        <f t="shared" si="61"/>
        <v>ОК</v>
      </c>
      <c r="P461" t="str">
        <f t="shared" si="62"/>
        <v>Уникальный</v>
      </c>
    </row>
    <row r="462">
      <c r="A462" s="3" t="s">
        <v>1465</v>
      </c>
      <c r="B462" s="3" t="s">
        <v>1466</v>
      </c>
      <c r="C462" s="3" t="s">
        <v>199</v>
      </c>
      <c r="D462" s="3" t="s">
        <v>538</v>
      </c>
      <c r="E462" s="3" t="s">
        <v>692</v>
      </c>
      <c r="F462" s="3" t="s">
        <v>208</v>
      </c>
      <c r="G462" s="3" t="s">
        <v>28</v>
      </c>
      <c r="H462" t="str">
        <f t="shared" si="56"/>
        <v>АРТ-461</v>
      </c>
      <c r="I462" t="str">
        <f t="shared" si="57"/>
        <v xml:space="preserve">Смарт-Часы Garmin Instinct 2</v>
      </c>
      <c r="J462" t="str">
        <f>IFERROR(VLOOKUP(TRIM(C462),Справочники!$A$3:$B$13,2,0),"Нет в справочнике")</f>
        <v>Часы</v>
      </c>
      <c r="K462" t="str">
        <f t="shared" si="58"/>
        <v>Garmin</v>
      </c>
      <c r="L462" s="4">
        <f t="shared" si="59"/>
        <v>28500</v>
      </c>
      <c r="M462" s="4">
        <f t="shared" si="60"/>
        <v>46000</v>
      </c>
      <c r="N462" t="str">
        <f>IFERROR(VLOOKUP(TRIM(G462),Справочники!$P$3:$Q$7,2,0),"Нет в справочнике")</f>
        <v>шт.</v>
      </c>
      <c r="O462" t="str">
        <f t="shared" si="61"/>
        <v>ОК</v>
      </c>
      <c r="P462" t="str">
        <f t="shared" si="62"/>
        <v>Уникальный</v>
      </c>
    </row>
    <row r="463">
      <c r="A463" s="3" t="s">
        <v>1467</v>
      </c>
      <c r="B463" s="3" t="s">
        <v>1468</v>
      </c>
      <c r="C463" s="3" t="s">
        <v>199</v>
      </c>
      <c r="D463" s="3" t="s">
        <v>542</v>
      </c>
      <c r="E463" s="3" t="s">
        <v>254</v>
      </c>
      <c r="F463" s="3" t="s">
        <v>480</v>
      </c>
      <c r="G463" s="3" t="s">
        <v>22</v>
      </c>
      <c r="H463" t="str">
        <f t="shared" si="56"/>
        <v>АРТ-462</v>
      </c>
      <c r="I463" t="str">
        <f t="shared" si="57"/>
        <v xml:space="preserve">Смарт-Часы Garmin Instinct 2</v>
      </c>
      <c r="J463" t="str">
        <f>IFERROR(VLOOKUP(TRIM(C463),Справочники!$A$3:$B$13,2,0),"Нет в справочнике")</f>
        <v>Часы</v>
      </c>
      <c r="K463" t="str">
        <f t="shared" si="58"/>
        <v>Garmin</v>
      </c>
      <c r="L463" s="4">
        <f t="shared" si="59"/>
        <v>31500</v>
      </c>
      <c r="M463" s="4">
        <f t="shared" si="60"/>
        <v>49500</v>
      </c>
      <c r="N463" t="str">
        <f>IFERROR(VLOOKUP(TRIM(G463),Справочники!$P$3:$Q$7,2,0),"Нет в справочнике")</f>
        <v>шт.</v>
      </c>
      <c r="O463" t="str">
        <f t="shared" si="61"/>
        <v>ОК</v>
      </c>
      <c r="P463" t="str">
        <f t="shared" si="62"/>
        <v>Уникальный</v>
      </c>
    </row>
    <row r="464">
      <c r="A464" s="3" t="s">
        <v>1469</v>
      </c>
      <c r="B464" s="3" t="s">
        <v>1470</v>
      </c>
      <c r="C464" s="3" t="s">
        <v>69</v>
      </c>
      <c r="D464" s="3" t="s">
        <v>774</v>
      </c>
      <c r="E464" s="3" t="s">
        <v>100</v>
      </c>
      <c r="F464" s="3" t="s">
        <v>688</v>
      </c>
      <c r="G464" s="3" t="s">
        <v>42</v>
      </c>
      <c r="H464" t="str">
        <f t="shared" si="56"/>
        <v>АРТ-463</v>
      </c>
      <c r="I464" t="str">
        <f t="shared" si="57"/>
        <v xml:space="preserve">Планшет Amazon Fire Max 11</v>
      </c>
      <c r="J464" t="str">
        <f>IFERROR(VLOOKUP(TRIM(C464),Справочники!$A$3:$B$13,2,0),"Нет в справочнике")</f>
        <v>Планшеты</v>
      </c>
      <c r="K464" t="str">
        <f t="shared" si="58"/>
        <v>Amazon</v>
      </c>
      <c r="L464" s="4">
        <f t="shared" si="59"/>
        <v>18000</v>
      </c>
      <c r="M464" s="4">
        <f t="shared" si="60"/>
        <v>29990</v>
      </c>
      <c r="N464" t="str">
        <f>IFERROR(VLOOKUP(TRIM(G464),Справочники!$P$3:$Q$7,2,0),"Нет в справочнике")</f>
        <v>шт.</v>
      </c>
      <c r="O464" t="str">
        <f t="shared" si="61"/>
        <v>ОК</v>
      </c>
      <c r="P464" t="str">
        <f t="shared" si="62"/>
        <v>Уникальный</v>
      </c>
    </row>
    <row r="465">
      <c r="A465" s="3" t="s">
        <v>1471</v>
      </c>
      <c r="B465" s="3" t="s">
        <v>1472</v>
      </c>
      <c r="C465" s="3" t="s">
        <v>69</v>
      </c>
      <c r="D465" s="3" t="s">
        <v>777</v>
      </c>
      <c r="E465" s="3" t="s">
        <v>691</v>
      </c>
      <c r="F465" s="3" t="s">
        <v>692</v>
      </c>
      <c r="G465" s="3" t="s">
        <v>35</v>
      </c>
      <c r="H465" t="str">
        <f t="shared" si="56"/>
        <v>АРТ-464</v>
      </c>
      <c r="I465" t="str">
        <f t="shared" si="57"/>
        <v xml:space="preserve">Планшет Amazon Fire Max 11</v>
      </c>
      <c r="J465" t="str">
        <f>IFERROR(VLOOKUP(TRIM(C465),Справочники!$A$3:$B$13,2,0),"Нет в справочнике")</f>
        <v>Планшеты</v>
      </c>
      <c r="K465" t="str">
        <f t="shared" si="58"/>
        <v>Amazon</v>
      </c>
      <c r="L465" s="4">
        <f t="shared" si="59"/>
        <v>17000</v>
      </c>
      <c r="M465" s="4">
        <f t="shared" si="60"/>
        <v>28500</v>
      </c>
      <c r="N465" t="str">
        <f>IFERROR(VLOOKUP(TRIM(G465),Справочники!$P$3:$Q$7,2,0),"Нет в справочнике")</f>
        <v>шт.</v>
      </c>
      <c r="O465" t="str">
        <f t="shared" si="61"/>
        <v>ОК</v>
      </c>
      <c r="P465" t="str">
        <f t="shared" si="62"/>
        <v>Уникальный</v>
      </c>
    </row>
    <row r="466">
      <c r="A466" s="3" t="s">
        <v>1473</v>
      </c>
      <c r="B466" s="3" t="s">
        <v>1474</v>
      </c>
      <c r="C466" s="3" t="s">
        <v>69</v>
      </c>
      <c r="D466" s="3" t="s">
        <v>781</v>
      </c>
      <c r="E466" s="3" t="s">
        <v>344</v>
      </c>
      <c r="F466" s="3" t="s">
        <v>254</v>
      </c>
      <c r="G466" s="3" t="s">
        <v>22</v>
      </c>
      <c r="H466" t="str">
        <f t="shared" si="56"/>
        <v>АРТ-465</v>
      </c>
      <c r="I466" t="str">
        <f t="shared" si="57"/>
        <v xml:space="preserve">Планшет Amazon Fire Max 11</v>
      </c>
      <c r="J466" t="str">
        <f>IFERROR(VLOOKUP(TRIM(C466),Справочники!$A$3:$B$13,2,0),"Нет в справочнике")</f>
        <v>Планшеты</v>
      </c>
      <c r="K466" t="str">
        <f t="shared" si="58"/>
        <v>Amazon</v>
      </c>
      <c r="L466" s="4">
        <f t="shared" si="59"/>
        <v>19000</v>
      </c>
      <c r="M466" s="4">
        <f t="shared" si="60"/>
        <v>31500</v>
      </c>
      <c r="N466" t="str">
        <f>IFERROR(VLOOKUP(TRIM(G466),Справочники!$P$3:$Q$7,2,0),"Нет в справочнике")</f>
        <v>шт.</v>
      </c>
      <c r="O466" t="str">
        <f t="shared" si="61"/>
        <v>ОК</v>
      </c>
      <c r="P466" t="str">
        <f t="shared" si="62"/>
        <v>Уникальный</v>
      </c>
    </row>
    <row r="467">
      <c r="A467" s="3" t="s">
        <v>1475</v>
      </c>
      <c r="B467" s="3" t="s">
        <v>1476</v>
      </c>
      <c r="C467" s="3" t="s">
        <v>18</v>
      </c>
      <c r="D467" s="3" t="s">
        <v>968</v>
      </c>
      <c r="E467" s="3" t="s">
        <v>591</v>
      </c>
      <c r="F467" s="3" t="s">
        <v>592</v>
      </c>
      <c r="G467" s="3" t="s">
        <v>42</v>
      </c>
      <c r="H467" t="str">
        <f t="shared" si="56"/>
        <v>АРТ-466</v>
      </c>
      <c r="I467" t="str">
        <f t="shared" si="57"/>
        <v xml:space="preserve">Смартфон Nokia G60</v>
      </c>
      <c r="J467" t="str">
        <f>IFERROR(VLOOKUP(TRIM(C467),Справочники!$A$3:$B$13,2,0),"Нет в справочнике")</f>
        <v>Смартфоны</v>
      </c>
      <c r="K467" t="str">
        <f t="shared" si="58"/>
        <v>Nokia</v>
      </c>
      <c r="L467" s="4">
        <f t="shared" si="59"/>
        <v>14000</v>
      </c>
      <c r="M467" s="4">
        <f t="shared" si="60"/>
        <v>22990</v>
      </c>
      <c r="N467" t="str">
        <f>IFERROR(VLOOKUP(TRIM(G467),Справочники!$P$3:$Q$7,2,0),"Нет в справочнике")</f>
        <v>шт.</v>
      </c>
      <c r="O467" t="str">
        <f t="shared" si="61"/>
        <v>ОК</v>
      </c>
      <c r="P467" t="str">
        <f t="shared" si="62"/>
        <v>Уникальный</v>
      </c>
    </row>
    <row r="468">
      <c r="A468" s="3" t="s">
        <v>1477</v>
      </c>
      <c r="B468" s="3" t="s">
        <v>1478</v>
      </c>
      <c r="C468" s="3" t="s">
        <v>25</v>
      </c>
      <c r="D468" s="3" t="s">
        <v>972</v>
      </c>
      <c r="E468" s="3" t="s">
        <v>743</v>
      </c>
      <c r="F468" s="3" t="s">
        <v>1009</v>
      </c>
      <c r="G468" s="3" t="s">
        <v>28</v>
      </c>
      <c r="H468" t="str">
        <f t="shared" si="56"/>
        <v>АРТ-467</v>
      </c>
      <c r="I468" t="str">
        <f t="shared" si="57"/>
        <v xml:space="preserve">Смартфон Nokia G60</v>
      </c>
      <c r="J468" t="str">
        <f>IFERROR(VLOOKUP(TRIM(C468),Справочники!$A$3:$B$13,2,0),"Нет в справочнике")</f>
        <v>Смартфоны</v>
      </c>
      <c r="K468" t="str">
        <f t="shared" si="58"/>
        <v>Nokia</v>
      </c>
      <c r="L468" s="4">
        <f t="shared" si="59"/>
        <v>13000</v>
      </c>
      <c r="M468" s="4">
        <f t="shared" si="60"/>
        <v>21500</v>
      </c>
      <c r="N468" t="str">
        <f>IFERROR(VLOOKUP(TRIM(G468),Справочники!$P$3:$Q$7,2,0),"Нет в справочнике")</f>
        <v>шт.</v>
      </c>
      <c r="O468" t="str">
        <f t="shared" si="61"/>
        <v>ОК</v>
      </c>
      <c r="P468" t="str">
        <f t="shared" si="62"/>
        <v>Уникальный</v>
      </c>
    </row>
    <row r="469">
      <c r="A469" s="3" t="s">
        <v>1479</v>
      </c>
      <c r="B469" s="3" t="s">
        <v>1480</v>
      </c>
      <c r="C469" s="3" t="s">
        <v>31</v>
      </c>
      <c r="D469" s="3" t="s">
        <v>975</v>
      </c>
      <c r="E469" s="3" t="s">
        <v>236</v>
      </c>
      <c r="F469" s="3" t="s">
        <v>1012</v>
      </c>
      <c r="G469" s="3" t="s">
        <v>22</v>
      </c>
      <c r="H469" t="str">
        <f t="shared" si="56"/>
        <v>АРТ-468</v>
      </c>
      <c r="I469" t="str">
        <f t="shared" si="57"/>
        <v xml:space="preserve">Смартфон Nokia G60</v>
      </c>
      <c r="J469" t="str">
        <f>IFERROR(VLOOKUP(TRIM(C469),Справочники!$A$3:$B$13,2,0),"Нет в справочнике")</f>
        <v>Смартфоны</v>
      </c>
      <c r="K469" t="str">
        <f t="shared" si="58"/>
        <v>Nokia</v>
      </c>
      <c r="L469" s="4">
        <f t="shared" si="59"/>
        <v>15000</v>
      </c>
      <c r="M469" s="4">
        <f t="shared" si="60"/>
        <v>24500</v>
      </c>
      <c r="N469" t="str">
        <f>IFERROR(VLOOKUP(TRIM(G469),Справочники!$P$3:$Q$7,2,0),"Нет в справочнике")</f>
        <v>шт.</v>
      </c>
      <c r="O469" t="str">
        <f t="shared" si="61"/>
        <v>ОК</v>
      </c>
      <c r="P469" t="str">
        <f t="shared" si="62"/>
        <v>Уникальный</v>
      </c>
    </row>
    <row r="470">
      <c r="A470" s="3" t="s">
        <v>1481</v>
      </c>
      <c r="B470" s="3" t="s">
        <v>1482</v>
      </c>
      <c r="C470" s="3" t="s">
        <v>83</v>
      </c>
      <c r="D470" s="3" t="s">
        <v>483</v>
      </c>
      <c r="E470" s="3" t="s">
        <v>913</v>
      </c>
      <c r="F470" s="3" t="s">
        <v>1483</v>
      </c>
      <c r="G470" s="3" t="s">
        <v>42</v>
      </c>
      <c r="H470" t="str">
        <f t="shared" si="56"/>
        <v>АРТ-469</v>
      </c>
      <c r="I470" t="str">
        <f t="shared" si="57"/>
        <v xml:space="preserve">Телевизор Hisense E7K</v>
      </c>
      <c r="J470" t="str">
        <f>IFERROR(VLOOKUP(TRIM(C470),Справочники!$A$3:$B$13,2,0),"Нет в справочнике")</f>
        <v>Телевизоры</v>
      </c>
      <c r="K470" t="str">
        <f t="shared" si="58"/>
        <v>Hisense</v>
      </c>
      <c r="L470" s="4">
        <f t="shared" si="59"/>
        <v>38000</v>
      </c>
      <c r="M470" s="4">
        <f t="shared" si="60"/>
        <v>58990</v>
      </c>
      <c r="N470" t="str">
        <f>IFERROR(VLOOKUP(TRIM(G470),Справочники!$P$3:$Q$7,2,0),"Нет в справочнике")</f>
        <v>шт.</v>
      </c>
      <c r="O470" t="str">
        <f t="shared" si="61"/>
        <v>ОК</v>
      </c>
      <c r="P470" t="str">
        <f t="shared" si="62"/>
        <v>Уникальный</v>
      </c>
    </row>
    <row r="471">
      <c r="A471" s="3" t="s">
        <v>1484</v>
      </c>
      <c r="B471" s="3" t="s">
        <v>1485</v>
      </c>
      <c r="C471" s="3" t="s">
        <v>83</v>
      </c>
      <c r="D471" s="3" t="s">
        <v>488</v>
      </c>
      <c r="E471" s="3" t="s">
        <v>884</v>
      </c>
      <c r="F471" s="3" t="s">
        <v>419</v>
      </c>
      <c r="G471" s="3" t="s">
        <v>35</v>
      </c>
      <c r="H471" t="str">
        <f t="shared" si="56"/>
        <v>АРТ-470</v>
      </c>
      <c r="I471" t="str">
        <f t="shared" si="57"/>
        <v xml:space="preserve">Телевизор Hisense E7K</v>
      </c>
      <c r="J471" t="str">
        <f>IFERROR(VLOOKUP(TRIM(C471),Справочники!$A$3:$B$13,2,0),"Нет в справочнике")</f>
        <v>Телевизоры</v>
      </c>
      <c r="K471" t="str">
        <f t="shared" si="58"/>
        <v>Hisense</v>
      </c>
      <c r="L471" s="4">
        <f t="shared" si="59"/>
        <v>36500</v>
      </c>
      <c r="M471" s="4">
        <f t="shared" si="60"/>
        <v>56500</v>
      </c>
      <c r="N471" t="str">
        <f>IFERROR(VLOOKUP(TRIM(G471),Справочники!$P$3:$Q$7,2,0),"Нет в справочнике")</f>
        <v>шт.</v>
      </c>
      <c r="O471" t="str">
        <f t="shared" si="61"/>
        <v>ОК</v>
      </c>
      <c r="P471" t="str">
        <f t="shared" si="62"/>
        <v>Уникальный</v>
      </c>
    </row>
    <row r="472">
      <c r="A472" s="3" t="s">
        <v>1486</v>
      </c>
      <c r="B472" s="3" t="s">
        <v>1487</v>
      </c>
      <c r="C472" s="3" t="s">
        <v>83</v>
      </c>
      <c r="D472" s="3" t="s">
        <v>493</v>
      </c>
      <c r="E472" s="3" t="s">
        <v>61</v>
      </c>
      <c r="F472" s="3" t="s">
        <v>1488</v>
      </c>
      <c r="G472" s="3" t="s">
        <v>22</v>
      </c>
      <c r="H472" t="str">
        <f t="shared" si="56"/>
        <v>АРТ-471</v>
      </c>
      <c r="I472" t="str">
        <f t="shared" si="57"/>
        <v xml:space="preserve">Телевизор Hisense E7K</v>
      </c>
      <c r="J472" t="str">
        <f>IFERROR(VLOOKUP(TRIM(C472),Справочники!$A$3:$B$13,2,0),"Нет в справочнике")</f>
        <v>Телевизоры</v>
      </c>
      <c r="K472" t="str">
        <f t="shared" si="58"/>
        <v>Hisense</v>
      </c>
      <c r="L472" s="4">
        <f t="shared" si="59"/>
        <v>39500</v>
      </c>
      <c r="M472" s="4">
        <f t="shared" si="60"/>
        <v>61000</v>
      </c>
      <c r="N472" t="str">
        <f>IFERROR(VLOOKUP(TRIM(G472),Справочники!$P$3:$Q$7,2,0),"Нет в справочнике")</f>
        <v>шт.</v>
      </c>
      <c r="O472" t="str">
        <f t="shared" si="61"/>
        <v>ОК</v>
      </c>
      <c r="P472" t="str">
        <f t="shared" si="62"/>
        <v>Уникальный</v>
      </c>
    </row>
    <row r="473">
      <c r="A473" s="3" t="s">
        <v>1489</v>
      </c>
      <c r="B473" s="3" t="s">
        <v>1490</v>
      </c>
      <c r="C473" s="3" t="s">
        <v>98</v>
      </c>
      <c r="D473" s="3" t="s">
        <v>224</v>
      </c>
      <c r="E473" s="3" t="s">
        <v>678</v>
      </c>
      <c r="F473" s="3" t="s">
        <v>174</v>
      </c>
      <c r="G473" s="3" t="s">
        <v>42</v>
      </c>
      <c r="H473" t="str">
        <f t="shared" si="56"/>
        <v>АРТ-472</v>
      </c>
      <c r="I473" t="str">
        <f t="shared" si="57"/>
        <v xml:space="preserve">Наушники Sony Wf-C500</v>
      </c>
      <c r="J473" t="str">
        <f>IFERROR(VLOOKUP(TRIM(C473),Справочники!$A$3:$B$13,2,0),"Нет в справочнике")</f>
        <v>Наушники</v>
      </c>
      <c r="K473" t="str">
        <f t="shared" si="58"/>
        <v>Sony</v>
      </c>
      <c r="L473" s="4">
        <f t="shared" si="59"/>
        <v>5000</v>
      </c>
      <c r="M473" s="4">
        <f t="shared" si="60"/>
        <v>8990</v>
      </c>
      <c r="N473" t="str">
        <f>IFERROR(VLOOKUP(TRIM(G473),Справочники!$P$3:$Q$7,2,0),"Нет в справочнике")</f>
        <v>шт.</v>
      </c>
      <c r="O473" t="str">
        <f t="shared" si="61"/>
        <v>ОК</v>
      </c>
      <c r="P473" t="str">
        <f t="shared" si="62"/>
        <v>Уникальный</v>
      </c>
    </row>
    <row r="474">
      <c r="A474" s="3" t="s">
        <v>1491</v>
      </c>
      <c r="B474" s="3" t="s">
        <v>1492</v>
      </c>
      <c r="C474" s="3" t="s">
        <v>98</v>
      </c>
      <c r="D474" s="3" t="s">
        <v>104</v>
      </c>
      <c r="E474" s="3" t="s">
        <v>173</v>
      </c>
      <c r="F474" s="3" t="s">
        <v>178</v>
      </c>
      <c r="G474" s="3" t="s">
        <v>28</v>
      </c>
      <c r="H474" t="str">
        <f t="shared" si="56"/>
        <v>АРТ-473</v>
      </c>
      <c r="I474" t="str">
        <f t="shared" si="57"/>
        <v xml:space="preserve">Наушники Sony Wf-C500</v>
      </c>
      <c r="J474" t="str">
        <f>IFERROR(VLOOKUP(TRIM(C474),Справочники!$A$3:$B$13,2,0),"Нет в справочнике")</f>
        <v>Наушники</v>
      </c>
      <c r="K474" t="str">
        <f t="shared" si="58"/>
        <v>Sony</v>
      </c>
      <c r="L474" s="4">
        <f t="shared" si="59"/>
        <v>4500</v>
      </c>
      <c r="M474" s="4">
        <f t="shared" si="60"/>
        <v>8500</v>
      </c>
      <c r="N474" t="str">
        <f>IFERROR(VLOOKUP(TRIM(G474),Справочники!$P$3:$Q$7,2,0),"Нет в справочнике")</f>
        <v>шт.</v>
      </c>
      <c r="O474" t="str">
        <f t="shared" si="61"/>
        <v>ОК</v>
      </c>
      <c r="P474" t="str">
        <f t="shared" si="62"/>
        <v>Уникальный</v>
      </c>
    </row>
    <row r="475">
      <c r="A475" s="3" t="s">
        <v>1493</v>
      </c>
      <c r="B475" s="3" t="s">
        <v>1494</v>
      </c>
      <c r="C475" s="3" t="s">
        <v>98</v>
      </c>
      <c r="D475" s="3" t="s">
        <v>99</v>
      </c>
      <c r="E475" s="3" t="s">
        <v>159</v>
      </c>
      <c r="F475" s="3" t="s">
        <v>1124</v>
      </c>
      <c r="G475" s="3" t="s">
        <v>22</v>
      </c>
      <c r="H475" t="str">
        <f t="shared" si="56"/>
        <v>АРТ-474</v>
      </c>
      <c r="I475" t="str">
        <f t="shared" si="57"/>
        <v xml:space="preserve">Наушники Sony Wf-C500</v>
      </c>
      <c r="J475" t="str">
        <f>IFERROR(VLOOKUP(TRIM(C475),Справочники!$A$3:$B$13,2,0),"Нет в справочнике")</f>
        <v>Наушники</v>
      </c>
      <c r="K475" t="str">
        <f t="shared" si="58"/>
        <v>Sony</v>
      </c>
      <c r="L475" s="4">
        <f t="shared" si="59"/>
        <v>5500</v>
      </c>
      <c r="M475" s="4">
        <f t="shared" si="60"/>
        <v>9800</v>
      </c>
      <c r="N475" t="str">
        <f>IFERROR(VLOOKUP(TRIM(G475),Справочники!$P$3:$Q$7,2,0),"Нет в справочнике")</f>
        <v>шт.</v>
      </c>
      <c r="O475" t="str">
        <f t="shared" si="61"/>
        <v>ОК</v>
      </c>
      <c r="P475" t="str">
        <f t="shared" si="62"/>
        <v>Уникальный</v>
      </c>
    </row>
    <row r="476">
      <c r="A476" s="3" t="s">
        <v>1495</v>
      </c>
      <c r="B476" s="3" t="s">
        <v>1496</v>
      </c>
      <c r="C476" s="3" t="s">
        <v>143</v>
      </c>
      <c r="D476" s="3" t="s">
        <v>84</v>
      </c>
      <c r="E476" s="3" t="s">
        <v>415</v>
      </c>
      <c r="F476" s="3" t="s">
        <v>1497</v>
      </c>
      <c r="G476" s="3" t="s">
        <v>42</v>
      </c>
      <c r="H476" t="str">
        <f t="shared" si="56"/>
        <v>АРТ-475</v>
      </c>
      <c r="I476" t="str">
        <f t="shared" si="57"/>
        <v xml:space="preserve">Монитор Lg 27Gn800</v>
      </c>
      <c r="J476" t="str">
        <f>IFERROR(VLOOKUP(TRIM(C476),Справочники!$A$3:$B$13,2,0),"Нет в справочнике")</f>
        <v>Мониторы</v>
      </c>
      <c r="K476" t="str">
        <f t="shared" si="58"/>
        <v>LG</v>
      </c>
      <c r="L476" s="4">
        <f t="shared" si="59"/>
        <v>34000</v>
      </c>
      <c r="M476" s="4">
        <f t="shared" si="60"/>
        <v>52990</v>
      </c>
      <c r="N476" t="str">
        <f>IFERROR(VLOOKUP(TRIM(G476),Справочники!$P$3:$Q$7,2,0),"Нет в справочнике")</f>
        <v>шт.</v>
      </c>
      <c r="O476" t="str">
        <f t="shared" si="61"/>
        <v>ОК</v>
      </c>
      <c r="P476" t="str">
        <f t="shared" si="62"/>
        <v>Уникальный</v>
      </c>
    </row>
    <row r="477">
      <c r="A477" s="3" t="s">
        <v>1498</v>
      </c>
      <c r="B477" s="3" t="s">
        <v>1499</v>
      </c>
      <c r="C477" s="3" t="s">
        <v>143</v>
      </c>
      <c r="D477" s="3" t="s">
        <v>89</v>
      </c>
      <c r="E477" s="3" t="s">
        <v>316</v>
      </c>
      <c r="F477" s="3" t="s">
        <v>358</v>
      </c>
      <c r="G477" s="3" t="s">
        <v>35</v>
      </c>
      <c r="H477" t="str">
        <f t="shared" si="56"/>
        <v>АРТ-476</v>
      </c>
      <c r="I477" t="str">
        <f t="shared" si="57"/>
        <v xml:space="preserve">Монитор Lg 27Gn800</v>
      </c>
      <c r="J477" t="str">
        <f>IFERROR(VLOOKUP(TRIM(C477),Справочники!$A$3:$B$13,2,0),"Нет в справочнике")</f>
        <v>Мониторы</v>
      </c>
      <c r="K477" t="str">
        <f t="shared" si="58"/>
        <v>LG</v>
      </c>
      <c r="L477" s="4">
        <f t="shared" si="59"/>
        <v>32500</v>
      </c>
      <c r="M477" s="4">
        <f t="shared" si="60"/>
        <v>50500</v>
      </c>
      <c r="N477" t="str">
        <f>IFERROR(VLOOKUP(TRIM(G477),Справочники!$P$3:$Q$7,2,0),"Нет в справочнике")</f>
        <v>шт.</v>
      </c>
      <c r="O477" t="str">
        <f t="shared" si="61"/>
        <v>ОК</v>
      </c>
      <c r="P477" t="str">
        <f t="shared" si="62"/>
        <v>Уникальный</v>
      </c>
    </row>
    <row r="478">
      <c r="A478" s="3" t="s">
        <v>1500</v>
      </c>
      <c r="B478" s="3" t="s">
        <v>1501</v>
      </c>
      <c r="C478" s="3" t="s">
        <v>143</v>
      </c>
      <c r="D478" s="3" t="s">
        <v>84</v>
      </c>
      <c r="E478" s="3" t="s">
        <v>1287</v>
      </c>
      <c r="F478" s="3" t="s">
        <v>70</v>
      </c>
      <c r="G478" s="3" t="s">
        <v>22</v>
      </c>
      <c r="H478" t="str">
        <f t="shared" si="56"/>
        <v>АРТ-477</v>
      </c>
      <c r="I478" t="str">
        <f t="shared" si="57"/>
        <v xml:space="preserve">Монитор Lg 27Gn800</v>
      </c>
      <c r="J478" t="str">
        <f>IFERROR(VLOOKUP(TRIM(C478),Справочники!$A$3:$B$13,2,0),"Нет в справочнике")</f>
        <v>Мониторы</v>
      </c>
      <c r="K478" t="str">
        <f t="shared" si="58"/>
        <v>LG</v>
      </c>
      <c r="L478" s="4">
        <f t="shared" si="59"/>
        <v>35500</v>
      </c>
      <c r="M478" s="4">
        <f t="shared" si="60"/>
        <v>55000</v>
      </c>
      <c r="N478" t="str">
        <f>IFERROR(VLOOKUP(TRIM(G478),Справочники!$P$3:$Q$7,2,0),"Нет в справочнике")</f>
        <v>шт.</v>
      </c>
      <c r="O478" t="str">
        <f t="shared" si="61"/>
        <v>ОК</v>
      </c>
      <c r="P478" t="str">
        <f t="shared" si="62"/>
        <v>Уникальный</v>
      </c>
    </row>
    <row r="479">
      <c r="A479" s="3" t="s">
        <v>1502</v>
      </c>
      <c r="B479" s="3" t="s">
        <v>1503</v>
      </c>
      <c r="C479" s="3" t="s">
        <v>157</v>
      </c>
      <c r="D479" s="3" t="s">
        <v>337</v>
      </c>
      <c r="E479" s="3" t="s">
        <v>738</v>
      </c>
      <c r="F479" s="3" t="s">
        <v>367</v>
      </c>
      <c r="G479" s="3" t="s">
        <v>42</v>
      </c>
      <c r="H479" t="str">
        <f t="shared" si="56"/>
        <v>АРТ-478</v>
      </c>
      <c r="I479" t="str">
        <f t="shared" si="57"/>
        <v xml:space="preserve">Колонка Marshall Emberton Ii</v>
      </c>
      <c r="J479" t="str">
        <f>IFERROR(VLOOKUP(TRIM(C479),Справочники!$A$3:$B$13,2,0),"Нет в справочнике")</f>
        <v>Аксессуары</v>
      </c>
      <c r="K479" t="str">
        <f t="shared" si="58"/>
        <v>Marshall</v>
      </c>
      <c r="L479" s="4">
        <f t="shared" si="59"/>
        <v>8000</v>
      </c>
      <c r="M479" s="4">
        <f t="shared" si="60"/>
        <v>12990</v>
      </c>
      <c r="N479" t="str">
        <f>IFERROR(VLOOKUP(TRIM(G479),Справочники!$P$3:$Q$7,2,0),"Нет в справочнике")</f>
        <v>шт.</v>
      </c>
      <c r="O479" t="str">
        <f t="shared" si="61"/>
        <v>ОК</v>
      </c>
      <c r="P479" t="str">
        <f t="shared" si="62"/>
        <v>Уникальный</v>
      </c>
    </row>
    <row r="480">
      <c r="A480" s="3" t="s">
        <v>1504</v>
      </c>
      <c r="B480" s="3" t="s">
        <v>1505</v>
      </c>
      <c r="C480" s="3" t="s">
        <v>157</v>
      </c>
      <c r="D480" s="3" t="s">
        <v>342</v>
      </c>
      <c r="E480" s="3" t="s">
        <v>366</v>
      </c>
      <c r="F480" s="3" t="s">
        <v>348</v>
      </c>
      <c r="G480" s="3" t="s">
        <v>28</v>
      </c>
      <c r="H480" t="str">
        <f t="shared" si="56"/>
        <v>АРТ-479</v>
      </c>
      <c r="I480" t="str">
        <f t="shared" si="57"/>
        <v xml:space="preserve">Колонка Marshall Emberton Ii</v>
      </c>
      <c r="J480" t="str">
        <f>IFERROR(VLOOKUP(TRIM(C480),Справочники!$A$3:$B$13,2,0),"Нет в справочнике")</f>
        <v>Аксессуары</v>
      </c>
      <c r="K480" t="str">
        <f t="shared" si="58"/>
        <v>Marshall</v>
      </c>
      <c r="L480" s="4">
        <f t="shared" si="59"/>
        <v>7500</v>
      </c>
      <c r="M480" s="4">
        <f t="shared" si="60"/>
        <v>12500</v>
      </c>
      <c r="N480" t="str">
        <f>IFERROR(VLOOKUP(TRIM(G480),Справочники!$P$3:$Q$7,2,0),"Нет в справочнике")</f>
        <v>шт.</v>
      </c>
      <c r="O480" t="str">
        <f t="shared" si="61"/>
        <v>ОК</v>
      </c>
      <c r="P480" t="str">
        <f t="shared" si="62"/>
        <v>Уникальный</v>
      </c>
    </row>
    <row r="481">
      <c r="A481" s="3" t="s">
        <v>1506</v>
      </c>
      <c r="B481" s="3" t="s">
        <v>1507</v>
      </c>
      <c r="C481" s="3" t="s">
        <v>157</v>
      </c>
      <c r="D481" s="3" t="s">
        <v>347</v>
      </c>
      <c r="E481" s="3" t="s">
        <v>178</v>
      </c>
      <c r="F481" s="3" t="s">
        <v>1162</v>
      </c>
      <c r="G481" s="3" t="s">
        <v>22</v>
      </c>
      <c r="H481" t="str">
        <f t="shared" si="56"/>
        <v>АРТ-480</v>
      </c>
      <c r="I481" t="str">
        <f t="shared" si="57"/>
        <v xml:space="preserve">Колонка Marshall Emberton Ii</v>
      </c>
      <c r="J481" t="str">
        <f>IFERROR(VLOOKUP(TRIM(C481),Справочники!$A$3:$B$13,2,0),"Нет в справочнике")</f>
        <v>Аксессуары</v>
      </c>
      <c r="K481" t="str">
        <f t="shared" si="58"/>
        <v>Marshall</v>
      </c>
      <c r="L481" s="4">
        <f t="shared" si="59"/>
        <v>8500</v>
      </c>
      <c r="M481" s="4">
        <f t="shared" si="60"/>
        <v>13800</v>
      </c>
      <c r="N481" t="str">
        <f>IFERROR(VLOOKUP(TRIM(G481),Справочники!$P$3:$Q$7,2,0),"Нет в справочнике")</f>
        <v>шт.</v>
      </c>
      <c r="O481" t="str">
        <f t="shared" si="61"/>
        <v>ОК</v>
      </c>
      <c r="P481" t="str">
        <f t="shared" si="62"/>
        <v>Уникальный</v>
      </c>
    </row>
    <row r="482">
      <c r="A482" s="3" t="s">
        <v>1508</v>
      </c>
      <c r="B482" s="3" t="s">
        <v>1509</v>
      </c>
      <c r="C482" s="3" t="s">
        <v>69</v>
      </c>
      <c r="D482" s="3" t="s">
        <v>185</v>
      </c>
      <c r="E482" s="3" t="s">
        <v>391</v>
      </c>
      <c r="F482" s="3" t="s">
        <v>392</v>
      </c>
      <c r="G482" s="3" t="s">
        <v>42</v>
      </c>
      <c r="H482" t="str">
        <f t="shared" si="56"/>
        <v>АРТ-481</v>
      </c>
      <c r="I482" t="str">
        <f t="shared" si="57"/>
        <v xml:space="preserve">Планшет Huawei Matepad 11</v>
      </c>
      <c r="J482" t="str">
        <f>IFERROR(VLOOKUP(TRIM(C482),Справочники!$A$3:$B$13,2,0),"Нет в справочнике")</f>
        <v>Планшеты</v>
      </c>
      <c r="K482" t="str">
        <f t="shared" si="58"/>
        <v>Huawei</v>
      </c>
      <c r="L482" s="4">
        <f t="shared" si="59"/>
        <v>25000</v>
      </c>
      <c r="M482" s="4">
        <f t="shared" si="60"/>
        <v>39990</v>
      </c>
      <c r="N482" t="str">
        <f>IFERROR(VLOOKUP(TRIM(G482),Справочники!$P$3:$Q$7,2,0),"Нет в справочнике")</f>
        <v>шт.</v>
      </c>
      <c r="O482" t="str">
        <f t="shared" si="61"/>
        <v>ОК</v>
      </c>
      <c r="P482" t="str">
        <f t="shared" si="62"/>
        <v>Уникальный</v>
      </c>
    </row>
    <row r="483">
      <c r="A483" s="3" t="s">
        <v>1510</v>
      </c>
      <c r="B483" s="3" t="s">
        <v>1511</v>
      </c>
      <c r="C483" s="3" t="s">
        <v>69</v>
      </c>
      <c r="D483" s="3" t="s">
        <v>190</v>
      </c>
      <c r="E483" s="3" t="s">
        <v>395</v>
      </c>
      <c r="F483" s="3" t="s">
        <v>396</v>
      </c>
      <c r="G483" s="3" t="s">
        <v>35</v>
      </c>
      <c r="H483" t="str">
        <f t="shared" si="56"/>
        <v>АРТ-482</v>
      </c>
      <c r="I483" t="str">
        <f t="shared" si="57"/>
        <v xml:space="preserve">Планшет Huawei Matepad 11</v>
      </c>
      <c r="J483" t="str">
        <f>IFERROR(VLOOKUP(TRIM(C483),Справочники!$A$3:$B$13,2,0),"Нет в справочнике")</f>
        <v>Планшеты</v>
      </c>
      <c r="K483" t="str">
        <f t="shared" si="58"/>
        <v>Huawei</v>
      </c>
      <c r="L483" s="4">
        <f t="shared" si="59"/>
        <v>24000</v>
      </c>
      <c r="M483" s="4">
        <f t="shared" si="60"/>
        <v>38500</v>
      </c>
      <c r="N483" t="str">
        <f>IFERROR(VLOOKUP(TRIM(G483),Справочники!$P$3:$Q$7,2,0),"Нет в справочнике")</f>
        <v>шт.</v>
      </c>
      <c r="O483" t="str">
        <f t="shared" si="61"/>
        <v>ОК</v>
      </c>
      <c r="P483" t="str">
        <f t="shared" si="62"/>
        <v>Уникальный</v>
      </c>
    </row>
    <row r="484">
      <c r="A484" s="3" t="s">
        <v>1512</v>
      </c>
      <c r="B484" s="3" t="s">
        <v>1513</v>
      </c>
      <c r="C484" s="3" t="s">
        <v>69</v>
      </c>
      <c r="D484" s="3" t="s">
        <v>195</v>
      </c>
      <c r="E484" s="3" t="s">
        <v>399</v>
      </c>
      <c r="F484" s="3" t="s">
        <v>572</v>
      </c>
      <c r="G484" s="3" t="s">
        <v>22</v>
      </c>
      <c r="H484" t="str">
        <f t="shared" ref="H484:H502" si="63">"АРТ-"&amp;TEXT(VALUE(LEFT(SUBSTITUTE(SUBSTITUTE(SUBSTITUTE(SUBSTITUTE(TRIM(A484),"№",""),"АРТ-",""),"АРТ_",""),"АРТ",""),3)),"000")</f>
        <v>АРТ-483</v>
      </c>
      <c r="I484" t="str">
        <f t="shared" ref="I484:I502" si="64">PROPER(TRIM(IFERROR(LEFT(B484,FIND("(",B484)-1),B484)))</f>
        <v xml:space="preserve">Планшет Huawei Matepad 11</v>
      </c>
      <c r="J484" t="str">
        <f>IFERROR(VLOOKUP(TRIM(C484),Справочники!$A$3:$B$13,2,0),"Нет в справочнике")</f>
        <v>Планшеты</v>
      </c>
      <c r="K484" t="str">
        <f t="shared" ref="K484:K502" si="65">IF(LEN(TRIM(D484))&lt;=3,UPPER(TRIM(D484)),PROPER(TRIM(D484)))</f>
        <v>Huawei</v>
      </c>
      <c r="L484" s="4">
        <f t="shared" ref="L484:L502" si="66">ROUND(VALUE(SUBSTITUTE(SUBSTITUTE(SUBSTITUTE(SUBSTITUTE(SUBSTITUTE(TRIM(E484)," ",""),"руб.",""),"₽",""),",",""),".",""))/IF(OR(ISNUMBER(FIND(",",SUBSTITUTE(SUBSTITUTE(SUBSTITUTE(TRIM(E484)," ",""),"руб.",""),"₽",""))),ISNUMBER(FIND(".",SUBSTITUTE(SUBSTITUTE(SUBSTITUTE(TRIM(E484)," ",""),"руб.",""),"₽","")))),100,1),2)</f>
        <v>26000</v>
      </c>
      <c r="M484" s="4">
        <f t="shared" ref="M484:M502" si="67">ROUND(VALUE(SUBSTITUTE(SUBSTITUTE(SUBSTITUTE(SUBSTITUTE(SUBSTITUTE(TRIM(F484)," ",""),"руб.",""),"₽",""),",",""),".",""))/IF(OR(ISNUMBER(FIND(",",SUBSTITUTE(SUBSTITUTE(SUBSTITUTE(TRIM(F484)," ",""),"руб.",""),"₽",""))),ISNUMBER(FIND(".",SUBSTITUTE(SUBSTITUTE(SUBSTITUTE(TRIM(F484)," ",""),"руб.",""),"₽","")))),100,1),2)</f>
        <v>41500</v>
      </c>
      <c r="N484" t="str">
        <f>IFERROR(VLOOKUP(TRIM(G484),Справочники!$P$3:$Q$7,2,0),"Нет в справочнике")</f>
        <v>шт.</v>
      </c>
      <c r="O484" t="str">
        <f t="shared" ref="O484:O502" si="68">IF(M484&gt;=L484,"ОК","Розница ниже закупки")</f>
        <v>ОК</v>
      </c>
      <c r="P484" t="str">
        <f t="shared" ref="P484:P502" si="69">IF(COUNTIF($H$2:$H$502,H484)&gt;1,"Повтор артикула","Уникальный")</f>
        <v>Уникальный</v>
      </c>
    </row>
    <row r="485">
      <c r="A485" s="3" t="s">
        <v>1514</v>
      </c>
      <c r="B485" s="3" t="s">
        <v>1515</v>
      </c>
      <c r="C485" s="3" t="s">
        <v>18</v>
      </c>
      <c r="D485" s="3" t="s">
        <v>248</v>
      </c>
      <c r="E485" s="3" t="s">
        <v>1042</v>
      </c>
      <c r="F485" s="3" t="s">
        <v>1516</v>
      </c>
      <c r="G485" s="3" t="s">
        <v>42</v>
      </c>
      <c r="H485" t="str">
        <f t="shared" si="63"/>
        <v>АРТ-484</v>
      </c>
      <c r="I485" t="str">
        <f t="shared" si="64"/>
        <v xml:space="preserve">Смартфон Google Pixel 6A</v>
      </c>
      <c r="J485" t="str">
        <f>IFERROR(VLOOKUP(TRIM(C485),Справочники!$A$3:$B$13,2,0),"Нет в справочнике")</f>
        <v>Смартфоны</v>
      </c>
      <c r="K485" t="str">
        <f t="shared" si="65"/>
        <v>Google</v>
      </c>
      <c r="L485" s="4">
        <f t="shared" si="66"/>
        <v>20000</v>
      </c>
      <c r="M485" s="4">
        <f t="shared" si="67"/>
        <v>33990</v>
      </c>
      <c r="N485" t="str">
        <f>IFERROR(VLOOKUP(TRIM(G485),Справочники!$P$3:$Q$7,2,0),"Нет в справочнике")</f>
        <v>шт.</v>
      </c>
      <c r="O485" t="str">
        <f t="shared" si="68"/>
        <v>ОК</v>
      </c>
      <c r="P485" t="str">
        <f t="shared" si="69"/>
        <v>Уникальный</v>
      </c>
    </row>
    <row r="486">
      <c r="A486" s="3" t="s">
        <v>1517</v>
      </c>
      <c r="B486" s="3" t="s">
        <v>1518</v>
      </c>
      <c r="C486" s="3" t="s">
        <v>25</v>
      </c>
      <c r="D486" s="3" t="s">
        <v>253</v>
      </c>
      <c r="E486" s="3" t="s">
        <v>344</v>
      </c>
      <c r="F486" s="3" t="s">
        <v>316</v>
      </c>
      <c r="G486" s="3" t="s">
        <v>28</v>
      </c>
      <c r="H486" t="str">
        <f t="shared" si="63"/>
        <v>АРТ-485</v>
      </c>
      <c r="I486" t="str">
        <f t="shared" si="64"/>
        <v xml:space="preserve">Смартфон Google Pixel 6A</v>
      </c>
      <c r="J486" t="str">
        <f>IFERROR(VLOOKUP(TRIM(C486),Справочники!$A$3:$B$13,2,0),"Нет в справочнике")</f>
        <v>Смартфоны</v>
      </c>
      <c r="K486" t="str">
        <f t="shared" si="65"/>
        <v>Google</v>
      </c>
      <c r="L486" s="4">
        <f t="shared" si="66"/>
        <v>19000</v>
      </c>
      <c r="M486" s="4">
        <f t="shared" si="67"/>
        <v>32500</v>
      </c>
      <c r="N486" t="str">
        <f>IFERROR(VLOOKUP(TRIM(G486),Справочники!$P$3:$Q$7,2,0),"Нет в справочнике")</f>
        <v>шт.</v>
      </c>
      <c r="O486" t="str">
        <f t="shared" si="68"/>
        <v>ОК</v>
      </c>
      <c r="P486" t="str">
        <f t="shared" si="69"/>
        <v>Уникальный</v>
      </c>
    </row>
    <row r="487">
      <c r="A487" s="3" t="s">
        <v>1519</v>
      </c>
      <c r="B487" s="3" t="s">
        <v>1520</v>
      </c>
      <c r="C487" s="3" t="s">
        <v>31</v>
      </c>
      <c r="D487" s="3" t="s">
        <v>258</v>
      </c>
      <c r="E487" s="3" t="s">
        <v>503</v>
      </c>
      <c r="F487" s="3" t="s">
        <v>1287</v>
      </c>
      <c r="G487" s="3" t="s">
        <v>22</v>
      </c>
      <c r="H487" t="str">
        <f t="shared" si="63"/>
        <v>АРТ-486</v>
      </c>
      <c r="I487" t="str">
        <f t="shared" si="64"/>
        <v xml:space="preserve">Смартфон Google Pixel 6A</v>
      </c>
      <c r="J487" t="str">
        <f>IFERROR(VLOOKUP(TRIM(C487),Справочники!$A$3:$B$13,2,0),"Нет в справочнике")</f>
        <v>Смартфоны</v>
      </c>
      <c r="K487" t="str">
        <f t="shared" si="65"/>
        <v>Google</v>
      </c>
      <c r="L487" s="4">
        <f t="shared" si="66"/>
        <v>21000</v>
      </c>
      <c r="M487" s="4">
        <f t="shared" si="67"/>
        <v>35500</v>
      </c>
      <c r="N487" t="str">
        <f>IFERROR(VLOOKUP(TRIM(G487),Справочники!$P$3:$Q$7,2,0),"Нет в справочнике")</f>
        <v>шт.</v>
      </c>
      <c r="O487" t="str">
        <f t="shared" si="68"/>
        <v>ОК</v>
      </c>
      <c r="P487" t="str">
        <f t="shared" si="69"/>
        <v>Уникальный</v>
      </c>
    </row>
    <row r="488">
      <c r="A488" s="3" t="s">
        <v>1521</v>
      </c>
      <c r="B488" s="3" t="s">
        <v>1522</v>
      </c>
      <c r="C488" s="3" t="s">
        <v>38</v>
      </c>
      <c r="D488" s="3" t="s">
        <v>212</v>
      </c>
      <c r="E488" s="3" t="s">
        <v>403</v>
      </c>
      <c r="F488" s="3" t="s">
        <v>920</v>
      </c>
      <c r="G488" s="3" t="s">
        <v>42</v>
      </c>
      <c r="H488" t="str">
        <f t="shared" si="63"/>
        <v>АРТ-487</v>
      </c>
      <c r="I488" t="str">
        <f t="shared" si="64"/>
        <v xml:space="preserve">Ноутбук Dell Xps 13</v>
      </c>
      <c r="J488" t="str">
        <f>IFERROR(VLOOKUP(TRIM(C488),Справочники!$A$3:$B$13,2,0),"Нет в справочнике")</f>
        <v>Ноутбуки</v>
      </c>
      <c r="K488" t="str">
        <f t="shared" si="65"/>
        <v>Dell</v>
      </c>
      <c r="L488" s="4">
        <f t="shared" si="66"/>
        <v>72000</v>
      </c>
      <c r="M488" s="4">
        <f t="shared" si="67"/>
        <v>110990</v>
      </c>
      <c r="N488" t="str">
        <f>IFERROR(VLOOKUP(TRIM(G488),Справочники!$P$3:$Q$7,2,0),"Нет в справочнике")</f>
        <v>шт.</v>
      </c>
      <c r="O488" t="str">
        <f t="shared" si="68"/>
        <v>ОК</v>
      </c>
      <c r="P488" t="str">
        <f t="shared" si="69"/>
        <v>Уникальный</v>
      </c>
    </row>
    <row r="489">
      <c r="A489" s="3" t="s">
        <v>1523</v>
      </c>
      <c r="B489" s="3" t="s">
        <v>1524</v>
      </c>
      <c r="C489" s="3" t="s">
        <v>45</v>
      </c>
      <c r="D489" s="3" t="s">
        <v>216</v>
      </c>
      <c r="E489" s="3" t="s">
        <v>326</v>
      </c>
      <c r="F489" s="3" t="s">
        <v>550</v>
      </c>
      <c r="G489" s="3" t="s">
        <v>35</v>
      </c>
      <c r="H489" t="str">
        <f t="shared" si="63"/>
        <v>АРТ-488</v>
      </c>
      <c r="I489" t="str">
        <f t="shared" si="64"/>
        <v xml:space="preserve">Ноутбук Dell Xps 13</v>
      </c>
      <c r="J489" t="str">
        <f>IFERROR(VLOOKUP(TRIM(C489),Справочники!$A$3:$B$13,2,0),"Нет в справочнике")</f>
        <v>Ноутбуки</v>
      </c>
      <c r="K489" t="str">
        <f t="shared" si="65"/>
        <v>Dell</v>
      </c>
      <c r="L489" s="4">
        <f t="shared" si="66"/>
        <v>70000</v>
      </c>
      <c r="M489" s="4">
        <f t="shared" si="67"/>
        <v>108000</v>
      </c>
      <c r="N489" t="str">
        <f>IFERROR(VLOOKUP(TRIM(G489),Справочники!$P$3:$Q$7,2,0),"Нет в справочнике")</f>
        <v>шт.</v>
      </c>
      <c r="O489" t="str">
        <f t="shared" si="68"/>
        <v>ОК</v>
      </c>
      <c r="P489" t="str">
        <f t="shared" si="69"/>
        <v>Уникальный</v>
      </c>
    </row>
    <row r="490">
      <c r="A490" s="3" t="s">
        <v>1525</v>
      </c>
      <c r="B490" s="3" t="s">
        <v>1526</v>
      </c>
      <c r="C490" s="3" t="s">
        <v>38</v>
      </c>
      <c r="D490" s="3" t="s">
        <v>220</v>
      </c>
      <c r="E490" s="3" t="s">
        <v>410</v>
      </c>
      <c r="F490" s="3" t="s">
        <v>925</v>
      </c>
      <c r="G490" s="3" t="s">
        <v>22</v>
      </c>
      <c r="H490" t="str">
        <f t="shared" si="63"/>
        <v>АРТ-489</v>
      </c>
      <c r="I490" t="str">
        <f t="shared" si="64"/>
        <v xml:space="preserve">Ноутбук Dell Xps 13</v>
      </c>
      <c r="J490" t="str">
        <f>IFERROR(VLOOKUP(TRIM(C490),Справочники!$A$3:$B$13,2,0),"Нет в справочнике")</f>
        <v>Ноутбуки</v>
      </c>
      <c r="K490" t="str">
        <f t="shared" si="65"/>
        <v>Dell</v>
      </c>
      <c r="L490" s="4">
        <f t="shared" si="66"/>
        <v>73500</v>
      </c>
      <c r="M490" s="4">
        <f t="shared" si="67"/>
        <v>113500</v>
      </c>
      <c r="N490" t="str">
        <f>IFERROR(VLOOKUP(TRIM(G490),Справочники!$P$3:$Q$7,2,0),"Нет в справочнике")</f>
        <v>шт.</v>
      </c>
      <c r="O490" t="str">
        <f t="shared" si="68"/>
        <v>ОК</v>
      </c>
      <c r="P490" t="str">
        <f t="shared" si="69"/>
        <v>Уникальный</v>
      </c>
    </row>
    <row r="491">
      <c r="A491" s="3" t="s">
        <v>1527</v>
      </c>
      <c r="B491" s="3" t="s">
        <v>1528</v>
      </c>
      <c r="C491" s="3" t="s">
        <v>83</v>
      </c>
      <c r="D491" s="3" t="s">
        <v>224</v>
      </c>
      <c r="E491" s="3" t="s">
        <v>186</v>
      </c>
      <c r="F491" s="3" t="s">
        <v>1529</v>
      </c>
      <c r="G491" s="3" t="s">
        <v>42</v>
      </c>
      <c r="H491" t="str">
        <f t="shared" si="63"/>
        <v>АРТ-490</v>
      </c>
      <c r="I491" t="str">
        <f t="shared" si="64"/>
        <v xml:space="preserve">Телевизор Sony X75L</v>
      </c>
      <c r="J491" t="str">
        <f>IFERROR(VLOOKUP(TRIM(C491),Справочники!$A$3:$B$13,2,0),"Нет в справочнике")</f>
        <v>Телевизоры</v>
      </c>
      <c r="K491" t="str">
        <f t="shared" si="65"/>
        <v>Sony</v>
      </c>
      <c r="L491" s="4">
        <f t="shared" si="66"/>
        <v>40000</v>
      </c>
      <c r="M491" s="4">
        <f t="shared" si="67"/>
        <v>61990</v>
      </c>
      <c r="N491" t="str">
        <f>IFERROR(VLOOKUP(TRIM(G491),Справочники!$P$3:$Q$7,2,0),"Нет в справочнике")</f>
        <v>шт.</v>
      </c>
      <c r="O491" t="str">
        <f t="shared" si="68"/>
        <v>ОК</v>
      </c>
      <c r="P491" t="str">
        <f t="shared" si="69"/>
        <v>Уникальный</v>
      </c>
    </row>
    <row r="492">
      <c r="A492" s="3" t="s">
        <v>1530</v>
      </c>
      <c r="B492" s="3" t="s">
        <v>1531</v>
      </c>
      <c r="C492" s="3" t="s">
        <v>83</v>
      </c>
      <c r="D492" s="3" t="s">
        <v>104</v>
      </c>
      <c r="E492" s="3" t="s">
        <v>396</v>
      </c>
      <c r="F492" s="3" t="s">
        <v>609</v>
      </c>
      <c r="G492" s="3" t="s">
        <v>28</v>
      </c>
      <c r="H492" t="str">
        <f t="shared" si="63"/>
        <v>АРТ-491</v>
      </c>
      <c r="I492" t="str">
        <f t="shared" si="64"/>
        <v xml:space="preserve">Телевизор Sony X75L</v>
      </c>
      <c r="J492" t="str">
        <f>IFERROR(VLOOKUP(TRIM(C492),Справочники!$A$3:$B$13,2,0),"Нет в справочнике")</f>
        <v>Телевизоры</v>
      </c>
      <c r="K492" t="str">
        <f t="shared" si="65"/>
        <v>Sony</v>
      </c>
      <c r="L492" s="4">
        <f t="shared" si="66"/>
        <v>38500</v>
      </c>
      <c r="M492" s="4">
        <f t="shared" si="67"/>
        <v>59500</v>
      </c>
      <c r="N492" t="str">
        <f>IFERROR(VLOOKUP(TRIM(G492),Справочники!$P$3:$Q$7,2,0),"Нет в справочнике")</f>
        <v>шт.</v>
      </c>
      <c r="O492" t="str">
        <f t="shared" si="68"/>
        <v>ОК</v>
      </c>
      <c r="P492" t="str">
        <f t="shared" si="69"/>
        <v>Уникальный</v>
      </c>
    </row>
    <row r="493">
      <c r="A493" s="3" t="s">
        <v>1532</v>
      </c>
      <c r="B493" s="3" t="s">
        <v>1533</v>
      </c>
      <c r="C493" s="3" t="s">
        <v>83</v>
      </c>
      <c r="D493" s="3" t="s">
        <v>99</v>
      </c>
      <c r="E493" s="3" t="s">
        <v>572</v>
      </c>
      <c r="F493" s="3" t="s">
        <v>149</v>
      </c>
      <c r="G493" s="3" t="s">
        <v>22</v>
      </c>
      <c r="H493" t="str">
        <f t="shared" si="63"/>
        <v>АРТ-492</v>
      </c>
      <c r="I493" t="str">
        <f t="shared" si="64"/>
        <v xml:space="preserve">Телевизор Sony X75L</v>
      </c>
      <c r="J493" t="str">
        <f>IFERROR(VLOOKUP(TRIM(C493),Справочники!$A$3:$B$13,2,0),"Нет в справочнике")</f>
        <v>Телевизоры</v>
      </c>
      <c r="K493" t="str">
        <f t="shared" si="65"/>
        <v>Sony</v>
      </c>
      <c r="L493" s="4">
        <f t="shared" si="66"/>
        <v>41500</v>
      </c>
      <c r="M493" s="4">
        <f t="shared" si="67"/>
        <v>64000</v>
      </c>
      <c r="N493" t="str">
        <f>IFERROR(VLOOKUP(TRIM(G493),Справочники!$P$3:$Q$7,2,0),"Нет в справочнике")</f>
        <v>шт.</v>
      </c>
      <c r="O493" t="str">
        <f t="shared" si="68"/>
        <v>ОК</v>
      </c>
      <c r="P493" t="str">
        <f t="shared" si="69"/>
        <v>Уникальный</v>
      </c>
    </row>
    <row r="494">
      <c r="A494" s="3" t="s">
        <v>1534</v>
      </c>
      <c r="B494" s="3" t="s">
        <v>1535</v>
      </c>
      <c r="C494" s="3" t="s">
        <v>98</v>
      </c>
      <c r="D494" s="3" t="s">
        <v>497</v>
      </c>
      <c r="E494" s="3" t="s">
        <v>1275</v>
      </c>
      <c r="F494" s="3" t="s">
        <v>1364</v>
      </c>
      <c r="G494" s="3" t="s">
        <v>42</v>
      </c>
      <c r="H494" t="str">
        <f t="shared" si="63"/>
        <v>АРТ-493</v>
      </c>
      <c r="I494" t="str">
        <f t="shared" si="64"/>
        <v xml:space="preserve">Наушники Sennheiser Hd 450Bt</v>
      </c>
      <c r="J494" t="str">
        <f>IFERROR(VLOOKUP(TRIM(C494),Справочники!$A$3:$B$13,2,0),"Нет в справочнике")</f>
        <v>Наушники</v>
      </c>
      <c r="K494" t="str">
        <f t="shared" si="65"/>
        <v>Sennheiser</v>
      </c>
      <c r="L494" s="4">
        <f t="shared" si="66"/>
        <v>9000</v>
      </c>
      <c r="M494" s="4">
        <f t="shared" si="67"/>
        <v>14990</v>
      </c>
      <c r="N494" t="str">
        <f>IFERROR(VLOOKUP(TRIM(G494),Справочники!$P$3:$Q$7,2,0),"Нет в справочнике")</f>
        <v>шт.</v>
      </c>
      <c r="O494" t="str">
        <f t="shared" si="68"/>
        <v>ОК</v>
      </c>
      <c r="P494" t="str">
        <f t="shared" si="69"/>
        <v>Уникальный</v>
      </c>
    </row>
    <row r="495">
      <c r="A495" s="3" t="s">
        <v>1536</v>
      </c>
      <c r="B495" s="3" t="s">
        <v>1537</v>
      </c>
      <c r="C495" s="3" t="s">
        <v>98</v>
      </c>
      <c r="D495" s="3" t="s">
        <v>502</v>
      </c>
      <c r="E495" s="3" t="s">
        <v>178</v>
      </c>
      <c r="F495" s="3" t="s">
        <v>591</v>
      </c>
      <c r="G495" s="3" t="s">
        <v>35</v>
      </c>
      <c r="H495" t="str">
        <f t="shared" si="63"/>
        <v>АРТ-494</v>
      </c>
      <c r="I495" t="str">
        <f t="shared" si="64"/>
        <v xml:space="preserve">Наушники Sennheiser Hd 450Bt</v>
      </c>
      <c r="J495" t="str">
        <f>IFERROR(VLOOKUP(TRIM(C495),Справочники!$A$3:$B$13,2,0),"Нет в справочнике")</f>
        <v>Наушники</v>
      </c>
      <c r="K495" t="str">
        <f t="shared" si="65"/>
        <v>Sennheiser</v>
      </c>
      <c r="L495" s="4">
        <f t="shared" si="66"/>
        <v>8500</v>
      </c>
      <c r="M495" s="4">
        <f t="shared" si="67"/>
        <v>14000</v>
      </c>
      <c r="N495" t="str">
        <f>IFERROR(VLOOKUP(TRIM(G495),Справочники!$P$3:$Q$7,2,0),"Нет в справочнике")</f>
        <v>шт.</v>
      </c>
      <c r="O495" t="str">
        <f t="shared" si="68"/>
        <v>ОК</v>
      </c>
      <c r="P495" t="str">
        <f t="shared" si="69"/>
        <v>Уникальный</v>
      </c>
    </row>
    <row r="496">
      <c r="A496" s="3" t="s">
        <v>1538</v>
      </c>
      <c r="B496" s="3" t="s">
        <v>1539</v>
      </c>
      <c r="C496" s="3" t="s">
        <v>98</v>
      </c>
      <c r="D496" s="3" t="s">
        <v>507</v>
      </c>
      <c r="E496" s="3" t="s">
        <v>165</v>
      </c>
      <c r="F496" s="3" t="s">
        <v>244</v>
      </c>
      <c r="G496" s="3" t="s">
        <v>22</v>
      </c>
      <c r="H496" t="str">
        <f t="shared" si="63"/>
        <v>АРТ-495</v>
      </c>
      <c r="I496" t="str">
        <f t="shared" si="64"/>
        <v xml:space="preserve">Наушники Sennheiser Hd 450Bt</v>
      </c>
      <c r="J496" t="str">
        <f>IFERROR(VLOOKUP(TRIM(C496),Справочники!$A$3:$B$13,2,0),"Нет в справочнике")</f>
        <v>Наушники</v>
      </c>
      <c r="K496" t="str">
        <f t="shared" si="65"/>
        <v>Sennheiser</v>
      </c>
      <c r="L496" s="4">
        <f t="shared" si="66"/>
        <v>9500</v>
      </c>
      <c r="M496" s="4">
        <f t="shared" si="67"/>
        <v>15800</v>
      </c>
      <c r="N496" t="str">
        <f>IFERROR(VLOOKUP(TRIM(G496),Справочники!$P$3:$Q$7,2,0),"Нет в справочнике")</f>
        <v>шт.</v>
      </c>
      <c r="O496" t="str">
        <f t="shared" si="68"/>
        <v>ОК</v>
      </c>
      <c r="P496" t="str">
        <f t="shared" si="69"/>
        <v>Уникальный</v>
      </c>
    </row>
    <row r="497">
      <c r="A497" s="3" t="s">
        <v>1540</v>
      </c>
      <c r="B497" s="3" t="s">
        <v>1541</v>
      </c>
      <c r="C497" s="3" t="s">
        <v>143</v>
      </c>
      <c r="D497" s="3" t="s">
        <v>39</v>
      </c>
      <c r="E497" s="3" t="s">
        <v>913</v>
      </c>
      <c r="F497" s="3" t="s">
        <v>845</v>
      </c>
      <c r="G497" s="3" t="s">
        <v>42</v>
      </c>
      <c r="H497" t="str">
        <f t="shared" si="63"/>
        <v>АРТ-496</v>
      </c>
      <c r="I497" t="str">
        <f t="shared" si="64"/>
        <v xml:space="preserve">Монитор Asus Tuf Vg32Vq</v>
      </c>
      <c r="J497" t="str">
        <f>IFERROR(VLOOKUP(TRIM(C497),Справочники!$A$3:$B$13,2,0),"Нет в справочнике")</f>
        <v>Мониторы</v>
      </c>
      <c r="K497" t="str">
        <f t="shared" si="65"/>
        <v>Asus</v>
      </c>
      <c r="L497" s="4">
        <f t="shared" si="66"/>
        <v>38000</v>
      </c>
      <c r="M497" s="4">
        <f t="shared" si="67"/>
        <v>59990</v>
      </c>
      <c r="N497" t="str">
        <f>IFERROR(VLOOKUP(TRIM(G497),Справочники!$P$3:$Q$7,2,0),"Нет в справочнике")</f>
        <v>шт.</v>
      </c>
      <c r="O497" t="str">
        <f t="shared" si="68"/>
        <v>ОК</v>
      </c>
      <c r="P497" t="str">
        <f t="shared" si="69"/>
        <v>Уникальный</v>
      </c>
    </row>
    <row r="498">
      <c r="A498" s="3" t="s">
        <v>1542</v>
      </c>
      <c r="B498" s="3" t="s">
        <v>1543</v>
      </c>
      <c r="C498" s="3" t="s">
        <v>143</v>
      </c>
      <c r="D498" s="3" t="s">
        <v>46</v>
      </c>
      <c r="E498" s="3" t="s">
        <v>884</v>
      </c>
      <c r="F498" s="3" t="s">
        <v>1115</v>
      </c>
      <c r="G498" s="3" t="s">
        <v>28</v>
      </c>
      <c r="H498" t="str">
        <f t="shared" si="63"/>
        <v>АРТ-497</v>
      </c>
      <c r="I498" t="str">
        <f t="shared" si="64"/>
        <v xml:space="preserve">Монитор Asus Tuf Vg32Vq</v>
      </c>
      <c r="J498" t="str">
        <f>IFERROR(VLOOKUP(TRIM(C498),Справочники!$A$3:$B$13,2,0),"Нет в справочнике")</f>
        <v>Мониторы</v>
      </c>
      <c r="K498" t="str">
        <f t="shared" si="65"/>
        <v>Asus</v>
      </c>
      <c r="L498" s="4">
        <f t="shared" si="66"/>
        <v>36500</v>
      </c>
      <c r="M498" s="4">
        <f t="shared" si="67"/>
        <v>57500</v>
      </c>
      <c r="N498" t="str">
        <f>IFERROR(VLOOKUP(TRIM(G498),Справочники!$P$3:$Q$7,2,0),"Нет в справочнике")</f>
        <v>шт.</v>
      </c>
      <c r="O498" t="str">
        <f t="shared" si="68"/>
        <v>ОК</v>
      </c>
      <c r="P498" t="str">
        <f t="shared" si="69"/>
        <v>Уникальный</v>
      </c>
    </row>
    <row r="499">
      <c r="A499" s="3" t="s">
        <v>1544</v>
      </c>
      <c r="B499" s="3" t="s">
        <v>1545</v>
      </c>
      <c r="C499" s="3" t="s">
        <v>143</v>
      </c>
      <c r="D499" s="3" t="s">
        <v>39</v>
      </c>
      <c r="E499" s="3" t="s">
        <v>61</v>
      </c>
      <c r="F499" s="3" t="s">
        <v>432</v>
      </c>
      <c r="G499" s="3" t="s">
        <v>22</v>
      </c>
      <c r="H499" t="str">
        <f t="shared" si="63"/>
        <v>АРТ-498</v>
      </c>
      <c r="I499" t="str">
        <f t="shared" si="64"/>
        <v xml:space="preserve">Монитор Asus Tuf Vg32Vq</v>
      </c>
      <c r="J499" t="str">
        <f>IFERROR(VLOOKUP(TRIM(C499),Справочники!$A$3:$B$13,2,0),"Нет в справочнике")</f>
        <v>Мониторы</v>
      </c>
      <c r="K499" t="str">
        <f t="shared" si="65"/>
        <v>Asus</v>
      </c>
      <c r="L499" s="4">
        <f t="shared" si="66"/>
        <v>39500</v>
      </c>
      <c r="M499" s="4">
        <f t="shared" si="67"/>
        <v>62000</v>
      </c>
      <c r="N499" t="str">
        <f>IFERROR(VLOOKUP(TRIM(G499),Справочники!$P$3:$Q$7,2,0),"Нет в справочнике")</f>
        <v>шт.</v>
      </c>
      <c r="O499" t="str">
        <f t="shared" si="68"/>
        <v>ОК</v>
      </c>
      <c r="P499" t="str">
        <f t="shared" si="69"/>
        <v>Уникальный</v>
      </c>
    </row>
    <row r="500">
      <c r="A500" s="3" t="s">
        <v>1546</v>
      </c>
      <c r="B500" s="3" t="s">
        <v>1547</v>
      </c>
      <c r="C500" s="3" t="s">
        <v>157</v>
      </c>
      <c r="D500" s="3" t="s">
        <v>158</v>
      </c>
      <c r="E500" s="3" t="s">
        <v>443</v>
      </c>
      <c r="F500" s="3" t="s">
        <v>890</v>
      </c>
      <c r="G500" s="3" t="s">
        <v>42</v>
      </c>
      <c r="H500" t="str">
        <f t="shared" si="63"/>
        <v>АРТ-499</v>
      </c>
      <c r="I500" t="str">
        <f t="shared" si="64"/>
        <v xml:space="preserve">Клавиатура Logitech Pop Keys</v>
      </c>
      <c r="J500" t="str">
        <f>IFERROR(VLOOKUP(TRIM(C500),Справочники!$A$3:$B$13,2,0),"Нет в справочнике")</f>
        <v>Аксессуары</v>
      </c>
      <c r="K500" t="str">
        <f t="shared" si="65"/>
        <v>Logitech</v>
      </c>
      <c r="L500" s="4">
        <f t="shared" si="66"/>
        <v>3500</v>
      </c>
      <c r="M500" s="4">
        <f t="shared" si="67"/>
        <v>5990</v>
      </c>
      <c r="N500" t="str">
        <f>IFERROR(VLOOKUP(TRIM(G500),Справочники!$P$3:$Q$7,2,0),"Нет в справочнике")</f>
        <v>шт.</v>
      </c>
      <c r="O500" t="str">
        <f t="shared" si="68"/>
        <v>ОК</v>
      </c>
      <c r="P500" t="str">
        <f t="shared" si="69"/>
        <v>Уникальный</v>
      </c>
    </row>
    <row r="501">
      <c r="A501" s="3" t="s">
        <v>1548</v>
      </c>
      <c r="B501" s="3" t="s">
        <v>1549</v>
      </c>
      <c r="C501" s="3" t="s">
        <v>157</v>
      </c>
      <c r="D501" s="3" t="s">
        <v>163</v>
      </c>
      <c r="E501" s="3" t="s">
        <v>889</v>
      </c>
      <c r="F501" s="3" t="s">
        <v>159</v>
      </c>
      <c r="G501" s="3" t="s">
        <v>35</v>
      </c>
      <c r="H501" t="str">
        <f t="shared" si="63"/>
        <v>АРТ-500</v>
      </c>
      <c r="I501" t="str">
        <f t="shared" si="64"/>
        <v xml:space="preserve">Клавиатура Logitech Pop Keys</v>
      </c>
      <c r="J501" t="str">
        <f>IFERROR(VLOOKUP(TRIM(C501),Справочники!$A$3:$B$13,2,0),"Нет в справочнике")</f>
        <v>Аксессуары</v>
      </c>
      <c r="K501" t="str">
        <f t="shared" si="65"/>
        <v>Logitech</v>
      </c>
      <c r="L501" s="4">
        <f t="shared" si="66"/>
        <v>3000</v>
      </c>
      <c r="M501" s="4">
        <f t="shared" si="67"/>
        <v>5500</v>
      </c>
      <c r="N501" t="str">
        <f>IFERROR(VLOOKUP(TRIM(G501),Справочники!$P$3:$Q$7,2,0),"Нет в справочнике")</f>
        <v>шт.</v>
      </c>
      <c r="O501" t="str">
        <f t="shared" si="68"/>
        <v>ОК</v>
      </c>
      <c r="P501" t="str">
        <f t="shared" si="69"/>
        <v>Уникальный</v>
      </c>
    </row>
    <row r="502">
      <c r="A502" s="3" t="s">
        <v>1550</v>
      </c>
      <c r="B502" s="3" t="s">
        <v>1551</v>
      </c>
      <c r="C502" s="3" t="s">
        <v>157</v>
      </c>
      <c r="D502" s="3" t="s">
        <v>168</v>
      </c>
      <c r="E502" s="3" t="s">
        <v>1106</v>
      </c>
      <c r="F502" s="3" t="s">
        <v>281</v>
      </c>
      <c r="G502" s="3" t="s">
        <v>22</v>
      </c>
      <c r="H502" t="str">
        <f t="shared" si="63"/>
        <v>АРТ-501</v>
      </c>
      <c r="I502" t="str">
        <f t="shared" si="64"/>
        <v xml:space="preserve">Клавиатура Logitech Pop Keys</v>
      </c>
      <c r="J502" t="str">
        <f>IFERROR(VLOOKUP(TRIM(C502),Справочники!$A$3:$B$13,2,0),"Нет в справочнике")</f>
        <v>Аксессуары</v>
      </c>
      <c r="K502" t="str">
        <f t="shared" si="65"/>
        <v>Logitech</v>
      </c>
      <c r="L502" s="4">
        <f t="shared" si="66"/>
        <v>4000</v>
      </c>
      <c r="M502" s="4">
        <f t="shared" si="67"/>
        <v>6800</v>
      </c>
      <c r="N502" t="str">
        <f>IFERROR(VLOOKUP(TRIM(G502),Справочники!$P$3:$Q$7,2,0),"Нет в справочнике")</f>
        <v>шт.</v>
      </c>
      <c r="O502" t="str">
        <f t="shared" si="68"/>
        <v>ОК</v>
      </c>
      <c r="P502" t="str">
        <f t="shared" si="69"/>
        <v>Уникальный</v>
      </c>
    </row>
  </sheetData>
  <autoFilter ref="A1:P502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H1" zoomScale="10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4.25"/>
  <cols>
    <col customWidth="1" min="1" max="1" width="16"/>
    <col customWidth="1" min="2" max="2" width="22"/>
    <col customWidth="1" min="3" max="6" width="16"/>
    <col customWidth="1" min="7" max="7" width="44"/>
    <col customWidth="1" min="8" max="8" width="14"/>
    <col customWidth="1" min="9" max="9" width="16"/>
    <col customWidth="1" min="10" max="11" width="14"/>
    <col customWidth="1" min="12" max="12" width="18"/>
    <col customWidth="1" min="13" max="13" width="14"/>
    <col customWidth="1" min="14" max="14" width="45"/>
    <col customWidth="1" min="15" max="39" width="9"/>
  </cols>
  <sheetData>
    <row r="1" ht="32" customHeight="1">
      <c r="A1" s="1" t="s">
        <v>1552</v>
      </c>
      <c r="B1" s="1" t="s">
        <v>1553</v>
      </c>
      <c r="C1" s="1" t="s">
        <v>1554</v>
      </c>
      <c r="D1" s="1" t="s">
        <v>1555</v>
      </c>
      <c r="E1" s="1" t="s">
        <v>1556</v>
      </c>
      <c r="F1" s="1" t="s">
        <v>1557</v>
      </c>
      <c r="G1" s="1" t="s">
        <v>1558</v>
      </c>
      <c r="H1" s="2" t="s">
        <v>1559</v>
      </c>
      <c r="I1" s="2" t="s">
        <v>1560</v>
      </c>
      <c r="J1" s="2" t="s">
        <v>1561</v>
      </c>
      <c r="K1" s="2" t="s">
        <v>1562</v>
      </c>
      <c r="L1" s="2" t="s">
        <v>1563</v>
      </c>
      <c r="M1" s="2" t="s">
        <v>1564</v>
      </c>
      <c r="N1" s="2" t="s">
        <v>1565</v>
      </c>
    </row>
    <row r="2">
      <c r="A2" s="3" t="s">
        <v>1566</v>
      </c>
      <c r="B2" s="3" t="s">
        <v>1567</v>
      </c>
      <c r="C2" s="3" t="s">
        <v>1568</v>
      </c>
      <c r="D2" s="3" t="s">
        <v>1569</v>
      </c>
      <c r="E2" s="3" t="s">
        <v>1570</v>
      </c>
      <c r="F2" s="3" t="s">
        <v>1571</v>
      </c>
      <c r="G2" s="3" t="s">
        <v>1572</v>
      </c>
      <c r="H2" t="str">
        <f t="shared" ref="H2:H9" si="70">SUBSTITUTE(SUBSTITUTE(TRIM(C2)," ",""),CHAR(160),"")</f>
        <v>7708123456</v>
      </c>
      <c r="I2" t="str">
        <f t="shared" ref="I2:I9" si="71">IF(AND(ISNUMBER(VALUE(H2)),OR(LEN(H2)=10,LEN(H2)=12)),"ОК","Ошибка ИНН")</f>
        <v>ОК</v>
      </c>
      <c r="J2" t="str">
        <f t="shared" ref="J2:J9" si="72">IF(LEN(SUBSTITUTE(SUBSTITUTE(SUBSTITUTE(SUBSTITUTE(SUBSTITUTE(E2,"+",""),"-","")," ",""),"(",""),")",""))&lt;10,"Ошибка телефона","+7 ("&amp;MID(RIGHT(SUBSTITUTE(SUBSTITUTE(SUBSTITUTE(SUBSTITUTE(SUBSTITUTE(E2,"+",""),"-","")," ",""),"(",""),")",""),10),1,3)&amp;") "&amp;MID(RIGHT(SUBSTITUTE(SUBSTITUTE(SUBSTITUTE(SUBSTITUTE(SUBSTITUTE(E2,"+",""),"-","")," ",""),"(",""),")",""),10),4,3)&amp;"-"&amp;MID(RIGHT(SUBSTITUTE(SUBSTITUTE(SUBSTITUTE(SUBSTITUTE(SUBSTITUTE(E2,"+",""),"-","")," ",""),"(",""),")",""),10),7,2)&amp;"-"&amp;RIGHT(SUBSTITUTE(SUBSTITUTE(SUBSTITUTE(SUBSTITUTE(SUBSTITUTE(E2,"+",""),"-","")," ",""),"(",""),")",""),2))</f>
        <v xml:space="preserve">+7 (903) 123-45-67</v>
      </c>
      <c r="K2" t="str">
        <f t="shared" ref="K2:K9" si="73">LOWER(SUBSTITUTE(TRIM(F2)," ",""))</f>
        <v>info@tehnosnab.ru</v>
      </c>
      <c r="L2" t="str">
        <f t="shared" ref="L2:L9" si="74">IF(AND(ISNUMBER(FIND("@",K2)),ISNUMBER(FIND(".",K2,FIND("@",K2)+2))),"ОК","Ошибка Email")</f>
        <v>ОК</v>
      </c>
      <c r="M2" t="str">
        <f t="shared" ref="M2:M9" si="75">IF(ISNUMBER(VALUE(LEFT(TRIM(G2),6))),LEFT(TRIM(G2),6),"")</f>
        <v>125009</v>
      </c>
      <c r="N2" t="str">
        <f t="shared" ref="N2:N9" si="76">SUBSTITUTE(SUBSTITUTE(SUBSTITUTE(SUBSTITUTE(SUBSTITUTE(SUBSTITUTE(SUBSTITUTE(SUBSTITUTE(TRIM(IF(M2="",G2,MID(TRIM(G2),7,200)))," ",", ",1)," д.",", д."),".д.","., д."),"г.","г. "),"ул.","ул. "),"д.","д. "),"пр.","пр. "),"пр. ,","пр.,")</f>
        <v xml:space="preserve">г. Москва, ул. Тверская, д. 15</v>
      </c>
    </row>
    <row r="3">
      <c r="A3" s="3" t="s">
        <v>1573</v>
      </c>
      <c r="B3" s="3" t="s">
        <v>1574</v>
      </c>
      <c r="C3" s="3" t="s">
        <v>1575</v>
      </c>
      <c r="D3" s="3" t="s">
        <v>1576</v>
      </c>
      <c r="E3" s="3" t="s">
        <v>1577</v>
      </c>
      <c r="F3" s="3" t="s">
        <v>1578</v>
      </c>
      <c r="G3" s="3" t="s">
        <v>1579</v>
      </c>
      <c r="H3" t="str">
        <f t="shared" si="70"/>
        <v>7812345678123</v>
      </c>
      <c r="I3" t="str">
        <f t="shared" si="71"/>
        <v xml:space="preserve">Ошибка ИНН</v>
      </c>
      <c r="J3" t="str">
        <f t="shared" si="72"/>
        <v xml:space="preserve">+7 (903) 234-56-78</v>
      </c>
      <c r="K3" t="str">
        <f t="shared" si="73"/>
        <v>zakaz@electroprom</v>
      </c>
      <c r="L3" t="str">
        <f t="shared" si="74"/>
        <v xml:space="preserve">Ошибка Email</v>
      </c>
      <c r="M3" t="str">
        <f t="shared" si="75"/>
        <v>191186</v>
      </c>
      <c r="N3" t="str">
        <f t="shared" si="76"/>
        <v xml:space="preserve">г. Санкт-Петербург, Невский пр., д. 28</v>
      </c>
    </row>
    <row r="4">
      <c r="A4" s="3" t="s">
        <v>1580</v>
      </c>
      <c r="B4" s="3" t="s">
        <v>1581</v>
      </c>
      <c r="C4" s="3" t="s">
        <v>1582</v>
      </c>
      <c r="D4" s="3" t="s">
        <v>1583</v>
      </c>
      <c r="E4" s="3" t="s">
        <v>1584</v>
      </c>
      <c r="F4" s="3" t="s">
        <v>1585</v>
      </c>
      <c r="G4" s="3" t="s">
        <v>1586</v>
      </c>
      <c r="H4" t="str">
        <f t="shared" si="70"/>
        <v>77098765</v>
      </c>
      <c r="I4" t="str">
        <f t="shared" si="71"/>
        <v xml:space="preserve">Ошибка ИНН</v>
      </c>
      <c r="J4" t="str">
        <f t="shared" si="72"/>
        <v xml:space="preserve">+7 (903) 345-67-89</v>
      </c>
      <c r="K4" t="str">
        <f t="shared" si="73"/>
        <v>komplekt@mail.ru</v>
      </c>
      <c r="L4" t="str">
        <f t="shared" si="74"/>
        <v>ОК</v>
      </c>
      <c r="M4" t="str">
        <f t="shared" si="75"/>
        <v>127006</v>
      </c>
      <c r="N4" t="str">
        <f t="shared" si="76"/>
        <v xml:space="preserve">г. Москва, ул. Петровка, д. 20</v>
      </c>
    </row>
    <row r="5">
      <c r="A5" s="3" t="s">
        <v>1587</v>
      </c>
      <c r="B5" s="3" t="s">
        <v>1588</v>
      </c>
      <c r="C5" s="3" t="s">
        <v>1589</v>
      </c>
      <c r="D5" s="3" t="s">
        <v>1590</v>
      </c>
      <c r="E5" s="3" t="s">
        <v>1591</v>
      </c>
      <c r="F5" s="3" t="s">
        <v>1592</v>
      </c>
      <c r="G5" s="3" t="s">
        <v>1593</v>
      </c>
      <c r="H5" t="str">
        <f t="shared" si="70"/>
        <v>7712345678</v>
      </c>
      <c r="I5" t="str">
        <f t="shared" si="71"/>
        <v>ОК</v>
      </c>
      <c r="J5" t="str">
        <f t="shared" si="72"/>
        <v xml:space="preserve">+7 (903) 456-78-90</v>
      </c>
      <c r="K5" t="str">
        <f t="shared" si="73"/>
        <v>import@techno</v>
      </c>
      <c r="L5" t="str">
        <f t="shared" si="74"/>
        <v xml:space="preserve">Ошибка Email</v>
      </c>
      <c r="M5" t="str">
        <f t="shared" si="75"/>
        <v>119019</v>
      </c>
      <c r="N5" t="str">
        <f t="shared" si="76"/>
        <v xml:space="preserve">г. Москва, ул. Арбат, д. 12</v>
      </c>
    </row>
    <row r="6">
      <c r="A6" s="3" t="s">
        <v>1594</v>
      </c>
      <c r="B6" s="3" t="s">
        <v>1595</v>
      </c>
      <c r="C6" s="3" t="s">
        <v>1596</v>
      </c>
      <c r="D6" s="3" t="s">
        <v>1597</v>
      </c>
      <c r="E6" s="3" t="s">
        <v>1598</v>
      </c>
      <c r="F6" s="3" t="s">
        <v>1599</v>
      </c>
      <c r="G6" s="3" t="s">
        <v>1600</v>
      </c>
      <c r="H6" t="str">
        <f t="shared" si="70"/>
        <v>7801234567890</v>
      </c>
      <c r="I6" t="str">
        <f t="shared" si="71"/>
        <v xml:space="preserve">Ошибка ИНН</v>
      </c>
      <c r="J6" t="str">
        <f t="shared" si="72"/>
        <v xml:space="preserve">+7 (903) 567-89-01</v>
      </c>
      <c r="K6" t="str">
        <f t="shared" si="73"/>
        <v>torg@master</v>
      </c>
      <c r="L6" t="str">
        <f t="shared" si="74"/>
        <v xml:space="preserve">Ошибка Email</v>
      </c>
      <c r="M6" t="str">
        <f t="shared" si="75"/>
        <v>192007</v>
      </c>
      <c r="N6" t="str">
        <f t="shared" si="76"/>
        <v xml:space="preserve">г. Санкт-Петербург, пр. Обуховской Обороны, д. 120</v>
      </c>
    </row>
    <row r="7">
      <c r="A7" s="3" t="s">
        <v>1601</v>
      </c>
      <c r="B7" s="3" t="s">
        <v>1602</v>
      </c>
      <c r="C7" s="3" t="s">
        <v>1603</v>
      </c>
      <c r="D7" s="3" t="s">
        <v>1604</v>
      </c>
      <c r="E7" s="3" t="s">
        <v>1605</v>
      </c>
      <c r="F7" s="3" t="s">
        <v>1606</v>
      </c>
      <c r="G7" s="3" t="s">
        <v>1607</v>
      </c>
      <c r="H7" t="str">
        <f t="shared" si="70"/>
        <v>77134567</v>
      </c>
      <c r="I7" t="str">
        <f t="shared" si="71"/>
        <v xml:space="preserve">Ошибка ИНН</v>
      </c>
      <c r="J7" t="str">
        <f t="shared" si="72"/>
        <v xml:space="preserve">+7 (903) 678-90-12</v>
      </c>
      <c r="K7" t="str">
        <f t="shared" si="73"/>
        <v>resurs@techno.ru</v>
      </c>
      <c r="L7" t="str">
        <f t="shared" si="74"/>
        <v>ОК</v>
      </c>
      <c r="M7" t="str">
        <f t="shared" si="75"/>
        <v>119121</v>
      </c>
      <c r="N7" t="str">
        <f t="shared" si="76"/>
        <v xml:space="preserve">г. Москва, ул. Плющиха, д. 25</v>
      </c>
    </row>
    <row r="8">
      <c r="A8" s="3" t="s">
        <v>1608</v>
      </c>
      <c r="B8" s="3" t="s">
        <v>1609</v>
      </c>
      <c r="C8" s="3" t="s">
        <v>1610</v>
      </c>
      <c r="D8" s="3" t="s">
        <v>1611</v>
      </c>
      <c r="E8" s="3" t="s">
        <v>1612</v>
      </c>
      <c r="F8" s="3" t="s">
        <v>1613</v>
      </c>
      <c r="G8" s="3" t="s">
        <v>1614</v>
      </c>
      <c r="H8" t="str">
        <f t="shared" si="70"/>
        <v>7802345678</v>
      </c>
      <c r="I8" t="str">
        <f t="shared" si="71"/>
        <v>ОК</v>
      </c>
      <c r="J8" t="str">
        <f t="shared" si="72"/>
        <v xml:space="preserve">+7 (903) 789-01-23</v>
      </c>
      <c r="K8" t="str">
        <f t="shared" si="73"/>
        <v>progress@mail</v>
      </c>
      <c r="L8" t="str">
        <f t="shared" si="74"/>
        <v xml:space="preserve">Ошибка Email</v>
      </c>
      <c r="M8" t="str">
        <f t="shared" si="75"/>
        <v>197022</v>
      </c>
      <c r="N8" t="str">
        <f t="shared" si="76"/>
        <v xml:space="preserve">г. Санкт-Петербург, ул. Профессора Попова, д. 37</v>
      </c>
    </row>
    <row r="9">
      <c r="A9" s="3" t="s">
        <v>1615</v>
      </c>
      <c r="B9" s="3" t="s">
        <v>1616</v>
      </c>
      <c r="C9" s="3" t="s">
        <v>1617</v>
      </c>
      <c r="D9" s="3" t="s">
        <v>1618</v>
      </c>
      <c r="E9" s="3" t="s">
        <v>1619</v>
      </c>
      <c r="F9" s="3" t="s">
        <v>1620</v>
      </c>
      <c r="G9" s="3" t="s">
        <v>1621</v>
      </c>
      <c r="H9" t="str">
        <f t="shared" si="70"/>
        <v>771456789012</v>
      </c>
      <c r="I9" t="str">
        <f t="shared" si="71"/>
        <v>ОК</v>
      </c>
      <c r="J9" t="str">
        <f t="shared" si="72"/>
        <v xml:space="preserve">+7 (903) 890-12-34</v>
      </c>
      <c r="K9" t="str">
        <f t="shared" si="73"/>
        <v>electron@sbyt</v>
      </c>
      <c r="L9" t="str">
        <f t="shared" si="74"/>
        <v xml:space="preserve">Ошибка Email</v>
      </c>
      <c r="M9" t="str">
        <f t="shared" si="75"/>
        <v>109316</v>
      </c>
      <c r="N9" t="str">
        <f t="shared" si="76"/>
        <v xml:space="preserve">г. Москва, ул. Таганская, д. 54</v>
      </c>
    </row>
    <row r="10">
      <c r="A10" s="3" t="s">
        <v>1622</v>
      </c>
      <c r="B10" s="3" t="s">
        <v>1623</v>
      </c>
      <c r="C10" s="3" t="s">
        <v>1624</v>
      </c>
      <c r="D10" s="3" t="s">
        <v>1625</v>
      </c>
      <c r="E10" s="3" t="s">
        <v>1626</v>
      </c>
      <c r="F10" s="3" t="s">
        <v>1627</v>
      </c>
      <c r="G10" s="3" t="s">
        <v>1628</v>
      </c>
      <c r="H10" t="str">
        <f t="shared" ref="H10:H51" si="77">SUBSTITUTE(SUBSTITUTE(TRIM(C10)," ",""),CHAR(160),"")</f>
        <v>7803456789</v>
      </c>
      <c r="I10" t="str">
        <f t="shared" ref="I10:I51" si="78">IF(AND(ISNUMBER(VALUE(H10)),OR(LEN(H10)=10,LEN(H10)=12)),"ОК","Ошибка ИНН")</f>
        <v>ОК</v>
      </c>
      <c r="J10" t="str">
        <f t="shared" ref="J10:J51" si="79">IF(LEN(SUBSTITUTE(SUBSTITUTE(SUBSTITUTE(SUBSTITUTE(SUBSTITUTE(E10,"+",""),"-","")," ",""),"(",""),")",""))&lt;10,"Ошибка телефона","+7 ("&amp;MID(RIGHT(SUBSTITUTE(SUBSTITUTE(SUBSTITUTE(SUBSTITUTE(SUBSTITUTE(E10,"+",""),"-","")," ",""),"(",""),")",""),10),1,3)&amp;") "&amp;MID(RIGHT(SUBSTITUTE(SUBSTITUTE(SUBSTITUTE(SUBSTITUTE(SUBSTITUTE(E10,"+",""),"-","")," ",""),"(",""),")",""),10),4,3)&amp;"-"&amp;MID(RIGHT(SUBSTITUTE(SUBSTITUTE(SUBSTITUTE(SUBSTITUTE(SUBSTITUTE(E10,"+",""),"-","")," ",""),"(",""),")",""),10),7,2)&amp;"-"&amp;RIGHT(SUBSTITUTE(SUBSTITUTE(SUBSTITUTE(SUBSTITUTE(SUBSTITUTE(E10,"+",""),"-","")," ",""),"(",""),")",""),2))</f>
        <v xml:space="preserve">+7 (903) 901-23-45</v>
      </c>
      <c r="K10" t="str">
        <f t="shared" ref="K10:K51" si="80">LOWER(SUBSTITUTE(TRIM(F10)," ",""))</f>
        <v>smart@tech</v>
      </c>
      <c r="L10" t="str">
        <f t="shared" ref="L10:L51" si="81">IF(AND(ISNUMBER(FIND("@",K10)),ISNUMBER(FIND(".",K10,FIND("@",K10)+2))),"ОК","Ошибка Email")</f>
        <v xml:space="preserve">Ошибка Email</v>
      </c>
      <c r="M10" t="str">
        <f t="shared" ref="M10:M51" si="82">IF(ISNUMBER(VALUE(LEFT(TRIM(G10),6))),LEFT(TRIM(G10),6),"")</f>
        <v>196084</v>
      </c>
      <c r="N10" t="str">
        <f t="shared" ref="N10:N51" si="83">SUBSTITUTE(SUBSTITUTE(SUBSTITUTE(SUBSTITUTE(SUBSTITUTE(SUBSTITUTE(SUBSTITUTE(SUBSTITUTE(TRIM(IF(M10="",G10,MID(TRIM(G10),7,200)))," ",", ",1)," д.",", д."),".д.","., д."),"г.","г. "),"ул.","ул. "),"д.","д. "),"пр.","пр. "),"пр. ,","пр.,")</f>
        <v xml:space="preserve">г. Санкт-Петербург, ул. Заставская, д. 22</v>
      </c>
    </row>
    <row r="11">
      <c r="A11" s="3" t="s">
        <v>1629</v>
      </c>
      <c r="B11" s="3" t="s">
        <v>1630</v>
      </c>
      <c r="C11" s="3" t="s">
        <v>1631</v>
      </c>
      <c r="D11" s="3" t="s">
        <v>1632</v>
      </c>
      <c r="E11" s="3" t="s">
        <v>1633</v>
      </c>
      <c r="F11" s="3" t="s">
        <v>1634</v>
      </c>
      <c r="G11" s="3" t="s">
        <v>1635</v>
      </c>
      <c r="H11" t="str">
        <f t="shared" si="77"/>
        <v>7715678901</v>
      </c>
      <c r="I11" t="str">
        <f t="shared" si="78"/>
        <v>ОК</v>
      </c>
      <c r="J11" t="str">
        <f t="shared" si="79"/>
        <v xml:space="preserve">+7 (903) 012-34-56</v>
      </c>
      <c r="K11" t="str">
        <f t="shared" si="80"/>
        <v>prom@tehno</v>
      </c>
      <c r="L11" t="str">
        <f t="shared" si="81"/>
        <v xml:space="preserve">Ошибка Email</v>
      </c>
      <c r="M11" t="str">
        <f t="shared" si="82"/>
        <v>119334</v>
      </c>
      <c r="N11" t="str">
        <f t="shared" si="83"/>
        <v xml:space="preserve">г. Москва, ул. Косыгина, д. 17</v>
      </c>
    </row>
    <row r="12">
      <c r="A12" s="3" t="s">
        <v>1636</v>
      </c>
      <c r="B12" s="3" t="s">
        <v>1637</v>
      </c>
      <c r="C12" s="3" t="s">
        <v>1638</v>
      </c>
      <c r="D12" s="3" t="s">
        <v>1639</v>
      </c>
      <c r="E12" s="3" t="s">
        <v>1570</v>
      </c>
      <c r="F12" s="3" t="s">
        <v>1640</v>
      </c>
      <c r="G12" s="3" t="s">
        <v>1641</v>
      </c>
      <c r="H12" t="str">
        <f t="shared" si="77"/>
        <v>78045678</v>
      </c>
      <c r="I12" t="str">
        <f t="shared" si="78"/>
        <v xml:space="preserve">Ошибка ИНН</v>
      </c>
      <c r="J12" t="str">
        <f t="shared" si="79"/>
        <v xml:space="preserve">+7 (903) 123-45-67</v>
      </c>
      <c r="K12" t="str">
        <f t="shared" si="80"/>
        <v>service@plus.ru</v>
      </c>
      <c r="L12" t="str">
        <f t="shared" si="81"/>
        <v>ОК</v>
      </c>
      <c r="M12" t="str">
        <f t="shared" si="82"/>
        <v>199178</v>
      </c>
      <c r="N12" t="str">
        <f t="shared" si="83"/>
        <v xml:space="preserve">г. Санкт-Петербург, ул. Средний пр. В.О., д. 78</v>
      </c>
    </row>
    <row r="13">
      <c r="A13" s="3" t="s">
        <v>1642</v>
      </c>
      <c r="B13" s="3" t="s">
        <v>1643</v>
      </c>
      <c r="C13" s="3" t="s">
        <v>1644</v>
      </c>
      <c r="D13" s="3" t="s">
        <v>1645</v>
      </c>
      <c r="E13" s="3" t="s">
        <v>1646</v>
      </c>
      <c r="F13" s="3" t="s">
        <v>1647</v>
      </c>
      <c r="G13" s="3" t="s">
        <v>1648</v>
      </c>
      <c r="H13" t="str">
        <f t="shared" si="77"/>
        <v>7716789012</v>
      </c>
      <c r="I13" t="str">
        <f t="shared" si="78"/>
        <v>ОК</v>
      </c>
      <c r="J13" t="str">
        <f t="shared" si="79"/>
        <v xml:space="preserve">+7 (903) 234-56-78</v>
      </c>
      <c r="K13" t="str">
        <f t="shared" si="80"/>
        <v>trade@tehno</v>
      </c>
      <c r="L13" t="str">
        <f t="shared" si="81"/>
        <v xml:space="preserve">Ошибка Email</v>
      </c>
      <c r="M13" t="str">
        <f t="shared" si="82"/>
        <v>107113</v>
      </c>
      <c r="N13" t="str">
        <f t="shared" si="83"/>
        <v xml:space="preserve">г. Москва, ул. Сокольнический вал, д. 3</v>
      </c>
    </row>
    <row r="14">
      <c r="A14" s="3" t="s">
        <v>1649</v>
      </c>
      <c r="B14" s="3" t="s">
        <v>1650</v>
      </c>
      <c r="C14" s="3" t="s">
        <v>1651</v>
      </c>
      <c r="D14" s="3" t="s">
        <v>1652</v>
      </c>
      <c r="E14" s="3" t="s">
        <v>1653</v>
      </c>
      <c r="F14" s="3" t="s">
        <v>1654</v>
      </c>
      <c r="G14" s="3" t="s">
        <v>1655</v>
      </c>
      <c r="H14" t="str">
        <f t="shared" si="77"/>
        <v>7805678901234</v>
      </c>
      <c r="I14" t="str">
        <f t="shared" si="78"/>
        <v xml:space="preserve">Ошибка ИНН</v>
      </c>
      <c r="J14" t="str">
        <f t="shared" si="79"/>
        <v xml:space="preserve">+7 (903) 345-67-89</v>
      </c>
      <c r="K14" t="str">
        <f t="shared" si="80"/>
        <v>resurs_snab@mail</v>
      </c>
      <c r="L14" t="str">
        <f t="shared" si="81"/>
        <v xml:space="preserve">Ошибка Email</v>
      </c>
      <c r="M14" t="str">
        <f t="shared" si="82"/>
        <v>196247</v>
      </c>
      <c r="N14" t="str">
        <f t="shared" si="83"/>
        <v xml:space="preserve">г. Санкт-Петербург, ул. Ленина, д. 45</v>
      </c>
    </row>
    <row r="15">
      <c r="A15" s="3" t="s">
        <v>1656</v>
      </c>
      <c r="B15" s="3" t="s">
        <v>1657</v>
      </c>
      <c r="C15" s="3" t="s">
        <v>1658</v>
      </c>
      <c r="D15" s="3" t="s">
        <v>1659</v>
      </c>
      <c r="E15" s="3" t="s">
        <v>1660</v>
      </c>
      <c r="F15" s="3" t="s">
        <v>1661</v>
      </c>
      <c r="G15" s="3" t="s">
        <v>1662</v>
      </c>
      <c r="H15" t="str">
        <f t="shared" si="77"/>
        <v>7717890123</v>
      </c>
      <c r="I15" t="str">
        <f t="shared" si="78"/>
        <v>ОК</v>
      </c>
      <c r="J15" t="str">
        <f t="shared" si="79"/>
        <v xml:space="preserve">+7 (903) 456-78-90</v>
      </c>
      <c r="K15" t="str">
        <f t="shared" si="80"/>
        <v>service@tehno</v>
      </c>
      <c r="L15" t="str">
        <f t="shared" si="81"/>
        <v xml:space="preserve">Ошибка Email</v>
      </c>
      <c r="M15" t="str">
        <f t="shared" si="82"/>
        <v>109147</v>
      </c>
      <c r="N15" t="str">
        <f t="shared" si="83"/>
        <v xml:space="preserve">г. Москва, ул. Марксистская, д. 30</v>
      </c>
    </row>
    <row r="16">
      <c r="A16" s="3" t="s">
        <v>1663</v>
      </c>
      <c r="B16" s="3" t="s">
        <v>1664</v>
      </c>
      <c r="C16" s="3" t="s">
        <v>1665</v>
      </c>
      <c r="D16" s="3" t="s">
        <v>1666</v>
      </c>
      <c r="E16" s="3" t="s">
        <v>1667</v>
      </c>
      <c r="F16" s="3" t="s">
        <v>1668</v>
      </c>
      <c r="G16" s="3" t="s">
        <v>1669</v>
      </c>
      <c r="H16" t="str">
        <f t="shared" si="77"/>
        <v>7806789012</v>
      </c>
      <c r="I16" t="str">
        <f t="shared" si="78"/>
        <v>ОК</v>
      </c>
      <c r="J16" t="str">
        <f t="shared" si="79"/>
        <v xml:space="preserve">+7 (903) 567-89-01</v>
      </c>
      <c r="K16" t="str">
        <f t="shared" si="80"/>
        <v>electro@tehnika</v>
      </c>
      <c r="L16" t="str">
        <f t="shared" si="81"/>
        <v xml:space="preserve">Ошибка Email</v>
      </c>
      <c r="M16" t="str">
        <f t="shared" si="82"/>
        <v>192236</v>
      </c>
      <c r="N16" t="str">
        <f t="shared" si="83"/>
        <v xml:space="preserve">г. Санкт-Петербург, ул. Софийская, д. 55</v>
      </c>
    </row>
    <row r="17">
      <c r="A17" s="3" t="s">
        <v>1670</v>
      </c>
      <c r="B17" s="3" t="s">
        <v>1671</v>
      </c>
      <c r="C17" s="3" t="s">
        <v>1672</v>
      </c>
      <c r="D17" s="3" t="s">
        <v>1673</v>
      </c>
      <c r="E17" s="3" t="s">
        <v>1605</v>
      </c>
      <c r="F17" s="3" t="s">
        <v>1674</v>
      </c>
      <c r="G17" s="3" t="s">
        <v>1675</v>
      </c>
      <c r="H17" t="str">
        <f t="shared" si="77"/>
        <v>7718901234</v>
      </c>
      <c r="I17" t="str">
        <f t="shared" si="78"/>
        <v>ОК</v>
      </c>
      <c r="J17" t="str">
        <f t="shared" si="79"/>
        <v xml:space="preserve">+7 (903) 678-90-12</v>
      </c>
      <c r="K17" t="str">
        <f t="shared" si="80"/>
        <v>prof@tehno</v>
      </c>
      <c r="L17" t="str">
        <f t="shared" si="81"/>
        <v xml:space="preserve">Ошибка Email</v>
      </c>
      <c r="M17" t="str">
        <f t="shared" si="82"/>
        <v>109052</v>
      </c>
      <c r="N17" t="str">
        <f t="shared" si="83"/>
        <v xml:space="preserve">г. Москва, ул. Смирновская, д. 8</v>
      </c>
    </row>
    <row r="18">
      <c r="A18" s="3" t="s">
        <v>1676</v>
      </c>
      <c r="B18" s="3" t="s">
        <v>1677</v>
      </c>
      <c r="C18" s="3" t="s">
        <v>1678</v>
      </c>
      <c r="D18" s="3" t="s">
        <v>1679</v>
      </c>
      <c r="E18" s="3" t="s">
        <v>1612</v>
      </c>
      <c r="F18" s="3" t="s">
        <v>1680</v>
      </c>
      <c r="G18" s="3" t="s">
        <v>1681</v>
      </c>
      <c r="H18" t="str">
        <f t="shared" si="77"/>
        <v>7807890</v>
      </c>
      <c r="I18" t="str">
        <f t="shared" si="78"/>
        <v xml:space="preserve">Ошибка ИНН</v>
      </c>
      <c r="J18" t="str">
        <f t="shared" si="79"/>
        <v xml:space="preserve">+7 (903) 789-01-23</v>
      </c>
      <c r="K18" t="str">
        <f t="shared" si="80"/>
        <v>komplekt@tehno</v>
      </c>
      <c r="L18" t="str">
        <f t="shared" si="81"/>
        <v xml:space="preserve">Ошибка Email</v>
      </c>
      <c r="M18" t="str">
        <f t="shared" si="82"/>
        <v>193079</v>
      </c>
      <c r="N18" t="str">
        <f t="shared" si="83"/>
        <v xml:space="preserve">г. Санкт-Петербург, ул. Новоселов, д. 12</v>
      </c>
    </row>
    <row r="19">
      <c r="A19" s="3" t="s">
        <v>1682</v>
      </c>
      <c r="B19" s="3" t="s">
        <v>1683</v>
      </c>
      <c r="C19" s="3" t="s">
        <v>1684</v>
      </c>
      <c r="D19" s="3" t="s">
        <v>1685</v>
      </c>
      <c r="E19" s="3" t="s">
        <v>1619</v>
      </c>
      <c r="F19" s="3" t="s">
        <v>1686</v>
      </c>
      <c r="G19" s="3" t="s">
        <v>1687</v>
      </c>
      <c r="H19" t="str">
        <f t="shared" si="77"/>
        <v>7719012345</v>
      </c>
      <c r="I19" t="str">
        <f t="shared" si="78"/>
        <v>ОК</v>
      </c>
      <c r="J19" t="str">
        <f t="shared" si="79"/>
        <v xml:space="preserve">+7 (903) 890-12-34</v>
      </c>
      <c r="K19" t="str">
        <f t="shared" si="80"/>
        <v>innov@mail</v>
      </c>
      <c r="L19" t="str">
        <f t="shared" si="81"/>
        <v xml:space="preserve">Ошибка Email</v>
      </c>
      <c r="M19" t="str">
        <f t="shared" si="82"/>
        <v>109004</v>
      </c>
      <c r="N19" t="str">
        <f t="shared" si="83"/>
        <v xml:space="preserve">г. Москва, ул. Земляной вал, д. 42</v>
      </c>
    </row>
    <row r="20">
      <c r="A20" s="3" t="s">
        <v>1688</v>
      </c>
      <c r="B20" s="3" t="s">
        <v>1689</v>
      </c>
      <c r="C20" s="3" t="s">
        <v>1690</v>
      </c>
      <c r="D20" s="3" t="s">
        <v>1691</v>
      </c>
      <c r="E20" s="3" t="s">
        <v>1692</v>
      </c>
      <c r="F20" s="3" t="s">
        <v>1693</v>
      </c>
      <c r="G20" s="3" t="s">
        <v>1694</v>
      </c>
      <c r="H20" t="str">
        <f t="shared" si="77"/>
        <v>780890123456</v>
      </c>
      <c r="I20" t="str">
        <f t="shared" si="78"/>
        <v>ОК</v>
      </c>
      <c r="J20" t="str">
        <f t="shared" si="79"/>
        <v xml:space="preserve">+7 (903) 901-23-45</v>
      </c>
      <c r="K20" t="str">
        <f t="shared" si="80"/>
        <v>electro_prom@mail</v>
      </c>
      <c r="L20" t="str">
        <f t="shared" si="81"/>
        <v xml:space="preserve">Ошибка Email</v>
      </c>
      <c r="M20" t="str">
        <f t="shared" si="82"/>
        <v>194100</v>
      </c>
      <c r="N20" t="str">
        <f t="shared" si="83"/>
        <v xml:space="preserve">г. Санкт-Петербург, ул. Кантемировская, д. 18</v>
      </c>
    </row>
    <row r="21">
      <c r="A21" s="3" t="s">
        <v>1695</v>
      </c>
      <c r="B21" s="3" t="s">
        <v>1696</v>
      </c>
      <c r="C21" s="3" t="s">
        <v>1697</v>
      </c>
      <c r="D21" s="3" t="s">
        <v>1698</v>
      </c>
      <c r="E21" s="3" t="s">
        <v>1633</v>
      </c>
      <c r="F21" s="3" t="s">
        <v>1699</v>
      </c>
      <c r="G21" s="3" t="s">
        <v>1700</v>
      </c>
      <c r="H21" t="str">
        <f t="shared" si="77"/>
        <v>7720123456</v>
      </c>
      <c r="I21" t="str">
        <f t="shared" si="78"/>
        <v>ОК</v>
      </c>
      <c r="J21" t="str">
        <f t="shared" si="79"/>
        <v xml:space="preserve">+7 (903) 012-34-56</v>
      </c>
      <c r="K21" t="str">
        <f t="shared" si="80"/>
        <v>invest@tehno</v>
      </c>
      <c r="L21" t="str">
        <f t="shared" si="81"/>
        <v xml:space="preserve">Ошибка Email</v>
      </c>
      <c r="M21" t="str">
        <f t="shared" si="82"/>
        <v>109380</v>
      </c>
      <c r="N21" t="str">
        <f t="shared" si="83"/>
        <v xml:space="preserve">г. Москва, ул. Люблинская, д. 75</v>
      </c>
    </row>
    <row r="22">
      <c r="A22" s="3" t="s">
        <v>1701</v>
      </c>
      <c r="B22" s="3" t="s">
        <v>1702</v>
      </c>
      <c r="C22" s="3" t="s">
        <v>1703</v>
      </c>
      <c r="D22" s="3" t="s">
        <v>1704</v>
      </c>
      <c r="E22" s="3" t="s">
        <v>1705</v>
      </c>
      <c r="F22" s="3" t="s">
        <v>1706</v>
      </c>
      <c r="G22" s="3" t="s">
        <v>1707</v>
      </c>
      <c r="H22" t="str">
        <f t="shared" si="77"/>
        <v>7809012345</v>
      </c>
      <c r="I22" t="str">
        <f t="shared" si="78"/>
        <v>ОК</v>
      </c>
      <c r="J22" t="str">
        <f t="shared" si="79"/>
        <v xml:space="preserve">+7 (903) 123-45-67</v>
      </c>
      <c r="K22" t="str">
        <f t="shared" si="80"/>
        <v>park@tehno</v>
      </c>
      <c r="L22" t="str">
        <f t="shared" si="81"/>
        <v xml:space="preserve">Ошибка Email</v>
      </c>
      <c r="M22" t="str">
        <f t="shared" si="82"/>
        <v>191040</v>
      </c>
      <c r="N22" t="str">
        <f t="shared" si="83"/>
        <v xml:space="preserve">г. Санкт-Петербург, ул. Коломенская, д. 29</v>
      </c>
    </row>
    <row r="23">
      <c r="A23" s="3" t="s">
        <v>1708</v>
      </c>
      <c r="B23" s="3" t="s">
        <v>1709</v>
      </c>
      <c r="C23" s="3" t="s">
        <v>1710</v>
      </c>
      <c r="D23" s="3" t="s">
        <v>1711</v>
      </c>
      <c r="E23" s="3" t="s">
        <v>1712</v>
      </c>
      <c r="F23" s="3" t="s">
        <v>1713</v>
      </c>
      <c r="G23" s="3" t="s">
        <v>1714</v>
      </c>
      <c r="H23" t="str">
        <f t="shared" si="77"/>
        <v>7721234567</v>
      </c>
      <c r="I23" t="str">
        <f t="shared" si="78"/>
        <v>ОК</v>
      </c>
      <c r="J23" t="str">
        <f t="shared" si="79"/>
        <v xml:space="preserve">+7 (903) 234-56-78</v>
      </c>
      <c r="K23" t="str">
        <f t="shared" si="80"/>
        <v>center@tehno</v>
      </c>
      <c r="L23" t="str">
        <f t="shared" si="81"/>
        <v xml:space="preserve">Ошибка Email</v>
      </c>
      <c r="M23" t="str">
        <f t="shared" si="82"/>
        <v>107031</v>
      </c>
      <c r="N23" t="str">
        <f t="shared" si="83"/>
        <v xml:space="preserve">г. Москва, ул. Рождественка, д. 10</v>
      </c>
    </row>
    <row r="24">
      <c r="A24" s="3" t="s">
        <v>1715</v>
      </c>
      <c r="B24" s="3" t="s">
        <v>1716</v>
      </c>
      <c r="C24" s="3" t="s">
        <v>1717</v>
      </c>
      <c r="D24" s="3" t="s">
        <v>1718</v>
      </c>
      <c r="E24" s="3" t="s">
        <v>1653</v>
      </c>
      <c r="F24" s="3" t="s">
        <v>1719</v>
      </c>
      <c r="G24" s="3" t="s">
        <v>1720</v>
      </c>
      <c r="H24" t="str">
        <f t="shared" si="77"/>
        <v>78101234</v>
      </c>
      <c r="I24" t="str">
        <f t="shared" si="78"/>
        <v xml:space="preserve">Ошибка ИНН</v>
      </c>
      <c r="J24" t="str">
        <f t="shared" si="79"/>
        <v xml:space="preserve">+7 (903) 345-67-89</v>
      </c>
      <c r="K24" t="str">
        <f t="shared" si="80"/>
        <v>sbyt@tehno</v>
      </c>
      <c r="L24" t="str">
        <f t="shared" si="81"/>
        <v xml:space="preserve">Ошибка Email</v>
      </c>
      <c r="M24" t="str">
        <f t="shared" si="82"/>
        <v>195009</v>
      </c>
      <c r="N24" t="str">
        <f t="shared" si="83"/>
        <v xml:space="preserve">г. Санкт-Петербург, ул. Комсомола, д. 21</v>
      </c>
    </row>
    <row r="25">
      <c r="A25" s="3" t="s">
        <v>1721</v>
      </c>
      <c r="B25" s="3" t="s">
        <v>1722</v>
      </c>
      <c r="C25" s="3" t="s">
        <v>1723</v>
      </c>
      <c r="D25" s="3" t="s">
        <v>1724</v>
      </c>
      <c r="E25" s="3" t="s">
        <v>1660</v>
      </c>
      <c r="F25" s="3" t="s">
        <v>1725</v>
      </c>
      <c r="G25" s="3" t="s">
        <v>1726</v>
      </c>
      <c r="H25" t="str">
        <f t="shared" si="77"/>
        <v>7722345678</v>
      </c>
      <c r="I25" t="str">
        <f t="shared" si="78"/>
        <v>ОК</v>
      </c>
      <c r="J25" t="str">
        <f t="shared" si="79"/>
        <v xml:space="preserve">+7 (903) 456-78-90</v>
      </c>
      <c r="K25" t="str">
        <f t="shared" si="80"/>
        <v>garant@tehno</v>
      </c>
      <c r="L25" t="str">
        <f t="shared" si="81"/>
        <v xml:space="preserve">Ошибка Email</v>
      </c>
      <c r="M25" t="str">
        <f t="shared" si="82"/>
        <v>119071</v>
      </c>
      <c r="N25" t="str">
        <f t="shared" si="83"/>
        <v xml:space="preserve">г. Москва, ул. Ленинский пр., д. 15</v>
      </c>
    </row>
    <row r="26">
      <c r="A26" s="3" t="s">
        <v>1727</v>
      </c>
      <c r="B26" s="3" t="s">
        <v>1728</v>
      </c>
      <c r="C26" s="3" t="s">
        <v>1729</v>
      </c>
      <c r="D26" s="3" t="s">
        <v>1730</v>
      </c>
      <c r="E26" s="3" t="s">
        <v>1731</v>
      </c>
      <c r="F26" s="3" t="s">
        <v>1732</v>
      </c>
      <c r="G26" s="3" t="s">
        <v>1733</v>
      </c>
      <c r="H26" t="str">
        <f t="shared" si="77"/>
        <v>7811234567890</v>
      </c>
      <c r="I26" t="str">
        <f t="shared" si="78"/>
        <v xml:space="preserve">Ошибка ИНН</v>
      </c>
      <c r="J26" t="str">
        <f t="shared" si="79"/>
        <v xml:space="preserve">+7 (903) 567-89-01</v>
      </c>
      <c r="K26" t="str">
        <f t="shared" si="80"/>
        <v>expo@tehno</v>
      </c>
      <c r="L26" t="str">
        <f t="shared" si="81"/>
        <v xml:space="preserve">Ошибка Email</v>
      </c>
      <c r="M26" t="str">
        <f t="shared" si="82"/>
        <v>198095</v>
      </c>
      <c r="N26" t="str">
        <f t="shared" si="83"/>
        <v xml:space="preserve">г. Санкт-Петербург, ул. Балтийская, д. 43</v>
      </c>
    </row>
    <row r="27">
      <c r="A27" s="3" t="s">
        <v>1734</v>
      </c>
      <c r="B27" s="3" t="s">
        <v>1735</v>
      </c>
      <c r="C27" s="3" t="s">
        <v>1736</v>
      </c>
      <c r="D27" s="3" t="s">
        <v>1737</v>
      </c>
      <c r="E27" s="3" t="s">
        <v>1605</v>
      </c>
      <c r="F27" s="3" t="s">
        <v>1738</v>
      </c>
      <c r="G27" s="3" t="s">
        <v>1739</v>
      </c>
      <c r="H27" t="str">
        <f t="shared" si="77"/>
        <v>77234567</v>
      </c>
      <c r="I27" t="str">
        <f t="shared" si="78"/>
        <v xml:space="preserve">Ошибка ИНН</v>
      </c>
      <c r="J27" t="str">
        <f t="shared" si="79"/>
        <v xml:space="preserve">+7 (903) 678-90-12</v>
      </c>
      <c r="K27" t="str">
        <f t="shared" si="80"/>
        <v>market@tehno</v>
      </c>
      <c r="L27" t="str">
        <f t="shared" si="81"/>
        <v xml:space="preserve">Ошибка Email</v>
      </c>
      <c r="M27" t="str">
        <f t="shared" si="82"/>
        <v>125040</v>
      </c>
      <c r="N27" t="str">
        <f t="shared" si="83"/>
        <v xml:space="preserve">г. Москва, ул. Нижняя Масловка, д. 5</v>
      </c>
    </row>
    <row r="28">
      <c r="A28" s="3" t="s">
        <v>1740</v>
      </c>
      <c r="B28" s="3" t="s">
        <v>1741</v>
      </c>
      <c r="C28" s="3" t="s">
        <v>1742</v>
      </c>
      <c r="D28" s="3" t="s">
        <v>1576</v>
      </c>
      <c r="E28" s="3" t="s">
        <v>1743</v>
      </c>
      <c r="F28" s="3" t="s">
        <v>1744</v>
      </c>
      <c r="G28" s="3" t="s">
        <v>1745</v>
      </c>
      <c r="H28" t="str">
        <f t="shared" si="77"/>
        <v>7812345678</v>
      </c>
      <c r="I28" t="str">
        <f t="shared" si="78"/>
        <v>ОК</v>
      </c>
      <c r="J28" t="str">
        <f t="shared" si="79"/>
        <v xml:space="preserve">+7 (903) 789-01-23</v>
      </c>
      <c r="K28" t="str">
        <f t="shared" si="80"/>
        <v>promteh@mail</v>
      </c>
      <c r="L28" t="str">
        <f t="shared" si="81"/>
        <v xml:space="preserve">Ошибка Email</v>
      </c>
      <c r="M28" t="str">
        <f t="shared" si="82"/>
        <v>192012</v>
      </c>
      <c r="N28" t="str">
        <f t="shared" si="83"/>
        <v xml:space="preserve">г. Санкт-Петербург, ул. Заневский пр., д. 32</v>
      </c>
    </row>
    <row r="29">
      <c r="A29" s="3" t="s">
        <v>1746</v>
      </c>
      <c r="B29" s="3" t="s">
        <v>1747</v>
      </c>
      <c r="C29" s="3" t="s">
        <v>1748</v>
      </c>
      <c r="D29" s="3" t="s">
        <v>1749</v>
      </c>
      <c r="E29" s="3" t="s">
        <v>1619</v>
      </c>
      <c r="F29" s="3" t="s">
        <v>1750</v>
      </c>
      <c r="G29" s="3" t="s">
        <v>1751</v>
      </c>
      <c r="H29" t="str">
        <f t="shared" si="77"/>
        <v>772456789012</v>
      </c>
      <c r="I29" t="str">
        <f t="shared" si="78"/>
        <v>ОК</v>
      </c>
      <c r="J29" t="str">
        <f t="shared" si="79"/>
        <v xml:space="preserve">+7 (903) 890-12-34</v>
      </c>
      <c r="K29" t="str">
        <f t="shared" si="80"/>
        <v>logistik@tehno</v>
      </c>
      <c r="L29" t="str">
        <f t="shared" si="81"/>
        <v xml:space="preserve">Ошибка Email</v>
      </c>
      <c r="M29" t="str">
        <f t="shared" si="82"/>
        <v>109544</v>
      </c>
      <c r="N29" t="str">
        <f t="shared" si="83"/>
        <v xml:space="preserve">г. Москва, ул. Б.Семеновская, д. 38</v>
      </c>
    </row>
    <row r="30">
      <c r="A30" s="3" t="s">
        <v>1752</v>
      </c>
      <c r="B30" s="3" t="s">
        <v>1753</v>
      </c>
      <c r="C30" s="3" t="s">
        <v>1754</v>
      </c>
      <c r="D30" s="3" t="s">
        <v>1755</v>
      </c>
      <c r="E30" s="3" t="s">
        <v>1756</v>
      </c>
      <c r="F30" s="3" t="s">
        <v>1757</v>
      </c>
      <c r="G30" s="3" t="s">
        <v>1758</v>
      </c>
      <c r="H30" t="str">
        <f t="shared" si="77"/>
        <v>7813456789</v>
      </c>
      <c r="I30" t="str">
        <f t="shared" si="78"/>
        <v>ОК</v>
      </c>
      <c r="J30" t="str">
        <f t="shared" si="79"/>
        <v xml:space="preserve">+7 (903) 901-23-45</v>
      </c>
      <c r="K30" t="str">
        <f t="shared" si="80"/>
        <v>standart@tehno</v>
      </c>
      <c r="L30" t="str">
        <f t="shared" si="81"/>
        <v xml:space="preserve">Ошибка Email</v>
      </c>
      <c r="M30" t="str">
        <f t="shared" si="82"/>
        <v>197376</v>
      </c>
      <c r="N30" t="str">
        <f t="shared" si="83"/>
        <v xml:space="preserve">г. Санкт-Петербург, ул. Пионерская, д. 9</v>
      </c>
    </row>
    <row r="31">
      <c r="A31" s="3" t="s">
        <v>1759</v>
      </c>
      <c r="B31" s="3" t="s">
        <v>1760</v>
      </c>
      <c r="C31" s="3" t="s">
        <v>1761</v>
      </c>
      <c r="D31" s="3" t="s">
        <v>1762</v>
      </c>
      <c r="E31" s="3" t="s">
        <v>1633</v>
      </c>
      <c r="F31" s="3" t="s">
        <v>1763</v>
      </c>
      <c r="G31" s="3" t="s">
        <v>1764</v>
      </c>
      <c r="H31" t="str">
        <f t="shared" si="77"/>
        <v>7725678901</v>
      </c>
      <c r="I31" t="str">
        <f t="shared" si="78"/>
        <v>ОК</v>
      </c>
      <c r="J31" t="str">
        <f t="shared" si="79"/>
        <v xml:space="preserve">+7 (903) 012-34-56</v>
      </c>
      <c r="K31" t="str">
        <f t="shared" si="80"/>
        <v>style@tehno</v>
      </c>
      <c r="L31" t="str">
        <f t="shared" si="81"/>
        <v xml:space="preserve">Ошибка Email</v>
      </c>
      <c r="M31" t="str">
        <f t="shared" si="82"/>
        <v>119146</v>
      </c>
      <c r="N31" t="str">
        <f t="shared" si="83"/>
        <v xml:space="preserve">г. Москва, ул. Фрунзенская, д. 50</v>
      </c>
    </row>
    <row r="32">
      <c r="A32" s="3" t="s">
        <v>1765</v>
      </c>
      <c r="B32" s="3" t="s">
        <v>1766</v>
      </c>
      <c r="C32" s="3" t="s">
        <v>1767</v>
      </c>
      <c r="D32" s="3" t="s">
        <v>1768</v>
      </c>
      <c r="E32" s="3" t="s">
        <v>1769</v>
      </c>
      <c r="F32" s="3" t="s">
        <v>1770</v>
      </c>
      <c r="G32" s="3" t="s">
        <v>1771</v>
      </c>
      <c r="H32" t="str">
        <f t="shared" si="77"/>
        <v>78145678</v>
      </c>
      <c r="I32" t="str">
        <f t="shared" si="78"/>
        <v xml:space="preserve">Ошибка ИНН</v>
      </c>
      <c r="J32" t="str">
        <f t="shared" si="79"/>
        <v xml:space="preserve">+7 (903) 123-45-67</v>
      </c>
      <c r="K32" t="str">
        <f t="shared" si="80"/>
        <v>postavka@tehno</v>
      </c>
      <c r="L32" t="str">
        <f t="shared" si="81"/>
        <v xml:space="preserve">Ошибка Email</v>
      </c>
      <c r="M32" t="str">
        <f t="shared" si="82"/>
        <v>190121</v>
      </c>
      <c r="N32" t="str">
        <f t="shared" si="83"/>
        <v xml:space="preserve">г. Санкт-Петербург, ул. Курляндская, д. 27</v>
      </c>
    </row>
    <row r="33">
      <c r="A33" s="3" t="s">
        <v>1772</v>
      </c>
      <c r="B33" s="3" t="s">
        <v>1773</v>
      </c>
      <c r="C33" s="3" t="s">
        <v>1774</v>
      </c>
      <c r="D33" s="3" t="s">
        <v>1775</v>
      </c>
      <c r="E33" s="3" t="s">
        <v>1712</v>
      </c>
      <c r="F33" s="3" t="s">
        <v>1776</v>
      </c>
      <c r="G33" s="3" t="s">
        <v>1777</v>
      </c>
      <c r="H33" t="str">
        <f t="shared" si="77"/>
        <v>7726789012</v>
      </c>
      <c r="I33" t="str">
        <f t="shared" si="78"/>
        <v>ОК</v>
      </c>
      <c r="J33" t="str">
        <f t="shared" si="79"/>
        <v xml:space="preserve">+7 (903) 234-56-78</v>
      </c>
      <c r="K33" t="str">
        <f t="shared" si="80"/>
        <v>sfera@tehno</v>
      </c>
      <c r="L33" t="str">
        <f t="shared" si="81"/>
        <v xml:space="preserve">Ошибка Email</v>
      </c>
      <c r="M33" t="str">
        <f t="shared" si="82"/>
        <v>111123</v>
      </c>
      <c r="N33" t="str">
        <f t="shared" si="83"/>
        <v xml:space="preserve">г. Москва, ул. Электродная, д. 11</v>
      </c>
    </row>
    <row r="34">
      <c r="A34" s="3" t="s">
        <v>1778</v>
      </c>
      <c r="B34" s="3" t="s">
        <v>1779</v>
      </c>
      <c r="C34" s="3" t="s">
        <v>1780</v>
      </c>
      <c r="D34" s="3" t="s">
        <v>1781</v>
      </c>
      <c r="E34" s="3" t="s">
        <v>1653</v>
      </c>
      <c r="F34" s="3" t="s">
        <v>1782</v>
      </c>
      <c r="G34" s="3" t="s">
        <v>1783</v>
      </c>
      <c r="H34" t="str">
        <f t="shared" si="77"/>
        <v>7815678901234</v>
      </c>
      <c r="I34" t="str">
        <f t="shared" si="78"/>
        <v xml:space="preserve">Ошибка ИНН</v>
      </c>
      <c r="J34" t="str">
        <f t="shared" si="79"/>
        <v xml:space="preserve">+7 (903) 345-67-89</v>
      </c>
      <c r="K34" t="str">
        <f t="shared" si="80"/>
        <v>sistema@tehno</v>
      </c>
      <c r="L34" t="str">
        <f t="shared" si="81"/>
        <v xml:space="preserve">Ошибка Email</v>
      </c>
      <c r="M34" t="str">
        <f t="shared" si="82"/>
        <v>198332</v>
      </c>
      <c r="N34" t="str">
        <f t="shared" si="83"/>
        <v xml:space="preserve">г. Санкт-Петербург, ул. Краснопутиловская, д. 65</v>
      </c>
    </row>
    <row r="35">
      <c r="A35" s="3" t="s">
        <v>1784</v>
      </c>
      <c r="B35" s="3" t="s">
        <v>1785</v>
      </c>
      <c r="C35" s="3" t="s">
        <v>1786</v>
      </c>
      <c r="D35" s="3" t="s">
        <v>1787</v>
      </c>
      <c r="E35" s="3" t="s">
        <v>1660</v>
      </c>
      <c r="F35" s="3" t="s">
        <v>1788</v>
      </c>
      <c r="G35" s="3" t="s">
        <v>1789</v>
      </c>
      <c r="H35" t="str">
        <f t="shared" si="77"/>
        <v>7727890123</v>
      </c>
      <c r="I35" t="str">
        <f t="shared" si="78"/>
        <v>ОК</v>
      </c>
      <c r="J35" t="str">
        <f t="shared" si="79"/>
        <v xml:space="preserve">+7 (903) 456-78-90</v>
      </c>
      <c r="K35" t="str">
        <f t="shared" si="80"/>
        <v>trans@tehno</v>
      </c>
      <c r="L35" t="str">
        <f t="shared" si="81"/>
        <v xml:space="preserve">Ошибка Email</v>
      </c>
      <c r="M35" t="str">
        <f t="shared" si="82"/>
        <v>107014</v>
      </c>
      <c r="N35" t="str">
        <f t="shared" si="83"/>
        <v xml:space="preserve">г. Москва, ул. Малая Почтовая, д. 2</v>
      </c>
    </row>
    <row r="36">
      <c r="A36" s="3" t="s">
        <v>1790</v>
      </c>
      <c r="B36" s="3" t="s">
        <v>1791</v>
      </c>
      <c r="C36" s="3" t="s">
        <v>1792</v>
      </c>
      <c r="D36" s="3" t="s">
        <v>1793</v>
      </c>
      <c r="E36" s="3" t="s">
        <v>1731</v>
      </c>
      <c r="F36" s="3" t="s">
        <v>1794</v>
      </c>
      <c r="G36" s="3" t="s">
        <v>1795</v>
      </c>
      <c r="H36" t="str">
        <f t="shared" si="77"/>
        <v>7816789012</v>
      </c>
      <c r="I36" t="str">
        <f t="shared" si="78"/>
        <v>ОК</v>
      </c>
      <c r="J36" t="str">
        <f t="shared" si="79"/>
        <v xml:space="preserve">+7 (903) 567-89-01</v>
      </c>
      <c r="K36" t="str">
        <f t="shared" si="80"/>
        <v>energo@tehno</v>
      </c>
      <c r="L36" t="str">
        <f t="shared" si="81"/>
        <v xml:space="preserve">Ошибка Email</v>
      </c>
      <c r="M36" t="str">
        <f t="shared" si="82"/>
        <v>191123</v>
      </c>
      <c r="N36" t="str">
        <f t="shared" si="83"/>
        <v xml:space="preserve">г. Санкт-Петербург, ул. Шпалерная, д. 54</v>
      </c>
    </row>
    <row r="37">
      <c r="A37" s="3" t="s">
        <v>1796</v>
      </c>
      <c r="B37" s="3" t="s">
        <v>1797</v>
      </c>
      <c r="C37" s="3" t="s">
        <v>1798</v>
      </c>
      <c r="D37" s="3" t="s">
        <v>1799</v>
      </c>
      <c r="E37" s="3" t="s">
        <v>1605</v>
      </c>
      <c r="F37" s="3" t="s">
        <v>1800</v>
      </c>
      <c r="G37" s="3" t="s">
        <v>1801</v>
      </c>
      <c r="H37" t="str">
        <f t="shared" si="77"/>
        <v>7728901234</v>
      </c>
      <c r="I37" t="str">
        <f t="shared" si="78"/>
        <v>ОК</v>
      </c>
      <c r="J37" t="str">
        <f t="shared" si="79"/>
        <v xml:space="preserve">+7 (903) 678-90-12</v>
      </c>
      <c r="K37" t="str">
        <f t="shared" si="80"/>
        <v>izmerenie@tehno</v>
      </c>
      <c r="L37" t="str">
        <f t="shared" si="81"/>
        <v xml:space="preserve">Ошибка Email</v>
      </c>
      <c r="M37" t="str">
        <f t="shared" si="82"/>
        <v>109028</v>
      </c>
      <c r="N37" t="str">
        <f t="shared" si="83"/>
        <v xml:space="preserve">г. Москва, ул. Тургеневская, д. 17</v>
      </c>
    </row>
    <row r="38">
      <c r="A38" s="3" t="s">
        <v>1802</v>
      </c>
      <c r="B38" s="3" t="s">
        <v>1803</v>
      </c>
      <c r="C38" s="3" t="s">
        <v>1804</v>
      </c>
      <c r="D38" s="3" t="s">
        <v>1805</v>
      </c>
      <c r="E38" s="3" t="s">
        <v>1743</v>
      </c>
      <c r="F38" s="3" t="s">
        <v>1806</v>
      </c>
      <c r="G38" s="3" t="s">
        <v>1807</v>
      </c>
      <c r="H38" t="str">
        <f t="shared" si="77"/>
        <v>7817890</v>
      </c>
      <c r="I38" t="str">
        <f t="shared" si="78"/>
        <v xml:space="preserve">Ошибка ИНН</v>
      </c>
      <c r="J38" t="str">
        <f t="shared" si="79"/>
        <v xml:space="preserve">+7 (903) 789-01-23</v>
      </c>
      <c r="K38" t="str">
        <f t="shared" si="80"/>
        <v>ingenering@tehno</v>
      </c>
      <c r="L38" t="str">
        <f t="shared" si="81"/>
        <v xml:space="preserve">Ошибка Email</v>
      </c>
      <c r="M38" t="str">
        <f t="shared" si="82"/>
        <v>197198</v>
      </c>
      <c r="N38" t="str">
        <f t="shared" si="83"/>
        <v xml:space="preserve">г. Санкт-Петербург, ул. Большая Зеленина, д. 42</v>
      </c>
    </row>
    <row r="39">
      <c r="A39" s="3" t="s">
        <v>1808</v>
      </c>
      <c r="B39" s="3" t="s">
        <v>1809</v>
      </c>
      <c r="C39" s="3" t="s">
        <v>1810</v>
      </c>
      <c r="D39" s="3" t="s">
        <v>1811</v>
      </c>
      <c r="E39" s="3" t="s">
        <v>1619</v>
      </c>
      <c r="F39" s="3" t="s">
        <v>1812</v>
      </c>
      <c r="G39" s="3" t="s">
        <v>1813</v>
      </c>
      <c r="H39" t="str">
        <f t="shared" si="77"/>
        <v>7729012345</v>
      </c>
      <c r="I39" t="str">
        <f t="shared" si="78"/>
        <v>ОК</v>
      </c>
      <c r="J39" t="str">
        <f t="shared" si="79"/>
        <v xml:space="preserve">+7 (903) 890-12-34</v>
      </c>
      <c r="K39" t="str">
        <f t="shared" si="80"/>
        <v>cifra@tehno</v>
      </c>
      <c r="L39" t="str">
        <f t="shared" si="81"/>
        <v xml:space="preserve">Ошибка Email</v>
      </c>
      <c r="M39" t="str">
        <f t="shared" si="82"/>
        <v>119048</v>
      </c>
      <c r="N39" t="str">
        <f t="shared" si="83"/>
        <v xml:space="preserve">г. Москва, ул. Усачева, д. 35</v>
      </c>
    </row>
    <row r="40">
      <c r="A40" s="3" t="s">
        <v>1814</v>
      </c>
      <c r="B40" s="3" t="s">
        <v>1815</v>
      </c>
      <c r="C40" s="3" t="s">
        <v>1816</v>
      </c>
      <c r="D40" s="3" t="s">
        <v>1817</v>
      </c>
      <c r="E40" s="3" t="s">
        <v>1692</v>
      </c>
      <c r="F40" s="3" t="s">
        <v>1818</v>
      </c>
      <c r="G40" s="3" t="s">
        <v>1819</v>
      </c>
      <c r="H40" t="str">
        <f t="shared" si="77"/>
        <v>781890123456</v>
      </c>
      <c r="I40" t="str">
        <f t="shared" si="78"/>
        <v>ОК</v>
      </c>
      <c r="J40" t="str">
        <f t="shared" si="79"/>
        <v xml:space="preserve">+7 (903) 901-23-45</v>
      </c>
      <c r="K40" t="str">
        <f t="shared" si="80"/>
        <v>spektr@tehno</v>
      </c>
      <c r="L40" t="str">
        <f t="shared" si="81"/>
        <v xml:space="preserve">Ошибка Email</v>
      </c>
      <c r="M40" t="str">
        <f t="shared" si="82"/>
        <v>192102</v>
      </c>
      <c r="N40" t="str">
        <f t="shared" si="83"/>
        <v xml:space="preserve">г. Санкт-Петербург, ул. Бухарестская, д. 22</v>
      </c>
    </row>
    <row r="41">
      <c r="A41" s="3" t="s">
        <v>1820</v>
      </c>
      <c r="B41" s="3" t="s">
        <v>1821</v>
      </c>
      <c r="C41" s="3" t="s">
        <v>1822</v>
      </c>
      <c r="D41" s="3" t="s">
        <v>1823</v>
      </c>
      <c r="E41" s="3" t="s">
        <v>1633</v>
      </c>
      <c r="F41" s="3" t="s">
        <v>1824</v>
      </c>
      <c r="G41" s="3" t="s">
        <v>1825</v>
      </c>
      <c r="H41" t="str">
        <f t="shared" si="77"/>
        <v>7730123456</v>
      </c>
      <c r="I41" t="str">
        <f t="shared" si="78"/>
        <v>ОК</v>
      </c>
      <c r="J41" t="str">
        <f t="shared" si="79"/>
        <v xml:space="preserve">+7 (903) 012-34-56</v>
      </c>
      <c r="K41" t="str">
        <f t="shared" si="80"/>
        <v>forum@tehno</v>
      </c>
      <c r="L41" t="str">
        <f t="shared" si="81"/>
        <v xml:space="preserve">Ошибка Email</v>
      </c>
      <c r="M41" t="str">
        <f t="shared" si="82"/>
        <v>109240</v>
      </c>
      <c r="N41" t="str">
        <f t="shared" si="83"/>
        <v xml:space="preserve">г. Москва, ул. Гончарная, д. 18</v>
      </c>
    </row>
    <row r="42">
      <c r="A42" s="3" t="s">
        <v>1826</v>
      </c>
      <c r="B42" s="3" t="s">
        <v>1827</v>
      </c>
      <c r="C42" s="3" t="s">
        <v>1828</v>
      </c>
      <c r="D42" s="3" t="s">
        <v>1829</v>
      </c>
      <c r="E42" s="3" t="s">
        <v>1705</v>
      </c>
      <c r="F42" s="3" t="s">
        <v>1830</v>
      </c>
      <c r="G42" s="3" t="s">
        <v>1831</v>
      </c>
      <c r="H42" t="str">
        <f t="shared" si="77"/>
        <v>7819012345</v>
      </c>
      <c r="I42" t="str">
        <f t="shared" si="78"/>
        <v>ОК</v>
      </c>
      <c r="J42" t="str">
        <f t="shared" si="79"/>
        <v xml:space="preserve">+7 (903) 123-45-67</v>
      </c>
      <c r="K42" t="str">
        <f t="shared" si="80"/>
        <v>holod@tehno</v>
      </c>
      <c r="L42" t="str">
        <f t="shared" si="81"/>
        <v xml:space="preserve">Ошибка Email</v>
      </c>
      <c r="M42" t="str">
        <f t="shared" si="82"/>
        <v>196191</v>
      </c>
      <c r="N42" t="str">
        <f t="shared" si="83"/>
        <v xml:space="preserve">г. Санкт-Петербург, ул. Бассейная, д. 63</v>
      </c>
    </row>
    <row r="43">
      <c r="A43" s="3" t="s">
        <v>1832</v>
      </c>
      <c r="B43" s="3" t="s">
        <v>1833</v>
      </c>
      <c r="C43" s="3" t="s">
        <v>1834</v>
      </c>
      <c r="D43" s="3" t="s">
        <v>1835</v>
      </c>
      <c r="E43" s="3" t="s">
        <v>1712</v>
      </c>
      <c r="F43" s="3" t="s">
        <v>1836</v>
      </c>
      <c r="G43" s="3" t="s">
        <v>1837</v>
      </c>
      <c r="H43" t="str">
        <f t="shared" si="77"/>
        <v>7731234567</v>
      </c>
      <c r="I43" t="str">
        <f t="shared" si="78"/>
        <v>ОК</v>
      </c>
      <c r="J43" t="str">
        <f t="shared" si="79"/>
        <v xml:space="preserve">+7 (903) 234-56-78</v>
      </c>
      <c r="K43" t="str">
        <f t="shared" si="80"/>
        <v>resurs_tehno@mail</v>
      </c>
      <c r="L43" t="str">
        <f t="shared" si="81"/>
        <v xml:space="preserve">Ошибка Email</v>
      </c>
      <c r="M43" t="str">
        <f t="shared" si="82"/>
        <v>115114</v>
      </c>
      <c r="N43" t="str">
        <f t="shared" si="83"/>
        <v xml:space="preserve">г. Москва, ул. Дербеневская, д. 17</v>
      </c>
    </row>
    <row r="44">
      <c r="A44" s="3" t="s">
        <v>1838</v>
      </c>
      <c r="B44" s="3" t="s">
        <v>1839</v>
      </c>
      <c r="C44" s="3" t="s">
        <v>1840</v>
      </c>
      <c r="D44" s="3" t="s">
        <v>1841</v>
      </c>
      <c r="E44" s="3" t="s">
        <v>1653</v>
      </c>
      <c r="F44" s="3" t="s">
        <v>1842</v>
      </c>
      <c r="G44" s="3" t="s">
        <v>1843</v>
      </c>
      <c r="H44" t="str">
        <f t="shared" si="77"/>
        <v>78201234</v>
      </c>
      <c r="I44" t="str">
        <f t="shared" si="78"/>
        <v xml:space="preserve">Ошибка ИНН</v>
      </c>
      <c r="J44" t="str">
        <f t="shared" si="79"/>
        <v xml:space="preserve">+7 (903) 345-67-89</v>
      </c>
      <c r="K44" t="str">
        <f t="shared" si="80"/>
        <v>design@tehno</v>
      </c>
      <c r="L44" t="str">
        <f t="shared" si="81"/>
        <v xml:space="preserve">Ошибка Email</v>
      </c>
      <c r="M44" t="str">
        <f t="shared" si="82"/>
        <v>194292</v>
      </c>
      <c r="N44" t="str">
        <f t="shared" si="83"/>
        <v xml:space="preserve">г. Санкт-Петербург, ул. Светлановский пр., д. 62</v>
      </c>
    </row>
    <row r="45">
      <c r="A45" s="3" t="s">
        <v>1844</v>
      </c>
      <c r="B45" s="3" t="s">
        <v>1845</v>
      </c>
      <c r="C45" s="3" t="s">
        <v>1846</v>
      </c>
      <c r="D45" s="3" t="s">
        <v>1847</v>
      </c>
      <c r="E45" s="3" t="s">
        <v>1660</v>
      </c>
      <c r="F45" s="3" t="s">
        <v>1848</v>
      </c>
      <c r="G45" s="3" t="s">
        <v>1849</v>
      </c>
      <c r="H45" t="str">
        <f t="shared" si="77"/>
        <v>7732345678</v>
      </c>
      <c r="I45" t="str">
        <f t="shared" si="78"/>
        <v>ОК</v>
      </c>
      <c r="J45" t="str">
        <f t="shared" si="79"/>
        <v xml:space="preserve">+7 (903) 456-78-90</v>
      </c>
      <c r="K45" t="str">
        <f t="shared" si="80"/>
        <v>aljans@tehno</v>
      </c>
      <c r="L45" t="str">
        <f t="shared" si="81"/>
        <v xml:space="preserve">Ошибка Email</v>
      </c>
      <c r="M45" t="str">
        <f t="shared" si="82"/>
        <v>127018</v>
      </c>
      <c r="N45" t="str">
        <f t="shared" si="83"/>
        <v xml:space="preserve">г. Москва, ул. Полковая, д. 3</v>
      </c>
    </row>
    <row r="46">
      <c r="A46" s="3" t="s">
        <v>1850</v>
      </c>
      <c r="B46" s="3" t="s">
        <v>1851</v>
      </c>
      <c r="C46" s="3" t="s">
        <v>1852</v>
      </c>
      <c r="D46" s="3" t="s">
        <v>1853</v>
      </c>
      <c r="E46" s="3" t="s">
        <v>1731</v>
      </c>
      <c r="F46" s="3" t="s">
        <v>1854</v>
      </c>
      <c r="G46" s="3" t="s">
        <v>1855</v>
      </c>
      <c r="H46" t="str">
        <f t="shared" si="77"/>
        <v>7821234567890</v>
      </c>
      <c r="I46" t="str">
        <f t="shared" si="78"/>
        <v xml:space="preserve">Ошибка ИНН</v>
      </c>
      <c r="J46" t="str">
        <f t="shared" si="79"/>
        <v xml:space="preserve">+7 (903) 567-89-01</v>
      </c>
      <c r="K46" t="str">
        <f t="shared" si="80"/>
        <v>partner@tehno</v>
      </c>
      <c r="L46" t="str">
        <f t="shared" si="81"/>
        <v xml:space="preserve">Ошибка Email</v>
      </c>
      <c r="M46" t="str">
        <f t="shared" si="82"/>
        <v>190000</v>
      </c>
      <c r="N46" t="str">
        <f t="shared" si="83"/>
        <v xml:space="preserve">г. Санкт-Петербург, ул. Большая Морская, д. 18</v>
      </c>
    </row>
    <row r="47">
      <c r="A47" s="3" t="s">
        <v>1856</v>
      </c>
      <c r="B47" s="3" t="s">
        <v>1857</v>
      </c>
      <c r="C47" s="3" t="s">
        <v>1858</v>
      </c>
      <c r="D47" s="3" t="s">
        <v>1859</v>
      </c>
      <c r="E47" s="3" t="s">
        <v>1605</v>
      </c>
      <c r="F47" s="3" t="s">
        <v>1860</v>
      </c>
      <c r="G47" s="3" t="s">
        <v>1861</v>
      </c>
      <c r="H47" t="str">
        <f t="shared" si="77"/>
        <v>77334567</v>
      </c>
      <c r="I47" t="str">
        <f t="shared" si="78"/>
        <v xml:space="preserve">Ошибка ИНН</v>
      </c>
      <c r="J47" t="str">
        <f t="shared" si="79"/>
        <v xml:space="preserve">+7 (903) 678-90-12</v>
      </c>
      <c r="K47" t="str">
        <f t="shared" si="80"/>
        <v>komfort@tehno</v>
      </c>
      <c r="L47" t="str">
        <f t="shared" si="81"/>
        <v xml:space="preserve">Ошибка Email</v>
      </c>
      <c r="M47" t="str">
        <f t="shared" si="82"/>
        <v>117312</v>
      </c>
      <c r="N47" t="str">
        <f t="shared" si="83"/>
        <v xml:space="preserve">г. Москва, ул. Вавилова, д. 65</v>
      </c>
    </row>
    <row r="48">
      <c r="A48" s="3" t="s">
        <v>1862</v>
      </c>
      <c r="B48" s="3" t="s">
        <v>1863</v>
      </c>
      <c r="C48" s="3" t="s">
        <v>1864</v>
      </c>
      <c r="D48" s="3" t="s">
        <v>1865</v>
      </c>
      <c r="E48" s="3" t="s">
        <v>1743</v>
      </c>
      <c r="F48" s="3" t="s">
        <v>1866</v>
      </c>
      <c r="G48" s="3" t="s">
        <v>1867</v>
      </c>
      <c r="H48" t="str">
        <f t="shared" si="77"/>
        <v>7822345678</v>
      </c>
      <c r="I48" t="str">
        <f t="shared" si="78"/>
        <v>ОК</v>
      </c>
      <c r="J48" t="str">
        <f t="shared" si="79"/>
        <v xml:space="preserve">+7 (903) 789-01-23</v>
      </c>
      <c r="K48" t="str">
        <f t="shared" si="80"/>
        <v>stroy@tehno</v>
      </c>
      <c r="L48" t="str">
        <f t="shared" si="81"/>
        <v xml:space="preserve">Ошибка Email</v>
      </c>
      <c r="M48" t="str">
        <f t="shared" si="82"/>
        <v>193231</v>
      </c>
      <c r="N48" t="str">
        <f t="shared" si="83"/>
        <v xml:space="preserve">г. Санкт-Петербург, ул. Дыбенко, д. 14</v>
      </c>
    </row>
    <row r="49">
      <c r="A49" s="3" t="s">
        <v>1868</v>
      </c>
      <c r="B49" s="3" t="s">
        <v>1869</v>
      </c>
      <c r="C49" s="3" t="s">
        <v>1870</v>
      </c>
      <c r="D49" s="3" t="s">
        <v>1871</v>
      </c>
      <c r="E49" s="3" t="s">
        <v>1619</v>
      </c>
      <c r="F49" s="3" t="s">
        <v>1872</v>
      </c>
      <c r="G49" s="3" t="s">
        <v>1873</v>
      </c>
      <c r="H49" t="str">
        <f t="shared" si="77"/>
        <v>773456789012</v>
      </c>
      <c r="I49" t="str">
        <f t="shared" si="78"/>
        <v>ОК</v>
      </c>
      <c r="J49" t="str">
        <f t="shared" si="79"/>
        <v xml:space="preserve">+7 (903) 890-12-34</v>
      </c>
      <c r="K49" t="str">
        <f t="shared" si="80"/>
        <v>avtomatika@tehno</v>
      </c>
      <c r="L49" t="str">
        <f t="shared" si="81"/>
        <v xml:space="preserve">Ошибка Email</v>
      </c>
      <c r="M49" t="str">
        <f t="shared" si="82"/>
        <v>109012</v>
      </c>
      <c r="N49" t="str">
        <f t="shared" si="83"/>
        <v xml:space="preserve">г. Москва, ул. Никольская, д. 8</v>
      </c>
    </row>
    <row r="50">
      <c r="A50" s="3" t="s">
        <v>1874</v>
      </c>
      <c r="B50" s="3" t="s">
        <v>1875</v>
      </c>
      <c r="C50" s="3" t="s">
        <v>1876</v>
      </c>
      <c r="D50" s="3" t="s">
        <v>1877</v>
      </c>
      <c r="E50" s="3" t="s">
        <v>1692</v>
      </c>
      <c r="F50" s="3" t="s">
        <v>1878</v>
      </c>
      <c r="G50" s="3" t="s">
        <v>1879</v>
      </c>
      <c r="H50" t="str">
        <f t="shared" si="77"/>
        <v>7823456789</v>
      </c>
      <c r="I50" t="str">
        <f t="shared" si="78"/>
        <v>ОК</v>
      </c>
      <c r="J50" t="str">
        <f t="shared" si="79"/>
        <v xml:space="preserve">+7 (903) 901-23-45</v>
      </c>
      <c r="K50" t="str">
        <f t="shared" si="80"/>
        <v>kontrol@tehno</v>
      </c>
      <c r="L50" t="str">
        <f t="shared" si="81"/>
        <v xml:space="preserve">Ошибка Email</v>
      </c>
      <c r="M50" t="str">
        <f t="shared" si="82"/>
        <v>194044</v>
      </c>
      <c r="N50" t="str">
        <f t="shared" si="83"/>
        <v xml:space="preserve">г. Санкт-Петербург, ул. Смолячкова, д. 7</v>
      </c>
    </row>
    <row r="51">
      <c r="A51" s="3" t="s">
        <v>1880</v>
      </c>
      <c r="B51" s="3" t="s">
        <v>1881</v>
      </c>
      <c r="C51" s="3" t="s">
        <v>1882</v>
      </c>
      <c r="D51" s="3" t="s">
        <v>1883</v>
      </c>
      <c r="E51" s="3" t="s">
        <v>1633</v>
      </c>
      <c r="F51" s="3" t="s">
        <v>1884</v>
      </c>
      <c r="G51" s="3" t="s">
        <v>1885</v>
      </c>
      <c r="H51" t="str">
        <f t="shared" si="77"/>
        <v>7735678901</v>
      </c>
      <c r="I51" t="str">
        <f t="shared" si="78"/>
        <v>ОК</v>
      </c>
      <c r="J51" t="str">
        <f t="shared" si="79"/>
        <v xml:space="preserve">+7 (903) 012-34-56</v>
      </c>
      <c r="K51" t="str">
        <f t="shared" si="80"/>
        <v>proekt@tehno</v>
      </c>
      <c r="L51" t="str">
        <f t="shared" si="81"/>
        <v xml:space="preserve">Ошибка Email</v>
      </c>
      <c r="M51" t="str">
        <f t="shared" si="82"/>
        <v>119435</v>
      </c>
      <c r="N51" t="str">
        <f t="shared" si="83"/>
        <v xml:space="preserve">г. Москва, ул. Погодинская, д. 18</v>
      </c>
    </row>
  </sheetData>
  <autoFilter ref="A1:N5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pane ySplit="1" topLeftCell="A2" activePane="bottomLeft" state="frozen"/>
      <selection activeCell="A1" activeCellId="0" sqref="A1"/>
    </sheetView>
  </sheetViews>
  <sheetFormatPr baseColWidth="10" defaultColWidth="8.83203125" defaultRowHeight="14.25"/>
  <cols>
    <col customWidth="1" min="1" max="7" width="16"/>
    <col customWidth="1" min="8" max="10" width="14"/>
    <col customWidth="1" min="11" max="11" width="20"/>
    <col customWidth="1" min="12" max="13" width="14"/>
    <col customWidth="1" min="14" max="14" width="23"/>
    <col customWidth="1" min="15" max="15" width="26"/>
    <col customWidth="1" min="16" max="16" width="17"/>
    <col customWidth="1" min="17" max="39" width="9"/>
  </cols>
  <sheetData>
    <row r="1" ht="32" customHeight="1">
      <c r="A1" s="1" t="s">
        <v>1886</v>
      </c>
      <c r="B1" s="1" t="s">
        <v>0</v>
      </c>
      <c r="C1" s="1" t="s">
        <v>1887</v>
      </c>
      <c r="D1" s="1" t="s">
        <v>1888</v>
      </c>
      <c r="E1" s="1" t="s">
        <v>1889</v>
      </c>
      <c r="F1" s="1" t="s">
        <v>1552</v>
      </c>
      <c r="G1" s="1" t="s">
        <v>1890</v>
      </c>
      <c r="H1" s="2" t="s">
        <v>1891</v>
      </c>
      <c r="I1" s="2" t="s">
        <v>7</v>
      </c>
      <c r="J1" s="2" t="s">
        <v>1892</v>
      </c>
      <c r="K1" s="2" t="s">
        <v>1893</v>
      </c>
      <c r="L1" s="2" t="s">
        <v>1894</v>
      </c>
      <c r="M1" s="2" t="s">
        <v>1895</v>
      </c>
      <c r="N1" s="2" t="s">
        <v>1896</v>
      </c>
      <c r="O1" s="2" t="s">
        <v>1897</v>
      </c>
      <c r="P1" s="2" t="s">
        <v>14</v>
      </c>
    </row>
    <row r="2">
      <c r="A2" s="3" t="s">
        <v>1898</v>
      </c>
      <c r="B2" s="3" t="s">
        <v>1899</v>
      </c>
      <c r="C2" s="3" t="s">
        <v>1900</v>
      </c>
      <c r="D2" s="3" t="s">
        <v>1901</v>
      </c>
      <c r="E2" s="3" t="s">
        <v>1902</v>
      </c>
      <c r="F2" s="3" t="s">
        <v>1642</v>
      </c>
      <c r="G2" s="3" t="s">
        <v>1903</v>
      </c>
      <c r="H2" s="5">
        <f t="shared" ref="H2:H9" si="84">DATE(VALUE(RIGHT(A2,4)),VALUE(LEFT(A2,2)),VALUE(MID(A2,4,2)))</f>
        <v>45672</v>
      </c>
      <c r="I2" t="str">
        <f t="shared" ref="I2:I9" si="85">"АРТ-"&amp;TEXT(VALUE(LEFT(SUBSTITUTE(SUBSTITUTE(SUBSTITUTE(SUBSTITUTE(TRIM(B2),"№",""),"АРТ-",""),"АРТ_",""),"АРТ",""),3)),"000")</f>
        <v>АРТ-045</v>
      </c>
      <c r="J2" s="6">
        <f t="shared" ref="J2:J9" si="86">VALUE(TRIM(SUBSTITUTE(SUBSTITUTE(TRIM(C2),"шт.",""),"шт","")))</f>
        <v>2</v>
      </c>
      <c r="K2" s="4">
        <f>VALUE(SUBSTITUTE(SUBSTITUTE(SUBSTITUTE(SUBSTITUTE(D2,"$",""),"€",""),"₽","")," ",""))*IF(ISNUMBER(FIND("$",D2)),Справочники!$H$3,IF(ISNUMBER(FIND("€",D2)),Справочники!$H$4,1))</f>
        <v>9500</v>
      </c>
      <c r="L2" t="str">
        <f>IFERROR(VLOOKUP(TRIM(G2),Справочники!$D$3:$E$13,2,0),"Нет в справочнике")</f>
        <v>Завершен</v>
      </c>
      <c r="M2" t="str">
        <f t="shared" ref="M2:M9" si="87">IF(COUNTIFS($H$2:H2,H2,$I$2:I2,I2,$E$2:E2,E2)&gt;1,"Дубликат","")</f>
        <v/>
      </c>
      <c r="N2" t="str">
        <f>IFERROR(VLOOKUP(I2,Товары_очищенные!$H$2:$J$502,3,0),"Нет в каталоге")</f>
        <v>Телевизоры</v>
      </c>
      <c r="O2" s="4">
        <f>IFERROR(VLOOKUP(I2,Товары_очищенные!$H$2:$M$502,6,0),"")</f>
        <v>137000</v>
      </c>
      <c r="P2" t="str">
        <f t="shared" ref="P2:P9" si="88">IF(O2="","Нет в каталоге",IF(ABS(K2/O2-1)&lt;=0.2,"ОК","Цена отличается от каталога"))</f>
        <v xml:space="preserve">Цена отличается от каталога</v>
      </c>
    </row>
    <row r="3">
      <c r="A3" s="3" t="s">
        <v>1898</v>
      </c>
      <c r="B3" s="3" t="s">
        <v>1904</v>
      </c>
      <c r="C3" s="3" t="s">
        <v>1905</v>
      </c>
      <c r="D3" s="3" t="s">
        <v>1906</v>
      </c>
      <c r="E3" s="3" t="s">
        <v>1907</v>
      </c>
      <c r="F3" s="3" t="s">
        <v>1608</v>
      </c>
      <c r="G3" s="3" t="s">
        <v>1908</v>
      </c>
      <c r="H3" s="5">
        <f t="shared" si="84"/>
        <v>45672</v>
      </c>
      <c r="I3" t="str">
        <f t="shared" si="85"/>
        <v>АРТ-112</v>
      </c>
      <c r="J3" s="6">
        <f t="shared" si="86"/>
        <v>1</v>
      </c>
      <c r="K3" s="4">
        <f>VALUE(SUBSTITUTE(SUBSTITUTE(SUBSTITUTE(SUBSTITUTE(D3,"$",""),"€",""),"₽","")," ",""))*IF(ISNUMBER(FIND("$",D3)),Справочники!$H$3,IF(ISNUMBER(FIND("€",D3)),Справочники!$H$4,1))</f>
        <v>8500</v>
      </c>
      <c r="L3" t="str">
        <f>IFERROR(VLOOKUP(TRIM(G3),Справочники!$D$3:$E$13,2,0),"Нет в справочнике")</f>
        <v>Завершен</v>
      </c>
      <c r="M3" t="str">
        <f t="shared" si="87"/>
        <v/>
      </c>
      <c r="N3" t="str">
        <f>IFERROR(VLOOKUP(I3,Товары_очищенные!$H$2:$J$502,3,0),"Нет в каталоге")</f>
        <v>Наушники</v>
      </c>
      <c r="O3" s="4">
        <f>IFERROR(VLOOKUP(I3,Товары_очищенные!$H$2:$M$502,6,0),"")</f>
        <v>34990</v>
      </c>
      <c r="P3" t="str">
        <f t="shared" si="88"/>
        <v xml:space="preserve">Цена отличается от каталога</v>
      </c>
    </row>
    <row r="4">
      <c r="A4" s="3" t="s">
        <v>1909</v>
      </c>
      <c r="B4" s="3" t="s">
        <v>29</v>
      </c>
      <c r="C4" s="3" t="s">
        <v>1910</v>
      </c>
      <c r="D4" s="3" t="s">
        <v>1911</v>
      </c>
      <c r="E4" s="3" t="s">
        <v>1912</v>
      </c>
      <c r="F4" s="3" t="s">
        <v>1715</v>
      </c>
      <c r="G4" s="3" t="s">
        <v>1913</v>
      </c>
      <c r="H4" s="5">
        <f t="shared" si="84"/>
        <v>45673</v>
      </c>
      <c r="I4" t="str">
        <f t="shared" si="85"/>
        <v>АРТ-003</v>
      </c>
      <c r="J4" s="6">
        <f t="shared" si="86"/>
        <v>3</v>
      </c>
      <c r="K4" s="4">
        <f>VALUE(SUBSTITUTE(SUBSTITUTE(SUBSTITUTE(SUBSTITUTE(D4,"$",""),"€",""),"₽","")," ",""))*IF(ISNUMBER(FIND("$",D4)),Справочники!$H$3,IF(ISNUMBER(FIND("€",D4)),Справочники!$H$4,1))</f>
        <v>7500</v>
      </c>
      <c r="L4" t="str">
        <f>IFERROR(VLOOKUP(TRIM(G4),Справочники!$D$3:$E$13,2,0),"Нет в справочнике")</f>
        <v>Завершен</v>
      </c>
      <c r="M4" t="str">
        <f t="shared" si="87"/>
        <v/>
      </c>
      <c r="N4" t="str">
        <f>IFERROR(VLOOKUP(I4,Товары_очищенные!$H$2:$J$502,3,0),"Нет в каталоге")</f>
        <v>Смартфоны</v>
      </c>
      <c r="O4" s="4">
        <f>IFERROR(VLOOKUP(I4,Товары_очищенные!$H$2:$M$502,6,0),"")</f>
        <v>77700</v>
      </c>
      <c r="P4" t="str">
        <f t="shared" si="88"/>
        <v xml:space="preserve">Цена отличается от каталога</v>
      </c>
    </row>
    <row r="5">
      <c r="A5" s="3" t="s">
        <v>1909</v>
      </c>
      <c r="B5" s="3" t="s">
        <v>1914</v>
      </c>
      <c r="C5" s="3" t="s">
        <v>1915</v>
      </c>
      <c r="D5" s="3" t="s">
        <v>1916</v>
      </c>
      <c r="E5" s="3" t="s">
        <v>1917</v>
      </c>
      <c r="F5" s="3" t="s">
        <v>1850</v>
      </c>
      <c r="G5" s="3" t="s">
        <v>1918</v>
      </c>
      <c r="H5" s="5">
        <f t="shared" si="84"/>
        <v>45673</v>
      </c>
      <c r="I5" t="str">
        <f t="shared" si="85"/>
        <v>АРТ-234</v>
      </c>
      <c r="J5" s="6">
        <f t="shared" si="86"/>
        <v>-1</v>
      </c>
      <c r="K5" s="4">
        <f>VALUE(SUBSTITUTE(SUBSTITUTE(SUBSTITUTE(SUBSTITUTE(D5,"$",""),"€",""),"₽","")," ",""))*IF(ISNUMBER(FIND("$",D5)),Справочники!$H$3,IF(ISNUMBER(FIND("€",D5)),Справочники!$H$4,1))</f>
        <v>10450</v>
      </c>
      <c r="L5" t="str">
        <f>IFERROR(VLOOKUP(TRIM(G5),Справочники!$D$3:$E$13,2,0),"Нет в справочнике")</f>
        <v>Отменен</v>
      </c>
      <c r="M5" t="str">
        <f t="shared" si="87"/>
        <v/>
      </c>
      <c r="N5" t="str">
        <f>IFERROR(VLOOKUP(I5,Товары_очищенные!$H$2:$J$502,3,0),"Нет в каталоге")</f>
        <v>Смартфоны</v>
      </c>
      <c r="O5" s="4">
        <f>IFERROR(VLOOKUP(I5,Товары_очищенные!$H$2:$M$502,6,0),"")</f>
        <v>44500</v>
      </c>
      <c r="P5" t="str">
        <f t="shared" si="88"/>
        <v xml:space="preserve">Цена отличается от каталога</v>
      </c>
    </row>
    <row r="6">
      <c r="A6" s="3" t="s">
        <v>1919</v>
      </c>
      <c r="B6" s="3" t="s">
        <v>1920</v>
      </c>
      <c r="C6" s="3" t="s">
        <v>1921</v>
      </c>
      <c r="D6" s="3" t="s">
        <v>1922</v>
      </c>
      <c r="E6" s="3" t="s">
        <v>1923</v>
      </c>
      <c r="F6" s="3" t="s">
        <v>1615</v>
      </c>
      <c r="G6" s="3" t="s">
        <v>1924</v>
      </c>
      <c r="H6" s="5">
        <f t="shared" si="84"/>
        <v>45674</v>
      </c>
      <c r="I6" t="str">
        <f t="shared" si="85"/>
        <v>АРТ-067</v>
      </c>
      <c r="J6" s="6">
        <f t="shared" si="86"/>
        <v>2</v>
      </c>
      <c r="K6" s="4">
        <f>VALUE(SUBSTITUTE(SUBSTITUTE(SUBSTITUTE(SUBSTITUTE(D6,"$",""),"€",""),"₽","")," ",""))*IF(ISNUMBER(FIND("$",D6)),Справочники!$H$3,IF(ISNUMBER(FIND("€",D6)),Справочники!$H$4,1))</f>
        <v>9000</v>
      </c>
      <c r="L6" t="str">
        <f>IFERROR(VLOOKUP(TRIM(G6),Справочники!$D$3:$E$13,2,0),"Нет в справочнике")</f>
        <v>Отменен</v>
      </c>
      <c r="M6" t="str">
        <f t="shared" si="87"/>
        <v/>
      </c>
      <c r="N6" t="str">
        <f>IFERROR(VLOOKUP(I6,Товары_очищенные!$H$2:$J$502,3,0),"Нет в каталоге")</f>
        <v>Телевизоры</v>
      </c>
      <c r="O6" s="4">
        <f>IFERROR(VLOOKUP(I6,Товары_очищенные!$H$2:$M$502,6,0),"")</f>
        <v>109999</v>
      </c>
      <c r="P6" t="str">
        <f t="shared" si="88"/>
        <v xml:space="preserve">Цена отличается от каталога</v>
      </c>
    </row>
    <row r="7">
      <c r="A7" s="3" t="s">
        <v>1919</v>
      </c>
      <c r="B7" s="3" t="s">
        <v>372</v>
      </c>
      <c r="C7" s="3" t="s">
        <v>1905</v>
      </c>
      <c r="D7" s="3" t="s">
        <v>1925</v>
      </c>
      <c r="E7" s="3" t="s">
        <v>1926</v>
      </c>
      <c r="F7" s="3" t="s">
        <v>1765</v>
      </c>
      <c r="G7" s="3" t="s">
        <v>1927</v>
      </c>
      <c r="H7" s="5">
        <f t="shared" si="84"/>
        <v>45674</v>
      </c>
      <c r="I7" t="str">
        <f t="shared" si="85"/>
        <v>АРТ-078</v>
      </c>
      <c r="J7" s="6">
        <f t="shared" si="86"/>
        <v>1</v>
      </c>
      <c r="K7" s="4">
        <f>VALUE(SUBSTITUTE(SUBSTITUTE(SUBSTITUTE(SUBSTITUTE(D7,"$",""),"€",""),"₽","")," ",""))*IF(ISNUMBER(FIND("$",D7)),Справочники!$H$3,IF(ISNUMBER(FIND("€",D7)),Справочники!$H$4,1))</f>
        <v>8000</v>
      </c>
      <c r="L7" t="str">
        <f>IFERROR(VLOOKUP(TRIM(G7),Справочники!$D$3:$E$13,2,0),"Нет в справочнике")</f>
        <v>Возврат</v>
      </c>
      <c r="M7" t="str">
        <f t="shared" si="87"/>
        <v/>
      </c>
      <c r="N7" t="str">
        <f>IFERROR(VLOOKUP(I7,Товары_очищенные!$H$2:$J$502,3,0),"Нет в каталоге")</f>
        <v>Аксессуары</v>
      </c>
      <c r="O7" s="4">
        <f>IFERROR(VLOOKUP(I7,Товары_очищенные!$H$2:$M$502,6,0),"")</f>
        <v>13500</v>
      </c>
      <c r="P7" t="str">
        <f t="shared" si="88"/>
        <v xml:space="preserve">Цена отличается от каталога</v>
      </c>
    </row>
    <row r="8">
      <c r="A8" s="3" t="s">
        <v>1928</v>
      </c>
      <c r="B8" s="3" t="s">
        <v>1929</v>
      </c>
      <c r="C8" s="3" t="s">
        <v>1930</v>
      </c>
      <c r="D8" s="3" t="s">
        <v>1931</v>
      </c>
      <c r="E8" s="3" t="s">
        <v>1932</v>
      </c>
      <c r="F8" s="3" t="s">
        <v>1688</v>
      </c>
      <c r="G8" s="3" t="s">
        <v>1903</v>
      </c>
      <c r="H8" s="5">
        <f t="shared" si="84"/>
        <v>45675</v>
      </c>
      <c r="I8" t="str">
        <f t="shared" si="85"/>
        <v>АРТ-389</v>
      </c>
      <c r="J8" s="6">
        <f t="shared" si="86"/>
        <v>3</v>
      </c>
      <c r="K8" s="4">
        <f>VALUE(SUBSTITUTE(SUBSTITUTE(SUBSTITUTE(SUBSTITUTE(D8,"$",""),"€",""),"₽","")," ",""))*IF(ISNUMBER(FIND("$",D8)),Справочники!$H$3,IF(ISNUMBER(FIND("€",D8)),Справочники!$H$4,1))</f>
        <v>9975</v>
      </c>
      <c r="L8" t="str">
        <f>IFERROR(VLOOKUP(TRIM(G8),Справочники!$D$3:$E$13,2,0),"Нет в справочнике")</f>
        <v>Завершен</v>
      </c>
      <c r="M8" t="str">
        <f t="shared" si="87"/>
        <v/>
      </c>
      <c r="N8" t="str">
        <f>IFERROR(VLOOKUP(I8,Товары_очищенные!$H$2:$J$502,3,0),"Нет в каталоге")</f>
        <v>Телевизоры</v>
      </c>
      <c r="O8" s="4">
        <f>IFERROR(VLOOKUP(I8,Товары_очищенные!$H$2:$M$502,6,0),"")</f>
        <v>75000</v>
      </c>
      <c r="P8" t="str">
        <f t="shared" si="88"/>
        <v xml:space="preserve">Цена отличается от каталога</v>
      </c>
    </row>
    <row r="9">
      <c r="A9" s="3" t="s">
        <v>1928</v>
      </c>
      <c r="B9" s="3" t="s">
        <v>1933</v>
      </c>
      <c r="C9" s="3" t="s">
        <v>1900</v>
      </c>
      <c r="D9" s="3" t="s">
        <v>1934</v>
      </c>
      <c r="E9" s="3" t="s">
        <v>1935</v>
      </c>
      <c r="F9" s="3" t="s">
        <v>1832</v>
      </c>
      <c r="G9" s="3" t="s">
        <v>1913</v>
      </c>
      <c r="H9" s="5">
        <f t="shared" si="84"/>
        <v>45675</v>
      </c>
      <c r="I9" t="str">
        <f t="shared" si="85"/>
        <v>АРТ-156</v>
      </c>
      <c r="J9" s="6">
        <f t="shared" si="86"/>
        <v>2</v>
      </c>
      <c r="K9" s="4">
        <f>VALUE(SUBSTITUTE(SUBSTITUTE(SUBSTITUTE(SUBSTITUTE(D9,"$",""),"€",""),"₽","")," ",""))*IF(ISNUMBER(FIND("$",D9)),Справочники!$H$3,IF(ISNUMBER(FIND("€",D9)),Справочники!$H$4,1))</f>
        <v>9500</v>
      </c>
      <c r="L9" t="str">
        <f>IFERROR(VLOOKUP(TRIM(G9),Справочники!$D$3:$E$13,2,0),"Нет в справочнике")</f>
        <v>Завершен</v>
      </c>
      <c r="M9" t="str">
        <f t="shared" si="87"/>
        <v/>
      </c>
      <c r="N9" t="str">
        <f>IFERROR(VLOOKUP(I9,Товары_очищенные!$H$2:$J$502,3,0),"Нет в каталоге")</f>
        <v>Наушники</v>
      </c>
      <c r="O9" s="4">
        <f>IFERROR(VLOOKUP(I9,Товары_очищенные!$H$2:$M$502,6,0),"")</f>
        <v>17800</v>
      </c>
      <c r="P9" t="str">
        <f t="shared" si="88"/>
        <v xml:space="preserve">Цена отличается от каталога</v>
      </c>
    </row>
    <row r="10">
      <c r="A10" s="3" t="s">
        <v>1936</v>
      </c>
      <c r="B10" s="3" t="s">
        <v>1937</v>
      </c>
      <c r="C10" s="3" t="s">
        <v>1938</v>
      </c>
      <c r="D10" s="3" t="s">
        <v>1939</v>
      </c>
      <c r="E10" s="3" t="s">
        <v>1940</v>
      </c>
      <c r="F10" s="3" t="s">
        <v>1594</v>
      </c>
      <c r="G10" s="3" t="s">
        <v>1908</v>
      </c>
      <c r="H10" s="5">
        <f t="shared" ref="H10:H73" si="89">DATE(VALUE(RIGHT(A10,4)),VALUE(LEFT(A10,2)),VALUE(MID(A10,4,2)))</f>
        <v>45676</v>
      </c>
      <c r="I10" t="str">
        <f t="shared" ref="I10:I73" si="90">"АРТ-"&amp;TEXT(VALUE(LEFT(SUBSTITUTE(SUBSTITUTE(SUBSTITUTE(SUBSTITUTE(TRIM(B10),"№",""),"АРТ-",""),"АРТ_",""),"АРТ",""),3)),"000")</f>
        <v>АРТ-251</v>
      </c>
      <c r="J10" s="6">
        <f t="shared" ref="J10:J73" si="91">VALUE(TRIM(SUBSTITUTE(SUBSTITUTE(TRIM(C10),"шт.",""),"шт","")))</f>
        <v>1</v>
      </c>
      <c r="K10" s="4">
        <f>VALUE(SUBSTITUTE(SUBSTITUTE(SUBSTITUTE(SUBSTITUTE(D10,"$",""),"€",""),"₽","")," ",""))*IF(ISNUMBER(FIND("$",D10)),Справочники!$H$3,IF(ISNUMBER(FIND("€",D10)),Справочники!$H$4,1))</f>
        <v>6500</v>
      </c>
      <c r="L10" t="str">
        <f>IFERROR(VLOOKUP(TRIM(G10),Справочники!$D$3:$E$13,2,0),"Нет в справочнике")</f>
        <v>Завершен</v>
      </c>
      <c r="M10" t="str">
        <f t="shared" ref="M10:M73" si="92">IF(COUNTIFS($H$2:H10,H10,$I$2:I10,I10,$E$2:E10,E10)&gt;1,"Дубликат","")</f>
        <v/>
      </c>
      <c r="N10" t="str">
        <f>IFERROR(VLOOKUP(I10,Товары_очищенные!$H$2:$J$502,3,0),"Нет в каталоге")</f>
        <v>Часы</v>
      </c>
      <c r="O10" s="4">
        <f>IFERROR(VLOOKUP(I10,Товары_очищенные!$H$2:$M$502,6,0),"")</f>
        <v>53500</v>
      </c>
      <c r="P10" t="str">
        <f t="shared" ref="P10:P73" si="93">IF(O10="","Нет в каталоге",IF(ABS(K10/O10-1)&lt;=0.2,"ОК","Цена отличается от каталога"))</f>
        <v xml:space="preserve">Цена отличается от каталога</v>
      </c>
    </row>
    <row r="11">
      <c r="A11" s="3" t="s">
        <v>1936</v>
      </c>
      <c r="B11" s="3" t="s">
        <v>1941</v>
      </c>
      <c r="C11" s="3" t="s">
        <v>1942</v>
      </c>
      <c r="D11" s="3" t="s">
        <v>1943</v>
      </c>
      <c r="E11" s="3" t="s">
        <v>1944</v>
      </c>
      <c r="F11" s="3" t="s">
        <v>1796</v>
      </c>
      <c r="G11" s="3" t="s">
        <v>1945</v>
      </c>
      <c r="H11" s="5">
        <f t="shared" si="89"/>
        <v>45676</v>
      </c>
      <c r="I11" t="str">
        <f t="shared" si="90"/>
        <v>АРТ-023</v>
      </c>
      <c r="J11" s="6">
        <f t="shared" si="91"/>
        <v>-2</v>
      </c>
      <c r="K11" s="4">
        <f>VALUE(SUBSTITUTE(SUBSTITUTE(SUBSTITUTE(SUBSTITUTE(D11,"$",""),"€",""),"₽","")," ",""))*IF(ISNUMBER(FIND("$",D11)),Справочники!$H$3,IF(ISNUMBER(FIND("€",D11)),Справочники!$H$4,1))</f>
        <v>10925</v>
      </c>
      <c r="L11" t="str">
        <f>IFERROR(VLOOKUP(TRIM(G11),Справочники!$D$3:$E$13,2,0),"Нет в справочнике")</f>
        <v>Отменен</v>
      </c>
      <c r="M11" t="str">
        <f t="shared" si="92"/>
        <v/>
      </c>
      <c r="N11" t="str">
        <f>IFERROR(VLOOKUP(I11,Товары_очищенные!$H$2:$J$502,3,0),"Нет в каталоге")</f>
        <v>Смартфоны</v>
      </c>
      <c r="O11" s="4">
        <f>IFERROR(VLOOKUP(I11,Товары_очищенные!$H$2:$M$502,6,0),"")</f>
        <v>58500</v>
      </c>
      <c r="P11" t="str">
        <f t="shared" si="93"/>
        <v xml:space="preserve">Цена отличается от каталога</v>
      </c>
    </row>
    <row r="12">
      <c r="A12" s="3" t="s">
        <v>1946</v>
      </c>
      <c r="B12" s="3" t="s">
        <v>1947</v>
      </c>
      <c r="C12" s="3" t="s">
        <v>1930</v>
      </c>
      <c r="D12" s="3" t="s">
        <v>1948</v>
      </c>
      <c r="E12" s="3" t="s">
        <v>1949</v>
      </c>
      <c r="F12" s="3" t="s">
        <v>1656</v>
      </c>
      <c r="G12" s="3" t="s">
        <v>1927</v>
      </c>
      <c r="H12" s="5">
        <f t="shared" si="89"/>
        <v>45677</v>
      </c>
      <c r="I12" t="str">
        <f t="shared" si="90"/>
        <v>АРТ-478</v>
      </c>
      <c r="J12" s="6">
        <f t="shared" si="91"/>
        <v>3</v>
      </c>
      <c r="K12" s="4">
        <f>VALUE(SUBSTITUTE(SUBSTITUTE(SUBSTITUTE(SUBSTITUTE(D12,"$",""),"€",""),"₽","")," ",""))*IF(ISNUMBER(FIND("$",D12)),Справочники!$H$3,IF(ISNUMBER(FIND("€",D12)),Справочники!$H$4,1))</f>
        <v>8000</v>
      </c>
      <c r="L12" t="str">
        <f>IFERROR(VLOOKUP(TRIM(G12),Справочники!$D$3:$E$13,2,0),"Нет в справочнике")</f>
        <v>Возврат</v>
      </c>
      <c r="M12" t="str">
        <f t="shared" si="92"/>
        <v/>
      </c>
      <c r="N12" t="str">
        <f>IFERROR(VLOOKUP(I12,Товары_очищенные!$H$2:$J$502,3,0),"Нет в каталоге")</f>
        <v>Аксессуары</v>
      </c>
      <c r="O12" s="4">
        <f>IFERROR(VLOOKUP(I12,Товары_очищенные!$H$2:$M$502,6,0),"")</f>
        <v>12990</v>
      </c>
      <c r="P12" t="str">
        <f t="shared" si="93"/>
        <v xml:space="preserve">Цена отличается от каталога</v>
      </c>
    </row>
    <row r="13">
      <c r="A13" s="3" t="s">
        <v>1946</v>
      </c>
      <c r="B13" s="3" t="s">
        <v>1950</v>
      </c>
      <c r="C13" s="3" t="s">
        <v>1905</v>
      </c>
      <c r="D13" s="3" t="s">
        <v>1951</v>
      </c>
      <c r="E13" s="3" t="s">
        <v>1952</v>
      </c>
      <c r="F13" s="3" t="s">
        <v>1746</v>
      </c>
      <c r="G13" s="3" t="s">
        <v>1903</v>
      </c>
      <c r="H13" s="5">
        <f t="shared" si="89"/>
        <v>45677</v>
      </c>
      <c r="I13" t="str">
        <f t="shared" si="90"/>
        <v>АРТ-045</v>
      </c>
      <c r="J13" s="6">
        <f t="shared" si="91"/>
        <v>1</v>
      </c>
      <c r="K13" s="4">
        <f>VALUE(SUBSTITUTE(SUBSTITUTE(SUBSTITUTE(SUBSTITUTE(D13,"$",""),"€",""),"₽","")," ",""))*IF(ISNUMBER(FIND("$",D13)),Справочники!$H$3,IF(ISNUMBER(FIND("€",D13)),Справочники!$H$4,1))</f>
        <v>8500</v>
      </c>
      <c r="L13" t="str">
        <f>IFERROR(VLOOKUP(TRIM(G13),Справочники!$D$3:$E$13,2,0),"Нет в справочнике")</f>
        <v>Завершен</v>
      </c>
      <c r="M13" t="str">
        <f t="shared" si="92"/>
        <v/>
      </c>
      <c r="N13" t="str">
        <f>IFERROR(VLOOKUP(I13,Товары_очищенные!$H$2:$J$502,3,0),"Нет в каталоге")</f>
        <v>Телевизоры</v>
      </c>
      <c r="O13" s="4">
        <f>IFERROR(VLOOKUP(I13,Товары_очищенные!$H$2:$M$502,6,0),"")</f>
        <v>137000</v>
      </c>
      <c r="P13" t="str">
        <f t="shared" si="93"/>
        <v xml:space="preserve">Цена отличается от каталога</v>
      </c>
    </row>
    <row r="14">
      <c r="A14" s="3" t="s">
        <v>1953</v>
      </c>
      <c r="B14" s="3" t="s">
        <v>1954</v>
      </c>
      <c r="C14" s="3" t="s">
        <v>1900</v>
      </c>
      <c r="D14" s="3" t="s">
        <v>1955</v>
      </c>
      <c r="E14" s="3" t="s">
        <v>1956</v>
      </c>
      <c r="F14" s="3" t="s">
        <v>1622</v>
      </c>
      <c r="G14" s="3" t="s">
        <v>1924</v>
      </c>
      <c r="H14" s="5">
        <f t="shared" si="89"/>
        <v>45678</v>
      </c>
      <c r="I14" t="str">
        <f t="shared" si="90"/>
        <v>АРТ-189</v>
      </c>
      <c r="J14" s="6">
        <f t="shared" si="91"/>
        <v>2</v>
      </c>
      <c r="K14" s="4">
        <f>VALUE(SUBSTITUTE(SUBSTITUTE(SUBSTITUTE(SUBSTITUTE(D14,"$",""),"€",""),"₽","")," ",""))*IF(ISNUMBER(FIND("$",D14)),Справочники!$H$3,IF(ISNUMBER(FIND("€",D14)),Справочники!$H$4,1))</f>
        <v>12350</v>
      </c>
      <c r="L14" t="str">
        <f>IFERROR(VLOOKUP(TRIM(G14),Справочники!$D$3:$E$13,2,0),"Нет в справочнике")</f>
        <v>Отменен</v>
      </c>
      <c r="M14" t="str">
        <f t="shared" si="92"/>
        <v/>
      </c>
      <c r="N14" t="str">
        <f>IFERROR(VLOOKUP(I14,Товары_очищенные!$H$2:$J$502,3,0),"Нет в каталоге")</f>
        <v>Часы</v>
      </c>
      <c r="O14" s="4">
        <f>IFERROR(VLOOKUP(I14,Товары_очищенные!$H$2:$M$502,6,0),"")</f>
        <v>51500</v>
      </c>
      <c r="P14" t="str">
        <f t="shared" si="93"/>
        <v xml:space="preserve">Цена отличается от каталога</v>
      </c>
    </row>
    <row r="15">
      <c r="A15" s="3" t="s">
        <v>1953</v>
      </c>
      <c r="B15" s="3" t="s">
        <v>1957</v>
      </c>
      <c r="C15" s="3" t="s">
        <v>1905</v>
      </c>
      <c r="D15" s="3" t="s">
        <v>1958</v>
      </c>
      <c r="E15" s="3" t="s">
        <v>1959</v>
      </c>
      <c r="F15" s="3" t="s">
        <v>1826</v>
      </c>
      <c r="G15" s="3" t="s">
        <v>1913</v>
      </c>
      <c r="H15" s="5">
        <f t="shared" si="89"/>
        <v>45678</v>
      </c>
      <c r="I15" t="str">
        <f t="shared" si="90"/>
        <v>АРТ-334</v>
      </c>
      <c r="J15" s="6">
        <f t="shared" si="91"/>
        <v>1</v>
      </c>
      <c r="K15" s="4">
        <f>VALUE(SUBSTITUTE(SUBSTITUTE(SUBSTITUTE(SUBSTITUTE(D15,"$",""),"€",""),"₽","")," ",""))*IF(ISNUMBER(FIND("$",D15)),Справочники!$H$3,IF(ISNUMBER(FIND("€",D15)),Справочники!$H$4,1))</f>
        <v>11000</v>
      </c>
      <c r="L15" t="str">
        <f>IFERROR(VLOOKUP(TRIM(G15),Справочники!$D$3:$E$13,2,0),"Нет в справочнике")</f>
        <v>Завершен</v>
      </c>
      <c r="M15" t="str">
        <f t="shared" si="92"/>
        <v/>
      </c>
      <c r="N15" t="str">
        <f>IFERROR(VLOOKUP(I15,Товары_очищенные!$H$2:$J$502,3,0),"Нет в каталоге")</f>
        <v>Планшеты</v>
      </c>
      <c r="O15" s="4">
        <f>IFERROR(VLOOKUP(I15,Товары_очищенные!$H$2:$M$502,6,0),"")</f>
        <v>48990</v>
      </c>
      <c r="P15" t="str">
        <f t="shared" si="93"/>
        <v xml:space="preserve">Цена отличается от каталога</v>
      </c>
    </row>
    <row r="16">
      <c r="A16" s="3" t="s">
        <v>1960</v>
      </c>
      <c r="B16" s="3" t="s">
        <v>1961</v>
      </c>
      <c r="C16" s="3" t="s">
        <v>1910</v>
      </c>
      <c r="D16" s="3" t="s">
        <v>1962</v>
      </c>
      <c r="E16" s="3" t="s">
        <v>1963</v>
      </c>
      <c r="F16" s="3" t="s">
        <v>1676</v>
      </c>
      <c r="G16" s="3" t="s">
        <v>1918</v>
      </c>
      <c r="H16" s="5">
        <f t="shared" si="89"/>
        <v>45679</v>
      </c>
      <c r="I16" t="str">
        <f t="shared" si="90"/>
        <v>АРТ-126</v>
      </c>
      <c r="J16" s="6">
        <f t="shared" si="91"/>
        <v>3</v>
      </c>
      <c r="K16" s="4">
        <f>VALUE(SUBSTITUTE(SUBSTITUTE(SUBSTITUTE(SUBSTITUTE(D16,"$",""),"€",""),"₽","")," ",""))*IF(ISNUMBER(FIND("$",D16)),Справочники!$H$3,IF(ISNUMBER(FIND("€",D16)),Справочники!$H$4,1))</f>
        <v>9500</v>
      </c>
      <c r="L16" t="str">
        <f>IFERROR(VLOOKUP(TRIM(G16),Справочники!$D$3:$E$13,2,0),"Нет в справочнике")</f>
        <v>Отменен</v>
      </c>
      <c r="M16" t="str">
        <f t="shared" si="92"/>
        <v/>
      </c>
      <c r="N16" t="str">
        <f>IFERROR(VLOOKUP(I16,Товары_очищенные!$H$2:$J$502,3,0),"Нет в каталоге")</f>
        <v>Ноутбуки</v>
      </c>
      <c r="O16" s="4">
        <f>IFERROR(VLOOKUP(I16,Товары_очищенные!$H$2:$M$502,6,0),"")</f>
        <v>173000</v>
      </c>
      <c r="P16" t="str">
        <f t="shared" si="93"/>
        <v xml:space="preserve">Цена отличается от каталога</v>
      </c>
    </row>
    <row r="17">
      <c r="A17" s="3" t="s">
        <v>1960</v>
      </c>
      <c r="B17" s="3" t="s">
        <v>1356</v>
      </c>
      <c r="C17" s="3" t="s">
        <v>1915</v>
      </c>
      <c r="D17" s="3" t="s">
        <v>1964</v>
      </c>
      <c r="E17" s="3" t="s">
        <v>1965</v>
      </c>
      <c r="F17" s="3" t="s">
        <v>1772</v>
      </c>
      <c r="G17" s="3" t="s">
        <v>1903</v>
      </c>
      <c r="H17" s="5">
        <f t="shared" si="89"/>
        <v>45679</v>
      </c>
      <c r="I17" t="str">
        <f t="shared" si="90"/>
        <v>АРТ-412</v>
      </c>
      <c r="J17" s="6">
        <f t="shared" si="91"/>
        <v>-1</v>
      </c>
      <c r="K17" s="4">
        <f>VALUE(SUBSTITUTE(SUBSTITUTE(SUBSTITUTE(SUBSTITUTE(D17,"$",""),"€",""),"₽","")," ",""))*IF(ISNUMBER(FIND("$",D17)),Справочники!$H$3,IF(ISNUMBER(FIND("€",D17)),Справочники!$H$4,1))</f>
        <v>9025</v>
      </c>
      <c r="L17" t="str">
        <f>IFERROR(VLOOKUP(TRIM(G17),Справочники!$D$3:$E$13,2,0),"Нет в справочнике")</f>
        <v>Завершен</v>
      </c>
      <c r="M17" t="str">
        <f t="shared" si="92"/>
        <v/>
      </c>
      <c r="N17" t="str">
        <f>IFERROR(VLOOKUP(I17,Товары_очищенные!$H$2:$J$502,3,0),"Нет в каталоге")</f>
        <v>Мониторы</v>
      </c>
      <c r="O17" s="4">
        <f>IFERROR(VLOOKUP(I17,Товары_очищенные!$H$2:$M$502,6,0),"")</f>
        <v>54990</v>
      </c>
      <c r="P17" t="str">
        <f t="shared" si="93"/>
        <v xml:space="preserve">Цена отличается от каталога</v>
      </c>
    </row>
    <row r="18">
      <c r="A18" s="3" t="s">
        <v>1966</v>
      </c>
      <c r="B18" s="3" t="s">
        <v>1967</v>
      </c>
      <c r="C18" s="3" t="s">
        <v>1900</v>
      </c>
      <c r="D18" s="3" t="s">
        <v>1968</v>
      </c>
      <c r="E18" s="3" t="s">
        <v>1969</v>
      </c>
      <c r="F18" s="3" t="s">
        <v>1874</v>
      </c>
      <c r="G18" s="3" t="s">
        <v>1908</v>
      </c>
      <c r="H18" s="5">
        <f t="shared" si="89"/>
        <v>45680</v>
      </c>
      <c r="I18" t="str">
        <f t="shared" si="90"/>
        <v>АРТ-057</v>
      </c>
      <c r="J18" s="6">
        <f t="shared" si="91"/>
        <v>2</v>
      </c>
      <c r="K18" s="4">
        <f>VALUE(SUBSTITUTE(SUBSTITUTE(SUBSTITUTE(SUBSTITUTE(D18,"$",""),"€",""),"₽","")," ",""))*IF(ISNUMBER(FIND("$",D18)),Справочники!$H$3,IF(ISNUMBER(FIND("€",D18)),Справочники!$H$4,1))</f>
        <v>7500</v>
      </c>
      <c r="L18" t="str">
        <f>IFERROR(VLOOKUP(TRIM(G18),Справочники!$D$3:$E$13,2,0),"Нет в справочнике")</f>
        <v>Завершен</v>
      </c>
      <c r="M18" t="str">
        <f t="shared" si="92"/>
        <v/>
      </c>
      <c r="N18" t="str">
        <f>IFERROR(VLOOKUP(I18,Товары_очищенные!$H$2:$J$502,3,0),"Нет в каталоге")</f>
        <v>Аксессуары</v>
      </c>
      <c r="O18" s="4">
        <f>IFERROR(VLOOKUP(I18,Товары_очищенные!$H$2:$M$502,6,0),"")</f>
        <v>11200</v>
      </c>
      <c r="P18" t="str">
        <f t="shared" si="93"/>
        <v xml:space="preserve">Цена отличается от каталога</v>
      </c>
    </row>
    <row r="19">
      <c r="A19" s="3" t="s">
        <v>1966</v>
      </c>
      <c r="B19" s="3" t="s">
        <v>1970</v>
      </c>
      <c r="C19" s="3" t="s">
        <v>1905</v>
      </c>
      <c r="D19" s="3" t="s">
        <v>1971</v>
      </c>
      <c r="E19" s="3" t="s">
        <v>1972</v>
      </c>
      <c r="F19" s="3" t="s">
        <v>1601</v>
      </c>
      <c r="G19" s="3" t="s">
        <v>1927</v>
      </c>
      <c r="H19" s="5">
        <f t="shared" si="89"/>
        <v>45680</v>
      </c>
      <c r="I19" t="str">
        <f t="shared" si="90"/>
        <v>АРТ-394</v>
      </c>
      <c r="J19" s="6">
        <f t="shared" si="91"/>
        <v>1</v>
      </c>
      <c r="K19" s="4">
        <f>VALUE(SUBSTITUTE(SUBSTITUTE(SUBSTITUTE(SUBSTITUTE(D19,"$",""),"€",""),"₽","")," ",""))*IF(ISNUMBER(FIND("$",D19)),Справочники!$H$3,IF(ISNUMBER(FIND("€",D19)),Справочники!$H$4,1))</f>
        <v>7000</v>
      </c>
      <c r="L19" t="str">
        <f>IFERROR(VLOOKUP(TRIM(G19),Справочники!$D$3:$E$13,2,0),"Нет в справочнике")</f>
        <v>Возврат</v>
      </c>
      <c r="M19" t="str">
        <f t="shared" si="92"/>
        <v/>
      </c>
      <c r="N19" t="str">
        <f>IFERROR(VLOOKUP(I19,Товары_очищенные!$H$2:$J$502,3,0),"Нет в каталоге")</f>
        <v>Мониторы</v>
      </c>
      <c r="O19" s="4">
        <f>IFERROR(VLOOKUP(I19,Товары_очищенные!$H$2:$M$502,6,0),"")</f>
        <v>64990</v>
      </c>
      <c r="P19" t="str">
        <f t="shared" si="93"/>
        <v xml:space="preserve">Цена отличается от каталога</v>
      </c>
    </row>
    <row r="20">
      <c r="A20" s="3" t="s">
        <v>1973</v>
      </c>
      <c r="B20" s="3" t="s">
        <v>1974</v>
      </c>
      <c r="C20" s="3" t="s">
        <v>1930</v>
      </c>
      <c r="D20" s="3" t="s">
        <v>1975</v>
      </c>
      <c r="E20" s="3" t="s">
        <v>1976</v>
      </c>
      <c r="F20" s="3" t="s">
        <v>1721</v>
      </c>
      <c r="G20" s="3" t="s">
        <v>1913</v>
      </c>
      <c r="H20" s="5">
        <f t="shared" si="89"/>
        <v>45681</v>
      </c>
      <c r="I20" t="str">
        <f t="shared" si="90"/>
        <v>АРТ-278</v>
      </c>
      <c r="J20" s="6">
        <f t="shared" si="91"/>
        <v>3</v>
      </c>
      <c r="K20" s="4">
        <f>VALUE(SUBSTITUTE(SUBSTITUTE(SUBSTITUTE(SUBSTITUTE(D20,"$",""),"€",""),"₽","")," ",""))*IF(ISNUMBER(FIND("$",D20)),Справочники!$H$3,IF(ISNUMBER(FIND("€",D20)),Справочники!$H$4,1))</f>
        <v>13300</v>
      </c>
      <c r="L20" t="str">
        <f>IFERROR(VLOOKUP(TRIM(G20),Справочники!$D$3:$E$13,2,0),"Нет в справочнике")</f>
        <v>Завершен</v>
      </c>
      <c r="M20" t="str">
        <f t="shared" si="92"/>
        <v/>
      </c>
      <c r="N20" t="str">
        <f>IFERROR(VLOOKUP(I20,Товары_очищенные!$H$2:$J$502,3,0),"Нет в каталоге")</f>
        <v>Телевизоры</v>
      </c>
      <c r="O20" s="4">
        <f>IFERROR(VLOOKUP(I20,Товары_очищенные!$H$2:$M$502,6,0),"")</f>
        <v>112000</v>
      </c>
      <c r="P20" t="str">
        <f t="shared" si="93"/>
        <v xml:space="preserve">Цена отличается от каталога</v>
      </c>
    </row>
    <row r="21">
      <c r="A21" s="3" t="s">
        <v>1973</v>
      </c>
      <c r="B21" s="3" t="s">
        <v>1977</v>
      </c>
      <c r="C21" s="3" t="s">
        <v>1900</v>
      </c>
      <c r="D21" s="3" t="s">
        <v>1978</v>
      </c>
      <c r="E21" s="3" t="s">
        <v>1979</v>
      </c>
      <c r="F21" s="3" t="s">
        <v>1663</v>
      </c>
      <c r="G21" s="3" t="s">
        <v>1903</v>
      </c>
      <c r="H21" s="5">
        <f t="shared" si="89"/>
        <v>45681</v>
      </c>
      <c r="I21" t="str">
        <f t="shared" si="90"/>
        <v>АРТ-193</v>
      </c>
      <c r="J21" s="6">
        <f t="shared" si="91"/>
        <v>2</v>
      </c>
      <c r="K21" s="4">
        <f>VALUE(SUBSTITUTE(SUBSTITUTE(SUBSTITUTE(SUBSTITUTE(D21,"$",""),"€",""),"₽","")," ",""))*IF(ISNUMBER(FIND("$",D21)),Справочники!$H$3,IF(ISNUMBER(FIND("€",D21)),Справочники!$H$4,1))</f>
        <v>12000</v>
      </c>
      <c r="L21" t="str">
        <f>IFERROR(VLOOKUP(TRIM(G21),Справочники!$D$3:$E$13,2,0),"Нет в справочнике")</f>
        <v>Завершен</v>
      </c>
      <c r="M21" t="str">
        <f t="shared" si="92"/>
        <v/>
      </c>
      <c r="N21" t="str">
        <f>IFERROR(VLOOKUP(I21,Товары_очищенные!$H$2:$J$502,3,0),"Нет в каталоге")</f>
        <v>Ноутбуки</v>
      </c>
      <c r="O21" s="4">
        <f>IFERROR(VLOOKUP(I21,Товары_очищенные!$H$2:$M$502,6,0),"")</f>
        <v>129990</v>
      </c>
      <c r="P21" t="str">
        <f t="shared" si="93"/>
        <v xml:space="preserve">Цена отличается от каталога</v>
      </c>
    </row>
    <row r="22">
      <c r="A22" s="3" t="s">
        <v>1980</v>
      </c>
      <c r="B22" s="3" t="s">
        <v>1981</v>
      </c>
      <c r="C22" s="3" t="s">
        <v>1938</v>
      </c>
      <c r="D22" s="3" t="s">
        <v>1982</v>
      </c>
      <c r="E22" s="3" t="s">
        <v>1983</v>
      </c>
      <c r="F22" s="3" t="s">
        <v>1802</v>
      </c>
      <c r="G22" s="3" t="s">
        <v>1924</v>
      </c>
      <c r="H22" s="5">
        <f t="shared" si="89"/>
        <v>45682</v>
      </c>
      <c r="I22" t="str">
        <f t="shared" si="90"/>
        <v>АРТ-149</v>
      </c>
      <c r="J22" s="6">
        <f t="shared" si="91"/>
        <v>1</v>
      </c>
      <c r="K22" s="4">
        <f>VALUE(SUBSTITUTE(SUBSTITUTE(SUBSTITUTE(SUBSTITUTE(D22,"$",""),"€",""),"₽","")," ",""))*IF(ISNUMBER(FIND("$",D22)),Справочники!$H$3,IF(ISNUMBER(FIND("€",D22)),Справочники!$H$4,1))</f>
        <v>10000</v>
      </c>
      <c r="L22" t="str">
        <f>IFERROR(VLOOKUP(TRIM(G22),Справочники!$D$3:$E$13,2,0),"Нет в справочнике")</f>
        <v>Отменен</v>
      </c>
      <c r="M22" t="str">
        <f t="shared" si="92"/>
        <v/>
      </c>
      <c r="N22" t="str">
        <f>IFERROR(VLOOKUP(I22,Товары_очищенные!$H$2:$J$502,3,0),"Нет в каталоге")</f>
        <v>Ноутбуки</v>
      </c>
      <c r="O22" s="4">
        <f>IFERROR(VLOOKUP(I22,Товары_очищенные!$H$2:$M$502,6,0),"")</f>
        <v>137000</v>
      </c>
      <c r="P22" t="str">
        <f t="shared" si="93"/>
        <v xml:space="preserve">Цена отличается от каталога</v>
      </c>
    </row>
    <row r="23">
      <c r="A23" s="3" t="s">
        <v>1980</v>
      </c>
      <c r="B23" s="3" t="s">
        <v>1984</v>
      </c>
      <c r="C23" s="3" t="s">
        <v>1985</v>
      </c>
      <c r="D23" s="3" t="s">
        <v>1986</v>
      </c>
      <c r="E23" s="3" t="s">
        <v>1987</v>
      </c>
      <c r="F23" s="3" t="s">
        <v>1868</v>
      </c>
      <c r="G23" s="3" t="s">
        <v>1918</v>
      </c>
      <c r="H23" s="5">
        <f t="shared" si="89"/>
        <v>45682</v>
      </c>
      <c r="I23" t="str">
        <f t="shared" si="90"/>
        <v>АРТ-345</v>
      </c>
      <c r="J23" s="6">
        <f t="shared" si="91"/>
        <v>-3</v>
      </c>
      <c r="K23" s="4">
        <f>VALUE(SUBSTITUTE(SUBSTITUTE(SUBSTITUTE(SUBSTITUTE(D23,"$",""),"€",""),"₽","")," ",""))*IF(ISNUMBER(FIND("$",D23)),Справочники!$H$3,IF(ISNUMBER(FIND("€",D23)),Справочники!$H$4,1))</f>
        <v>8550</v>
      </c>
      <c r="L23" t="str">
        <f>IFERROR(VLOOKUP(TRIM(G23),Справочники!$D$3:$E$13,2,0),"Нет в справочнике")</f>
        <v>Отменен</v>
      </c>
      <c r="M23" t="str">
        <f t="shared" si="92"/>
        <v/>
      </c>
      <c r="N23" t="str">
        <f>IFERROR(VLOOKUP(I23,Товары_очищенные!$H$2:$J$502,3,0),"Нет в каталоге")</f>
        <v>Телевизоры</v>
      </c>
      <c r="O23" s="4">
        <f>IFERROR(VLOOKUP(I23,Товары_очищенные!$H$2:$M$502,6,0),"")</f>
        <v>87500</v>
      </c>
      <c r="P23" t="str">
        <f t="shared" si="93"/>
        <v xml:space="preserve">Цена отличается от каталога</v>
      </c>
    </row>
    <row r="24">
      <c r="A24" s="3" t="s">
        <v>1988</v>
      </c>
      <c r="B24" s="3" t="s">
        <v>405</v>
      </c>
      <c r="C24" s="3" t="s">
        <v>1900</v>
      </c>
      <c r="D24" s="3" t="s">
        <v>1989</v>
      </c>
      <c r="E24" s="3" t="s">
        <v>1990</v>
      </c>
      <c r="F24" s="3" t="s">
        <v>1587</v>
      </c>
      <c r="G24" s="3" t="s">
        <v>1927</v>
      </c>
      <c r="H24" s="5">
        <f t="shared" si="89"/>
        <v>45683</v>
      </c>
      <c r="I24" t="str">
        <f t="shared" si="90"/>
        <v>АРТ-086</v>
      </c>
      <c r="J24" s="6">
        <f t="shared" si="91"/>
        <v>2</v>
      </c>
      <c r="K24" s="4">
        <f>VALUE(SUBSTITUTE(SUBSTITUTE(SUBSTITUTE(SUBSTITUTE(D24,"$",""),"€",""),"₽","")," ",""))*IF(ISNUMBER(FIND("$",D24)),Справочники!$H$3,IF(ISNUMBER(FIND("€",D24)),Справочники!$H$4,1))</f>
        <v>7000</v>
      </c>
      <c r="L24" t="str">
        <f>IFERROR(VLOOKUP(TRIM(G24),Справочники!$D$3:$E$13,2,0),"Нет в справочнике")</f>
        <v>Возврат</v>
      </c>
      <c r="M24" t="str">
        <f t="shared" si="92"/>
        <v/>
      </c>
      <c r="N24" t="str">
        <f>IFERROR(VLOOKUP(I24,Товары_очищенные!$H$2:$J$502,3,0),"Нет в каталоге")</f>
        <v>Ноутбуки</v>
      </c>
      <c r="O24" s="4">
        <f>IFERROR(VLOOKUP(I24,Товары_очищенные!$H$2:$M$502,6,0),"")</f>
        <v>107500</v>
      </c>
      <c r="P24" t="str">
        <f t="shared" si="93"/>
        <v xml:space="preserve">Цена отличается от каталога</v>
      </c>
    </row>
    <row r="25">
      <c r="A25" s="3" t="s">
        <v>1988</v>
      </c>
      <c r="B25" s="3" t="s">
        <v>1991</v>
      </c>
      <c r="C25" s="3" t="s">
        <v>1905</v>
      </c>
      <c r="D25" s="3" t="s">
        <v>1992</v>
      </c>
      <c r="E25" s="3" t="s">
        <v>1993</v>
      </c>
      <c r="F25" s="3" t="s">
        <v>1734</v>
      </c>
      <c r="G25" s="3" t="s">
        <v>1903</v>
      </c>
      <c r="H25" s="5">
        <f t="shared" si="89"/>
        <v>45683</v>
      </c>
      <c r="I25" t="str">
        <f t="shared" si="90"/>
        <v>АРТ-223</v>
      </c>
      <c r="J25" s="6">
        <f t="shared" si="91"/>
        <v>1</v>
      </c>
      <c r="K25" s="4">
        <f>VALUE(SUBSTITUTE(SUBSTITUTE(SUBSTITUTE(SUBSTITUTE(D25,"$",""),"€",""),"₽","")," ",""))*IF(ISNUMBER(FIND("$",D25)),Справочники!$H$3,IF(ISNUMBER(FIND("€",D25)),Справочники!$H$4,1))</f>
        <v>5500</v>
      </c>
      <c r="L25" t="str">
        <f>IFERROR(VLOOKUP(TRIM(G25),Справочники!$D$3:$E$13,2,0),"Нет в справочнике")</f>
        <v>Завершен</v>
      </c>
      <c r="M25" t="str">
        <f t="shared" si="92"/>
        <v/>
      </c>
      <c r="N25" t="str">
        <f>IFERROR(VLOOKUP(I25,Товары_очищенные!$H$2:$J$502,3,0),"Нет в каталоге")</f>
        <v>Мониторы</v>
      </c>
      <c r="O25" s="4">
        <f>IFERROR(VLOOKUP(I25,Товары_очищенные!$H$2:$M$502,6,0),"")</f>
        <v>54990</v>
      </c>
      <c r="P25" t="str">
        <f t="shared" si="93"/>
        <v xml:space="preserve">Цена отличается от каталога</v>
      </c>
    </row>
    <row r="26">
      <c r="A26" s="3" t="s">
        <v>1994</v>
      </c>
      <c r="B26" s="3" t="s">
        <v>111</v>
      </c>
      <c r="C26" s="3" t="s">
        <v>1900</v>
      </c>
      <c r="D26" s="3" t="s">
        <v>1995</v>
      </c>
      <c r="E26" s="3" t="s">
        <v>1996</v>
      </c>
      <c r="F26" s="3" t="s">
        <v>1649</v>
      </c>
      <c r="G26" s="3" t="s">
        <v>1908</v>
      </c>
      <c r="H26" s="5">
        <f t="shared" si="89"/>
        <v>45684</v>
      </c>
      <c r="I26" t="str">
        <f t="shared" si="90"/>
        <v>АРТ-019</v>
      </c>
      <c r="J26" s="6">
        <f t="shared" si="91"/>
        <v>2</v>
      </c>
      <c r="K26" s="4">
        <f>VALUE(SUBSTITUTE(SUBSTITUTE(SUBSTITUTE(SUBSTITUTE(D26,"$",""),"€",""),"₽","")," ",""))*IF(ISNUMBER(FIND("$",D26)),Справочники!$H$3,IF(ISNUMBER(FIND("€",D26)),Справочники!$H$4,1))</f>
        <v>11875</v>
      </c>
      <c r="L26" t="str">
        <f>IFERROR(VLOOKUP(TRIM(G26),Справочники!$D$3:$E$13,2,0),"Нет в справочнике")</f>
        <v>Завершен</v>
      </c>
      <c r="M26" t="str">
        <f t="shared" si="92"/>
        <v/>
      </c>
      <c r="N26" t="str">
        <f>IFERROR(VLOOKUP(I26,Товары_очищенные!$H$2:$J$502,3,0),"Нет в каталоге")</f>
        <v>Ноутбуки</v>
      </c>
      <c r="O26" s="4">
        <f>IFERROR(VLOOKUP(I26,Товары_очищенные!$H$2:$M$502,6,0),"")</f>
        <v>135000</v>
      </c>
      <c r="P26" t="str">
        <f t="shared" si="93"/>
        <v xml:space="preserve">Цена отличается от каталога</v>
      </c>
    </row>
    <row r="27">
      <c r="A27" s="3" t="s">
        <v>1994</v>
      </c>
      <c r="B27" s="3" t="s">
        <v>1997</v>
      </c>
      <c r="C27" s="3" t="s">
        <v>1930</v>
      </c>
      <c r="D27" s="3" t="s">
        <v>1998</v>
      </c>
      <c r="E27" s="3" t="s">
        <v>1999</v>
      </c>
      <c r="F27" s="3" t="s">
        <v>1784</v>
      </c>
      <c r="G27" s="3" t="s">
        <v>1913</v>
      </c>
      <c r="H27" s="5">
        <f t="shared" si="89"/>
        <v>45684</v>
      </c>
      <c r="I27" t="str">
        <f t="shared" si="90"/>
        <v>АРТ-501</v>
      </c>
      <c r="J27" s="6">
        <f t="shared" si="91"/>
        <v>3</v>
      </c>
      <c r="K27" s="4">
        <f>VALUE(SUBSTITUTE(SUBSTITUTE(SUBSTITUTE(SUBSTITUTE(D27,"$",""),"€",""),"₽","")," ",""))*IF(ISNUMBER(FIND("$",D27)),Справочники!$H$3,IF(ISNUMBER(FIND("€",D27)),Справочники!$H$4,1))</f>
        <v>10500</v>
      </c>
      <c r="L27" t="str">
        <f>IFERROR(VLOOKUP(TRIM(G27),Справочники!$D$3:$E$13,2,0),"Нет в справочнике")</f>
        <v>Завершен</v>
      </c>
      <c r="M27" t="str">
        <f t="shared" si="92"/>
        <v/>
      </c>
      <c r="N27" t="str">
        <f>IFERROR(VLOOKUP(I27,Товары_очищенные!$H$2:$J$502,3,0),"Нет в каталоге")</f>
        <v>Аксессуары</v>
      </c>
      <c r="O27" s="4">
        <f>IFERROR(VLOOKUP(I27,Товары_очищенные!$H$2:$M$502,6,0),"")</f>
        <v>6800</v>
      </c>
      <c r="P27" t="str">
        <f t="shared" si="93"/>
        <v xml:space="preserve">Цена отличается от каталога</v>
      </c>
    </row>
    <row r="28">
      <c r="A28" s="3" t="s">
        <v>2000</v>
      </c>
      <c r="B28" s="3" t="s">
        <v>2001</v>
      </c>
      <c r="C28" s="3" t="s">
        <v>1938</v>
      </c>
      <c r="D28" s="3" t="s">
        <v>2002</v>
      </c>
      <c r="E28" s="3" t="s">
        <v>2003</v>
      </c>
      <c r="F28" s="3" t="s">
        <v>1844</v>
      </c>
      <c r="G28" s="3" t="s">
        <v>1918</v>
      </c>
      <c r="H28" s="5">
        <f t="shared" si="89"/>
        <v>45685</v>
      </c>
      <c r="I28" t="str">
        <f t="shared" si="90"/>
        <v>АРТ-067</v>
      </c>
      <c r="J28" s="6">
        <f t="shared" si="91"/>
        <v>1</v>
      </c>
      <c r="K28" s="4">
        <f>VALUE(SUBSTITUTE(SUBSTITUTE(SUBSTITUTE(SUBSTITUTE(D28,"$",""),"€",""),"₽","")," ",""))*IF(ISNUMBER(FIND("$",D28)),Справочники!$H$3,IF(ISNUMBER(FIND("€",D28)),Справочники!$H$4,1))</f>
        <v>9000</v>
      </c>
      <c r="L28" t="str">
        <f>IFERROR(VLOOKUP(TRIM(G28),Справочники!$D$3:$E$13,2,0),"Нет в справочнике")</f>
        <v>Отменен</v>
      </c>
      <c r="M28" t="str">
        <f t="shared" si="92"/>
        <v/>
      </c>
      <c r="N28" t="str">
        <f>IFERROR(VLOOKUP(I28,Товары_очищенные!$H$2:$J$502,3,0),"Нет в каталоге")</f>
        <v>Телевизоры</v>
      </c>
      <c r="O28" s="4">
        <f>IFERROR(VLOOKUP(I28,Товары_очищенные!$H$2:$M$502,6,0),"")</f>
        <v>109999</v>
      </c>
      <c r="P28" t="str">
        <f t="shared" si="93"/>
        <v xml:space="preserve">Цена отличается от каталога</v>
      </c>
    </row>
    <row r="29">
      <c r="A29" s="3" t="s">
        <v>2000</v>
      </c>
      <c r="B29" s="3" t="s">
        <v>918</v>
      </c>
      <c r="C29" s="3" t="s">
        <v>1942</v>
      </c>
      <c r="D29" s="3" t="s">
        <v>2004</v>
      </c>
      <c r="E29" s="3" t="s">
        <v>2005</v>
      </c>
      <c r="F29" s="3" t="s">
        <v>1566</v>
      </c>
      <c r="G29" s="3" t="s">
        <v>1924</v>
      </c>
      <c r="H29" s="5">
        <f t="shared" si="89"/>
        <v>45685</v>
      </c>
      <c r="I29" t="str">
        <f t="shared" si="90"/>
        <v>АРТ-238</v>
      </c>
      <c r="J29" s="6">
        <f t="shared" si="91"/>
        <v>-2</v>
      </c>
      <c r="K29" s="4">
        <f>VALUE(SUBSTITUTE(SUBSTITUTE(SUBSTITUTE(SUBSTITUTE(D29,"$",""),"€",""),"₽","")," ",""))*IF(ISNUMBER(FIND("$",D29)),Справочники!$H$3,IF(ISNUMBER(FIND("€",D29)),Справочники!$H$4,1))</f>
        <v>8075</v>
      </c>
      <c r="L29" t="str">
        <f>IFERROR(VLOOKUP(TRIM(G29),Справочники!$D$3:$E$13,2,0),"Нет в справочнике")</f>
        <v>Отменен</v>
      </c>
      <c r="M29" t="str">
        <f t="shared" si="92"/>
        <v/>
      </c>
      <c r="N29" t="str">
        <f>IFERROR(VLOOKUP(I29,Товары_очищенные!$H$2:$J$502,3,0),"Нет в каталоге")</f>
        <v>Телевизоры</v>
      </c>
      <c r="O29" s="4">
        <f>IFERROR(VLOOKUP(I29,Товары_очищенные!$H$2:$M$502,6,0),"")</f>
        <v>110990</v>
      </c>
      <c r="P29" t="str">
        <f t="shared" si="93"/>
        <v xml:space="preserve">Цена отличается от каталога</v>
      </c>
    </row>
    <row r="30">
      <c r="A30" s="3" t="s">
        <v>2006</v>
      </c>
      <c r="B30" s="3" t="s">
        <v>2007</v>
      </c>
      <c r="C30" s="3" t="s">
        <v>1905</v>
      </c>
      <c r="D30" s="3" t="s">
        <v>2008</v>
      </c>
      <c r="E30" s="3" t="s">
        <v>2009</v>
      </c>
      <c r="F30" s="3" t="s">
        <v>1701</v>
      </c>
      <c r="G30" s="3" t="s">
        <v>1903</v>
      </c>
      <c r="H30" s="5">
        <f t="shared" si="89"/>
        <v>45686</v>
      </c>
      <c r="I30" t="str">
        <f t="shared" si="90"/>
        <v>АРТ-321</v>
      </c>
      <c r="J30" s="6">
        <f t="shared" si="91"/>
        <v>1</v>
      </c>
      <c r="K30" s="4">
        <f>VALUE(SUBSTITUTE(SUBSTITUTE(SUBSTITUTE(SUBSTITUTE(D30,"$",""),"€",""),"₽","")," ",""))*IF(ISNUMBER(FIND("$",D30)),Справочники!$H$3,IF(ISNUMBER(FIND("€",D30)),Справочники!$H$4,1))</f>
        <v>6500</v>
      </c>
      <c r="L30" t="str">
        <f>IFERROR(VLOOKUP(TRIM(G30),Справочники!$D$3:$E$13,2,0),"Нет в справочнике")</f>
        <v>Завершен</v>
      </c>
      <c r="M30" t="str">
        <f t="shared" si="92"/>
        <v/>
      </c>
      <c r="N30" t="str">
        <f>IFERROR(VLOOKUP(I30,Товары_очищенные!$H$2:$J$502,3,0),"Нет в каталоге")</f>
        <v>Телевизоры</v>
      </c>
      <c r="O30" s="4">
        <f>IFERROR(VLOOKUP(I30,Товары_очищенные!$H$2:$M$502,6,0),"")</f>
        <v>188000</v>
      </c>
      <c r="P30" t="str">
        <f t="shared" si="93"/>
        <v xml:space="preserve">Цена отличается от каталога</v>
      </c>
    </row>
    <row r="31">
      <c r="A31" s="3" t="s">
        <v>2006</v>
      </c>
      <c r="B31" s="3" t="s">
        <v>2010</v>
      </c>
      <c r="C31" s="3" t="s">
        <v>1930</v>
      </c>
      <c r="D31" s="3" t="s">
        <v>2011</v>
      </c>
      <c r="E31" s="3" t="s">
        <v>2012</v>
      </c>
      <c r="F31" s="3" t="s">
        <v>1814</v>
      </c>
      <c r="G31" s="3" t="s">
        <v>1927</v>
      </c>
      <c r="H31" s="5">
        <f t="shared" si="89"/>
        <v>45686</v>
      </c>
      <c r="I31" t="str">
        <f t="shared" si="90"/>
        <v>АРТ-176</v>
      </c>
      <c r="J31" s="6">
        <f t="shared" si="91"/>
        <v>3</v>
      </c>
      <c r="K31" s="4">
        <f>VALUE(SUBSTITUTE(SUBSTITUTE(SUBSTITUTE(SUBSTITUTE(D31,"$",""),"€",""),"₽","")," ",""))*IF(ISNUMBER(FIND("$",D31)),Справочники!$H$3,IF(ISNUMBER(FIND("€",D31)),Справочники!$H$4,1))</f>
        <v>6000</v>
      </c>
      <c r="L31" t="str">
        <f>IFERROR(VLOOKUP(TRIM(G31),Справочники!$D$3:$E$13,2,0),"Нет в справочнике")</f>
        <v>Возврат</v>
      </c>
      <c r="M31" t="str">
        <f t="shared" si="92"/>
        <v/>
      </c>
      <c r="N31" t="str">
        <f>IFERROR(VLOOKUP(I31,Товары_очищенные!$H$2:$J$502,3,0),"Нет в каталоге")</f>
        <v>Телевизоры</v>
      </c>
      <c r="O31" s="4">
        <f>IFERROR(VLOOKUP(I31,Товары_очищенные!$H$2:$M$502,6,0),"")</f>
        <v>97000</v>
      </c>
      <c r="P31" t="str">
        <f t="shared" si="93"/>
        <v xml:space="preserve">Цена отличается от каталога</v>
      </c>
    </row>
    <row r="32">
      <c r="A32" s="3" t="s">
        <v>2013</v>
      </c>
      <c r="B32" s="3" t="s">
        <v>2014</v>
      </c>
      <c r="C32" s="3" t="s">
        <v>1900</v>
      </c>
      <c r="D32" s="3" t="s">
        <v>1901</v>
      </c>
      <c r="E32" s="3" t="s">
        <v>2015</v>
      </c>
      <c r="F32" s="3" t="s">
        <v>1880</v>
      </c>
      <c r="G32" s="3" t="s">
        <v>1913</v>
      </c>
      <c r="H32" s="5">
        <f t="shared" si="89"/>
        <v>45687</v>
      </c>
      <c r="I32" t="str">
        <f t="shared" si="90"/>
        <v>АРТ-009</v>
      </c>
      <c r="J32" s="6">
        <f t="shared" si="91"/>
        <v>2</v>
      </c>
      <c r="K32" s="4">
        <f>VALUE(SUBSTITUTE(SUBSTITUTE(SUBSTITUTE(SUBSTITUTE(D32,"$",""),"€",""),"₽","")," ",""))*IF(ISNUMBER(FIND("$",D32)),Справочники!$H$3,IF(ISNUMBER(FIND("€",D32)),Справочники!$H$4,1))</f>
        <v>9500</v>
      </c>
      <c r="L32" t="str">
        <f>IFERROR(VLOOKUP(TRIM(G32),Справочники!$D$3:$E$13,2,0),"Нет в справочнике")</f>
        <v>Завершен</v>
      </c>
      <c r="M32" t="str">
        <f t="shared" si="92"/>
        <v/>
      </c>
      <c r="N32" t="str">
        <f>IFERROR(VLOOKUP(I32,Товары_очищенные!$H$2:$J$502,3,0),"Нет в каталоге")</f>
        <v>Смартфоны</v>
      </c>
      <c r="O32" s="4">
        <f>IFERROR(VLOOKUP(I32,Товары_очищенные!$H$2:$M$502,6,0),"")</f>
        <v>70500</v>
      </c>
      <c r="P32" t="str">
        <f t="shared" si="93"/>
        <v xml:space="preserve">Цена отличается от каталога</v>
      </c>
    </row>
    <row r="33">
      <c r="A33" s="3" t="s">
        <v>2013</v>
      </c>
      <c r="B33" s="3" t="s">
        <v>2016</v>
      </c>
      <c r="C33" s="3" t="s">
        <v>1905</v>
      </c>
      <c r="D33" s="3" t="s">
        <v>1948</v>
      </c>
      <c r="E33" s="3" t="s">
        <v>2017</v>
      </c>
      <c r="F33" s="3" t="s">
        <v>1636</v>
      </c>
      <c r="G33" s="3" t="s">
        <v>1908</v>
      </c>
      <c r="H33" s="5">
        <f t="shared" si="89"/>
        <v>45687</v>
      </c>
      <c r="I33" t="str">
        <f t="shared" si="90"/>
        <v>АРТ-444</v>
      </c>
      <c r="J33" s="6">
        <f t="shared" si="91"/>
        <v>1</v>
      </c>
      <c r="K33" s="4">
        <f>VALUE(SUBSTITUTE(SUBSTITUTE(SUBSTITUTE(SUBSTITUTE(D33,"$",""),"€",""),"₽","")," ",""))*IF(ISNUMBER(FIND("$",D33)),Справочники!$H$3,IF(ISNUMBER(FIND("€",D33)),Справочники!$H$4,1))</f>
        <v>8000</v>
      </c>
      <c r="L33" t="str">
        <f>IFERROR(VLOOKUP(TRIM(G33),Справочники!$D$3:$E$13,2,0),"Нет в справочнике")</f>
        <v>Завершен</v>
      </c>
      <c r="M33" t="str">
        <f t="shared" si="92"/>
        <v/>
      </c>
      <c r="N33" t="str">
        <f>IFERROR(VLOOKUP(I33,Товары_очищенные!$H$2:$J$502,3,0),"Нет в каталоге")</f>
        <v>Смартфоны</v>
      </c>
      <c r="O33" s="4">
        <f>IFERROR(VLOOKUP(I33,Товары_очищенные!$H$2:$M$502,6,0),"")</f>
        <v>26500</v>
      </c>
      <c r="P33" t="str">
        <f t="shared" si="93"/>
        <v xml:space="preserve">Цена отличается от каталога</v>
      </c>
    </row>
    <row r="34">
      <c r="A34" s="3" t="s">
        <v>2018</v>
      </c>
      <c r="B34" s="3" t="s">
        <v>2019</v>
      </c>
      <c r="C34" s="3" t="s">
        <v>2020</v>
      </c>
      <c r="D34" s="3" t="s">
        <v>1911</v>
      </c>
      <c r="E34" s="3" t="s">
        <v>2021</v>
      </c>
      <c r="F34" s="3" t="s">
        <v>1740</v>
      </c>
      <c r="G34" s="3" t="s">
        <v>1903</v>
      </c>
      <c r="H34" s="5">
        <f t="shared" si="89"/>
        <v>45688</v>
      </c>
      <c r="I34" t="str">
        <f t="shared" si="90"/>
        <v>АРТ-352</v>
      </c>
      <c r="J34" s="6">
        <f t="shared" si="91"/>
        <v>2</v>
      </c>
      <c r="K34" s="4">
        <f>VALUE(SUBSTITUTE(SUBSTITUTE(SUBSTITUTE(SUBSTITUTE(D34,"$",""),"€",""),"₽","")," ",""))*IF(ISNUMBER(FIND("$",D34)),Справочники!$H$3,IF(ISNUMBER(FIND("€",D34)),Справочники!$H$4,1))</f>
        <v>7500</v>
      </c>
      <c r="L34" t="str">
        <f>IFERROR(VLOOKUP(TRIM(G34),Справочники!$D$3:$E$13,2,0),"Нет в справочнике")</f>
        <v>Завершен</v>
      </c>
      <c r="M34" t="str">
        <f t="shared" si="92"/>
        <v/>
      </c>
      <c r="N34" t="str">
        <f>IFERROR(VLOOKUP(I34,Товары_очищенные!$H$2:$J$502,3,0),"Нет в каталоге")</f>
        <v>Аксессуары</v>
      </c>
      <c r="O34" s="4">
        <f>IFERROR(VLOOKUP(I34,Товары_очищенные!$H$2:$M$502,6,0),"")</f>
        <v>6990</v>
      </c>
      <c r="P34" t="str">
        <f t="shared" si="93"/>
        <v>ОК</v>
      </c>
    </row>
    <row r="35">
      <c r="A35" s="3" t="s">
        <v>2018</v>
      </c>
      <c r="B35" s="3" t="s">
        <v>1048</v>
      </c>
      <c r="C35" s="3" t="s">
        <v>1915</v>
      </c>
      <c r="D35" s="3" t="s">
        <v>1916</v>
      </c>
      <c r="E35" s="3" t="s">
        <v>2022</v>
      </c>
      <c r="F35" s="3" t="s">
        <v>1682</v>
      </c>
      <c r="G35" s="3" t="s">
        <v>1924</v>
      </c>
      <c r="H35" s="5">
        <f t="shared" si="89"/>
        <v>45688</v>
      </c>
      <c r="I35" t="str">
        <f t="shared" si="90"/>
        <v>АРТ-283</v>
      </c>
      <c r="J35" s="6">
        <f t="shared" si="91"/>
        <v>-1</v>
      </c>
      <c r="K35" s="4">
        <f>VALUE(SUBSTITUTE(SUBSTITUTE(SUBSTITUTE(SUBSTITUTE(D35,"$",""),"€",""),"₽","")," ",""))*IF(ISNUMBER(FIND("$",D35)),Справочники!$H$3,IF(ISNUMBER(FIND("€",D35)),Справочники!$H$4,1))</f>
        <v>10450</v>
      </c>
      <c r="L35" t="str">
        <f>IFERROR(VLOOKUP(TRIM(G35),Справочники!$D$3:$E$13,2,0),"Нет в справочнике")</f>
        <v>Отменен</v>
      </c>
      <c r="M35" t="str">
        <f t="shared" si="92"/>
        <v/>
      </c>
      <c r="N35" t="str">
        <f>IFERROR(VLOOKUP(I35,Товары_очищенные!$H$2:$J$502,3,0),"Нет в каталоге")</f>
        <v>Мониторы</v>
      </c>
      <c r="O35" s="4">
        <f>IFERROR(VLOOKUP(I35,Товары_очищенные!$H$2:$M$502,6,0),"")</f>
        <v>84990</v>
      </c>
      <c r="P35" t="str">
        <f t="shared" si="93"/>
        <v xml:space="preserve">Цена отличается от каталога</v>
      </c>
    </row>
    <row r="36">
      <c r="A36" s="3" t="s">
        <v>2023</v>
      </c>
      <c r="B36" s="3" t="s">
        <v>2024</v>
      </c>
      <c r="C36" s="3" t="s">
        <v>1930</v>
      </c>
      <c r="D36" s="3" t="s">
        <v>1922</v>
      </c>
      <c r="E36" s="3" t="s">
        <v>2025</v>
      </c>
      <c r="F36" s="3" t="s">
        <v>1820</v>
      </c>
      <c r="G36" s="3" t="s">
        <v>1918</v>
      </c>
      <c r="H36" s="5">
        <f t="shared" si="89"/>
        <v>45689</v>
      </c>
      <c r="I36" t="str">
        <f t="shared" si="90"/>
        <v>АРТ-159</v>
      </c>
      <c r="J36" s="6">
        <f t="shared" si="91"/>
        <v>3</v>
      </c>
      <c r="K36" s="4">
        <f>VALUE(SUBSTITUTE(SUBSTITUTE(SUBSTITUTE(SUBSTITUTE(D36,"$",""),"€",""),"₽","")," ",""))*IF(ISNUMBER(FIND("$",D36)),Справочники!$H$3,IF(ISNUMBER(FIND("€",D36)),Справочники!$H$4,1))</f>
        <v>9000</v>
      </c>
      <c r="L36" t="str">
        <f>IFERROR(VLOOKUP(TRIM(G36),Справочники!$D$3:$E$13,2,0),"Нет в справочнике")</f>
        <v>Отменен</v>
      </c>
      <c r="M36" t="str">
        <f t="shared" si="92"/>
        <v/>
      </c>
      <c r="N36" t="str">
        <f>IFERROR(VLOOKUP(I36,Товары_очищенные!$H$2:$J$502,3,0),"Нет в каталоге")</f>
        <v>Мониторы</v>
      </c>
      <c r="O36" s="4">
        <f>IFERROR(VLOOKUP(I36,Товары_очищенные!$H$2:$M$502,6,0),"")</f>
        <v>95500</v>
      </c>
      <c r="P36" t="str">
        <f t="shared" si="93"/>
        <v xml:space="preserve">Цена отличается от каталога</v>
      </c>
    </row>
    <row r="37">
      <c r="A37" s="3" t="s">
        <v>2023</v>
      </c>
      <c r="B37" s="3" t="s">
        <v>372</v>
      </c>
      <c r="C37" s="3" t="s">
        <v>1900</v>
      </c>
      <c r="D37" s="3" t="s">
        <v>1951</v>
      </c>
      <c r="E37" s="3" t="s">
        <v>2026</v>
      </c>
      <c r="F37" s="3" t="s">
        <v>1580</v>
      </c>
      <c r="G37" s="3" t="s">
        <v>1927</v>
      </c>
      <c r="H37" s="5">
        <f t="shared" si="89"/>
        <v>45689</v>
      </c>
      <c r="I37" t="str">
        <f t="shared" si="90"/>
        <v>АРТ-078</v>
      </c>
      <c r="J37" s="6">
        <f t="shared" si="91"/>
        <v>2</v>
      </c>
      <c r="K37" s="4">
        <f>VALUE(SUBSTITUTE(SUBSTITUTE(SUBSTITUTE(SUBSTITUTE(D37,"$",""),"€",""),"₽","")," ",""))*IF(ISNUMBER(FIND("$",D37)),Справочники!$H$3,IF(ISNUMBER(FIND("€",D37)),Справочники!$H$4,1))</f>
        <v>8500</v>
      </c>
      <c r="L37" t="str">
        <f>IFERROR(VLOOKUP(TRIM(G37),Справочники!$D$3:$E$13,2,0),"Нет в справочнике")</f>
        <v>Возврат</v>
      </c>
      <c r="M37" t="str">
        <f t="shared" si="92"/>
        <v/>
      </c>
      <c r="N37" t="str">
        <f>IFERROR(VLOOKUP(I37,Товары_очищенные!$H$2:$J$502,3,0),"Нет в каталоге")</f>
        <v>Аксессуары</v>
      </c>
      <c r="O37" s="4">
        <f>IFERROR(VLOOKUP(I37,Товары_очищенные!$H$2:$M$502,6,0),"")</f>
        <v>13500</v>
      </c>
      <c r="P37" t="str">
        <f t="shared" si="93"/>
        <v xml:space="preserve">Цена отличается от каталога</v>
      </c>
    </row>
    <row r="38">
      <c r="A38" s="3" t="s">
        <v>2027</v>
      </c>
      <c r="B38" s="3" t="s">
        <v>2028</v>
      </c>
      <c r="C38" s="3" t="s">
        <v>1905</v>
      </c>
      <c r="D38" s="3" t="s">
        <v>1964</v>
      </c>
      <c r="E38" s="3" t="s">
        <v>2029</v>
      </c>
      <c r="F38" s="3" t="s">
        <v>1727</v>
      </c>
      <c r="G38" s="3" t="s">
        <v>1903</v>
      </c>
      <c r="H38" s="5">
        <f t="shared" si="89"/>
        <v>45690</v>
      </c>
      <c r="I38" t="str">
        <f t="shared" si="90"/>
        <v>АРТ-401</v>
      </c>
      <c r="J38" s="6">
        <f t="shared" si="91"/>
        <v>1</v>
      </c>
      <c r="K38" s="4">
        <f>VALUE(SUBSTITUTE(SUBSTITUTE(SUBSTITUTE(SUBSTITUTE(D38,"$",""),"€",""),"₽","")," ",""))*IF(ISNUMBER(FIND("$",D38)),Справочники!$H$3,IF(ISNUMBER(FIND("€",D38)),Справочники!$H$4,1))</f>
        <v>9025</v>
      </c>
      <c r="L38" t="str">
        <f>IFERROR(VLOOKUP(TRIM(G38),Справочники!$D$3:$E$13,2,0),"Нет в справочнике")</f>
        <v>Завершен</v>
      </c>
      <c r="M38" t="str">
        <f t="shared" si="92"/>
        <v/>
      </c>
      <c r="N38" t="str">
        <f>IFERROR(VLOOKUP(I38,Товары_очищенные!$H$2:$J$502,3,0),"Нет в каталоге")</f>
        <v>Смартфоны</v>
      </c>
      <c r="O38" s="4">
        <f>IFERROR(VLOOKUP(I38,Товары_очищенные!$H$2:$M$502,6,0),"")</f>
        <v>19000</v>
      </c>
      <c r="P38" t="str">
        <f t="shared" si="93"/>
        <v xml:space="preserve">Цена отличается от каталога</v>
      </c>
    </row>
    <row r="39">
      <c r="A39" s="3" t="s">
        <v>2027</v>
      </c>
      <c r="B39" s="3" t="s">
        <v>2030</v>
      </c>
      <c r="C39" s="3" t="s">
        <v>2031</v>
      </c>
      <c r="D39" s="3" t="s">
        <v>1968</v>
      </c>
      <c r="E39" s="3" t="s">
        <v>2032</v>
      </c>
      <c r="F39" s="3" t="s">
        <v>1629</v>
      </c>
      <c r="G39" s="3" t="s">
        <v>1908</v>
      </c>
      <c r="H39" s="5">
        <f t="shared" si="89"/>
        <v>45690</v>
      </c>
      <c r="I39" t="str">
        <f t="shared" si="90"/>
        <v>АРТ-234</v>
      </c>
      <c r="J39" s="6">
        <f t="shared" si="91"/>
        <v>4</v>
      </c>
      <c r="K39" s="4">
        <f>VALUE(SUBSTITUTE(SUBSTITUTE(SUBSTITUTE(SUBSTITUTE(D39,"$",""),"€",""),"₽","")," ",""))*IF(ISNUMBER(FIND("$",D39)),Справочники!$H$3,IF(ISNUMBER(FIND("€",D39)),Справочники!$H$4,1))</f>
        <v>7500</v>
      </c>
      <c r="L39" t="str">
        <f>IFERROR(VLOOKUP(TRIM(G39),Справочники!$D$3:$E$13,2,0),"Нет в справочнике")</f>
        <v>Завершен</v>
      </c>
      <c r="M39" t="str">
        <f t="shared" si="92"/>
        <v/>
      </c>
      <c r="N39" t="str">
        <f>IFERROR(VLOOKUP(I39,Товары_очищенные!$H$2:$J$502,3,0),"Нет в каталоге")</f>
        <v>Смартфоны</v>
      </c>
      <c r="O39" s="4">
        <f>IFERROR(VLOOKUP(I39,Товары_очищенные!$H$2:$M$502,6,0),"")</f>
        <v>44500</v>
      </c>
      <c r="P39" t="str">
        <f t="shared" si="93"/>
        <v xml:space="preserve">Цена отличается от каталога</v>
      </c>
    </row>
    <row r="40">
      <c r="A40" s="3" t="s">
        <v>2033</v>
      </c>
      <c r="B40" s="3" t="s">
        <v>791</v>
      </c>
      <c r="C40" s="3" t="s">
        <v>2020</v>
      </c>
      <c r="D40" s="3" t="s">
        <v>1971</v>
      </c>
      <c r="E40" s="3" t="s">
        <v>2034</v>
      </c>
      <c r="F40" s="3" t="s">
        <v>1778</v>
      </c>
      <c r="G40" s="3" t="s">
        <v>1913</v>
      </c>
      <c r="H40" s="5">
        <f t="shared" si="89"/>
        <v>45691</v>
      </c>
      <c r="I40" t="str">
        <f t="shared" si="90"/>
        <v>АРТ-195</v>
      </c>
      <c r="J40" s="6">
        <f t="shared" si="91"/>
        <v>2</v>
      </c>
      <c r="K40" s="4">
        <f>VALUE(SUBSTITUTE(SUBSTITUTE(SUBSTITUTE(SUBSTITUTE(D40,"$",""),"€",""),"₽","")," ",""))*IF(ISNUMBER(FIND("$",D40)),Справочники!$H$3,IF(ISNUMBER(FIND("€",D40)),Справочники!$H$4,1))</f>
        <v>7000</v>
      </c>
      <c r="L40" t="str">
        <f>IFERROR(VLOOKUP(TRIM(G40),Справочники!$D$3:$E$13,2,0),"Нет в справочнике")</f>
        <v>Завершен</v>
      </c>
      <c r="M40" t="str">
        <f t="shared" si="92"/>
        <v/>
      </c>
      <c r="N40" t="str">
        <f>IFERROR(VLOOKUP(I40,Товары_очищенные!$H$2:$J$502,3,0),"Нет в каталоге")</f>
        <v>Ноутбуки</v>
      </c>
      <c r="O40" s="4">
        <f>IFERROR(VLOOKUP(I40,Товары_очищенные!$H$2:$M$502,6,0),"")</f>
        <v>132500</v>
      </c>
      <c r="P40" t="str">
        <f t="shared" si="93"/>
        <v xml:space="preserve">Цена отличается от каталога</v>
      </c>
    </row>
    <row r="41">
      <c r="A41" s="3" t="s">
        <v>2033</v>
      </c>
      <c r="B41" s="3" t="s">
        <v>2035</v>
      </c>
      <c r="C41" s="3" t="s">
        <v>1985</v>
      </c>
      <c r="D41" s="3" t="s">
        <v>1955</v>
      </c>
      <c r="E41" s="3" t="s">
        <v>2036</v>
      </c>
      <c r="F41" s="3" t="s">
        <v>1862</v>
      </c>
      <c r="G41" s="3" t="s">
        <v>1918</v>
      </c>
      <c r="H41" s="5">
        <f t="shared" si="89"/>
        <v>45691</v>
      </c>
      <c r="I41" t="str">
        <f t="shared" si="90"/>
        <v>АРТ-116</v>
      </c>
      <c r="J41" s="6">
        <f t="shared" si="91"/>
        <v>-3</v>
      </c>
      <c r="K41" s="4">
        <f>VALUE(SUBSTITUTE(SUBSTITUTE(SUBSTITUTE(SUBSTITUTE(D41,"$",""),"€",""),"₽","")," ",""))*IF(ISNUMBER(FIND("$",D41)),Справочники!$H$3,IF(ISNUMBER(FIND("€",D41)),Справочники!$H$4,1))</f>
        <v>12350</v>
      </c>
      <c r="L41" t="str">
        <f>IFERROR(VLOOKUP(TRIM(G41),Справочники!$D$3:$E$13,2,0),"Нет в справочнике")</f>
        <v>Отменен</v>
      </c>
      <c r="M41" t="str">
        <f t="shared" si="92"/>
        <v/>
      </c>
      <c r="N41" t="str">
        <f>IFERROR(VLOOKUP(I41,Товары_очищенные!$H$2:$J$502,3,0),"Нет в каталоге")</f>
        <v>Мониторы</v>
      </c>
      <c r="O41" s="4">
        <f>IFERROR(VLOOKUP(I41,Товары_очищенные!$H$2:$M$502,6,0),"")</f>
        <v>72500</v>
      </c>
      <c r="P41" t="str">
        <f t="shared" si="93"/>
        <v xml:space="preserve">Цена отличается от каталога</v>
      </c>
    </row>
    <row r="42">
      <c r="A42" s="3" t="s">
        <v>2037</v>
      </c>
      <c r="B42" s="3" t="s">
        <v>2038</v>
      </c>
      <c r="C42" s="3" t="s">
        <v>1905</v>
      </c>
      <c r="D42" s="3" t="s">
        <v>1958</v>
      </c>
      <c r="E42" s="3" t="s">
        <v>2039</v>
      </c>
      <c r="F42" s="3" t="s">
        <v>1695</v>
      </c>
      <c r="G42" s="3" t="s">
        <v>1924</v>
      </c>
      <c r="H42" s="5">
        <f t="shared" si="89"/>
        <v>45692</v>
      </c>
      <c r="I42" t="str">
        <f t="shared" si="90"/>
        <v>АРТ-087</v>
      </c>
      <c r="J42" s="6">
        <f t="shared" si="91"/>
        <v>1</v>
      </c>
      <c r="K42" s="4">
        <f>VALUE(SUBSTITUTE(SUBSTITUTE(SUBSTITUTE(SUBSTITUTE(D42,"$",""),"€",""),"₽","")," ",""))*IF(ISNUMBER(FIND("$",D42)),Справочники!$H$3,IF(ISNUMBER(FIND("€",D42)),Справочники!$H$4,1))</f>
        <v>11000</v>
      </c>
      <c r="L42" t="str">
        <f>IFERROR(VLOOKUP(TRIM(G42),Справочники!$D$3:$E$13,2,0),"Нет в справочнике")</f>
        <v>Отменен</v>
      </c>
      <c r="M42" t="str">
        <f t="shared" si="92"/>
        <v/>
      </c>
      <c r="N42" t="str">
        <f>IFERROR(VLOOKUP(I42,Товары_очищенные!$H$2:$J$502,3,0),"Нет в каталоге")</f>
        <v>Ноутбуки</v>
      </c>
      <c r="O42" s="4">
        <f>IFERROR(VLOOKUP(I42,Товары_очищенные!$H$2:$M$502,6,0),"")</f>
        <v>112000</v>
      </c>
      <c r="P42" t="str">
        <f t="shared" si="93"/>
        <v xml:space="preserve">Цена отличается от каталога</v>
      </c>
    </row>
    <row r="43">
      <c r="A43" s="3" t="s">
        <v>2037</v>
      </c>
      <c r="B43" s="3" t="s">
        <v>2040</v>
      </c>
      <c r="C43" s="3" t="s">
        <v>1900</v>
      </c>
      <c r="D43" s="3" t="s">
        <v>1962</v>
      </c>
      <c r="E43" s="3" t="s">
        <v>2041</v>
      </c>
      <c r="F43" s="3" t="s">
        <v>1573</v>
      </c>
      <c r="G43" s="3" t="s">
        <v>1903</v>
      </c>
      <c r="H43" s="5">
        <f t="shared" si="89"/>
        <v>45692</v>
      </c>
      <c r="I43" t="str">
        <f t="shared" si="90"/>
        <v>АРТ-322</v>
      </c>
      <c r="J43" s="6">
        <f t="shared" si="91"/>
        <v>2</v>
      </c>
      <c r="K43" s="4">
        <f>VALUE(SUBSTITUTE(SUBSTITUTE(SUBSTITUTE(SUBSTITUTE(D43,"$",""),"€",""),"₽","")," ",""))*IF(ISNUMBER(FIND("$",D43)),Справочники!$H$3,IF(ISNUMBER(FIND("€",D43)),Справочники!$H$4,1))</f>
        <v>9500</v>
      </c>
      <c r="L43" t="str">
        <f>IFERROR(VLOOKUP(TRIM(G43),Справочники!$D$3:$E$13,2,0),"Нет в справочнике")</f>
        <v>Завершен</v>
      </c>
      <c r="M43" t="str">
        <f t="shared" si="92"/>
        <v/>
      </c>
      <c r="N43" t="str">
        <f>IFERROR(VLOOKUP(I43,Товары_очищенные!$H$2:$J$502,3,0),"Нет в каталоге")</f>
        <v>Наушники</v>
      </c>
      <c r="O43" s="4">
        <f>IFERROR(VLOOKUP(I43,Товары_очищенные!$H$2:$M$502,6,0),"")</f>
        <v>12990</v>
      </c>
      <c r="P43" t="str">
        <f t="shared" si="93"/>
        <v xml:space="preserve">Цена отличается от каталога</v>
      </c>
    </row>
    <row r="44">
      <c r="A44" s="3" t="s">
        <v>2042</v>
      </c>
      <c r="B44" s="3" t="s">
        <v>2043</v>
      </c>
      <c r="C44" s="3" t="s">
        <v>1930</v>
      </c>
      <c r="D44" s="3" t="s">
        <v>2044</v>
      </c>
      <c r="E44" s="3" t="s">
        <v>2045</v>
      </c>
      <c r="F44" s="3" t="s">
        <v>1808</v>
      </c>
      <c r="G44" s="3" t="s">
        <v>1927</v>
      </c>
      <c r="H44" s="5">
        <f t="shared" si="89"/>
        <v>45693</v>
      </c>
      <c r="I44" t="str">
        <f t="shared" si="90"/>
        <v>АРТ-257</v>
      </c>
      <c r="J44" s="6">
        <f t="shared" si="91"/>
        <v>3</v>
      </c>
      <c r="K44" s="4">
        <f>VALUE(SUBSTITUTE(SUBSTITUTE(SUBSTITUTE(SUBSTITUTE(D44,"$",""),"€",""),"₽","")," ",""))*IF(ISNUMBER(FIND("$",D44)),Справочники!$H$3,IF(ISNUMBER(FIND("€",D44)),Справочники!$H$4,1))</f>
        <v>11400</v>
      </c>
      <c r="L44" t="str">
        <f>IFERROR(VLOOKUP(TRIM(G44),Справочники!$D$3:$E$13,2,0),"Нет в справочнике")</f>
        <v>Возврат</v>
      </c>
      <c r="M44" t="str">
        <f t="shared" si="92"/>
        <v/>
      </c>
      <c r="N44" t="str">
        <f>IFERROR(VLOOKUP(I44,Товары_очищенные!$H$2:$J$502,3,0),"Нет в каталоге")</f>
        <v>Смартфоны</v>
      </c>
      <c r="O44" s="4">
        <f>IFERROR(VLOOKUP(I44,Товары_очищенные!$H$2:$M$502,6,0),"")</f>
        <v>36500</v>
      </c>
      <c r="P44" t="str">
        <f t="shared" si="93"/>
        <v xml:space="preserve">Цена отличается от каталога</v>
      </c>
    </row>
    <row r="45">
      <c r="A45" s="3" t="s">
        <v>2042</v>
      </c>
      <c r="B45" s="3" t="s">
        <v>1259</v>
      </c>
      <c r="C45" s="3" t="s">
        <v>1905</v>
      </c>
      <c r="D45" s="3" t="s">
        <v>2046</v>
      </c>
      <c r="E45" s="3" t="s">
        <v>2047</v>
      </c>
      <c r="F45" s="3" t="s">
        <v>1670</v>
      </c>
      <c r="G45" s="3" t="s">
        <v>1908</v>
      </c>
      <c r="H45" s="5">
        <f t="shared" si="89"/>
        <v>45693</v>
      </c>
      <c r="I45" t="str">
        <f t="shared" si="90"/>
        <v>АРТ-368</v>
      </c>
      <c r="J45" s="6">
        <f t="shared" si="91"/>
        <v>1</v>
      </c>
      <c r="K45" s="4">
        <f>VALUE(SUBSTITUTE(SUBSTITUTE(SUBSTITUTE(SUBSTITUTE(D45,"$",""),"€",""),"₽","")," ",""))*IF(ISNUMBER(FIND("$",D45)),Справочники!$H$3,IF(ISNUMBER(FIND("€",D45)),Справочники!$H$4,1))</f>
        <v>10000</v>
      </c>
      <c r="L45" t="str">
        <f>IFERROR(VLOOKUP(TRIM(G45),Справочники!$D$3:$E$13,2,0),"Нет в справочнике")</f>
        <v>Завершен</v>
      </c>
      <c r="M45" t="str">
        <f t="shared" si="92"/>
        <v/>
      </c>
      <c r="N45" t="str">
        <f>IFERROR(VLOOKUP(I45,Товары_очищенные!$H$2:$J$502,3,0),"Нет в каталоге")</f>
        <v>Наушники</v>
      </c>
      <c r="O45" s="4">
        <f>IFERROR(VLOOKUP(I45,Товары_очищенные!$H$2:$M$502,6,0),"")</f>
        <v>19000</v>
      </c>
      <c r="P45" t="str">
        <f t="shared" si="93"/>
        <v xml:space="preserve">Цена отличается от каталога</v>
      </c>
    </row>
    <row r="46">
      <c r="A46" s="3" t="s">
        <v>2048</v>
      </c>
      <c r="B46" s="3" t="s">
        <v>2049</v>
      </c>
      <c r="C46" s="3" t="s">
        <v>1938</v>
      </c>
      <c r="D46" s="3" t="s">
        <v>2050</v>
      </c>
      <c r="E46" s="3" t="s">
        <v>2051</v>
      </c>
      <c r="F46" s="3" t="s">
        <v>1752</v>
      </c>
      <c r="G46" s="3" t="s">
        <v>1913</v>
      </c>
      <c r="H46" s="5">
        <f t="shared" si="89"/>
        <v>45694</v>
      </c>
      <c r="I46" t="str">
        <f t="shared" si="90"/>
        <v>АРТ-042</v>
      </c>
      <c r="J46" s="6">
        <f t="shared" si="91"/>
        <v>1</v>
      </c>
      <c r="K46" s="4">
        <f>VALUE(SUBSTITUTE(SUBSTITUTE(SUBSTITUTE(SUBSTITUTE(D46,"$",""),"€",""),"₽","")," ",""))*IF(ISNUMBER(FIND("$",D46)),Справочники!$H$3,IF(ISNUMBER(FIND("€",D46)),Справочники!$H$4,1))</f>
        <v>8800</v>
      </c>
      <c r="L46" t="str">
        <f>IFERROR(VLOOKUP(TRIM(G46),Справочники!$D$3:$E$13,2,0),"Нет в справочнике")</f>
        <v>Завершен</v>
      </c>
      <c r="M46" t="str">
        <f t="shared" si="92"/>
        <v/>
      </c>
      <c r="N46" t="str">
        <f>IFERROR(VLOOKUP(I46,Товары_очищенные!$H$2:$J$502,3,0),"Нет в каталоге")</f>
        <v>Ноутбуки</v>
      </c>
      <c r="O46" s="4">
        <f>IFERROR(VLOOKUP(I46,Товары_очищенные!$H$2:$M$502,6,0),"")</f>
        <v>144000</v>
      </c>
      <c r="P46" t="str">
        <f t="shared" si="93"/>
        <v xml:space="preserve">Цена отличается от каталога</v>
      </c>
    </row>
    <row r="47">
      <c r="A47" s="3" t="s">
        <v>2048</v>
      </c>
      <c r="B47" s="3" t="s">
        <v>2052</v>
      </c>
      <c r="C47" s="3" t="s">
        <v>1942</v>
      </c>
      <c r="D47" s="3" t="s">
        <v>2004</v>
      </c>
      <c r="E47" s="3" t="s">
        <v>2053</v>
      </c>
      <c r="F47" s="3" t="s">
        <v>1790</v>
      </c>
      <c r="G47" s="3" t="s">
        <v>1903</v>
      </c>
      <c r="H47" s="5">
        <f t="shared" si="89"/>
        <v>45694</v>
      </c>
      <c r="I47" t="str">
        <f t="shared" si="90"/>
        <v>АРТ-194</v>
      </c>
      <c r="J47" s="6">
        <f t="shared" si="91"/>
        <v>-2</v>
      </c>
      <c r="K47" s="4">
        <f>VALUE(SUBSTITUTE(SUBSTITUTE(SUBSTITUTE(SUBSTITUTE(D47,"$",""),"€",""),"₽","")," ",""))*IF(ISNUMBER(FIND("$",D47)),Справочники!$H$3,IF(ISNUMBER(FIND("€",D47)),Справочники!$H$4,1))</f>
        <v>8075</v>
      </c>
      <c r="L47" t="str">
        <f>IFERROR(VLOOKUP(TRIM(G47),Справочники!$D$3:$E$13,2,0),"Нет в справочнике")</f>
        <v>Завершен</v>
      </c>
      <c r="M47" t="str">
        <f t="shared" si="92"/>
        <v/>
      </c>
      <c r="N47" t="str">
        <f>IFERROR(VLOOKUP(I47,Товары_очищенные!$H$2:$J$502,3,0),"Нет в каталоге")</f>
        <v>Ноутбуки</v>
      </c>
      <c r="O47" s="4">
        <f>IFERROR(VLOOKUP(I47,Товары_очищенные!$H$2:$M$502,6,0),"")</f>
        <v>127000</v>
      </c>
      <c r="P47" t="str">
        <f t="shared" si="93"/>
        <v xml:space="preserve">Цена отличается от каталога</v>
      </c>
    </row>
    <row r="48">
      <c r="A48" s="3" t="s">
        <v>2054</v>
      </c>
      <c r="B48" s="3" t="s">
        <v>2055</v>
      </c>
      <c r="C48" s="3" t="s">
        <v>1900</v>
      </c>
      <c r="D48" s="3" t="s">
        <v>2008</v>
      </c>
      <c r="E48" s="3" t="s">
        <v>2056</v>
      </c>
      <c r="F48" s="3" t="s">
        <v>1856</v>
      </c>
      <c r="G48" s="3" t="s">
        <v>1924</v>
      </c>
      <c r="H48" s="5">
        <f t="shared" si="89"/>
        <v>45695</v>
      </c>
      <c r="I48" t="str">
        <f t="shared" si="90"/>
        <v>АРТ-075</v>
      </c>
      <c r="J48" s="6">
        <f t="shared" si="91"/>
        <v>2</v>
      </c>
      <c r="K48" s="4">
        <f>VALUE(SUBSTITUTE(SUBSTITUTE(SUBSTITUTE(SUBSTITUTE(D48,"$",""),"€",""),"₽","")," ",""))*IF(ISNUMBER(FIND("$",D48)),Справочники!$H$3,IF(ISNUMBER(FIND("€",D48)),Справочники!$H$4,1))</f>
        <v>6500</v>
      </c>
      <c r="L48" t="str">
        <f>IFERROR(VLOOKUP(TRIM(G48),Справочники!$D$3:$E$13,2,0),"Нет в справочнике")</f>
        <v>Отменен</v>
      </c>
      <c r="M48" t="str">
        <f t="shared" si="92"/>
        <v/>
      </c>
      <c r="N48" t="str">
        <f>IFERROR(VLOOKUP(I48,Товары_очищенные!$H$2:$J$502,3,0),"Нет в каталоге")</f>
        <v>Мониторы</v>
      </c>
      <c r="O48" s="4">
        <f>IFERROR(VLOOKUP(I48,Товары_очищенные!$H$2:$M$502,6,0),"")</f>
        <v>82000</v>
      </c>
      <c r="P48" t="str">
        <f t="shared" si="93"/>
        <v xml:space="preserve">Цена отличается от каталога</v>
      </c>
    </row>
    <row r="49">
      <c r="A49" s="3" t="s">
        <v>2054</v>
      </c>
      <c r="B49" s="3" t="s">
        <v>2057</v>
      </c>
      <c r="C49" s="3" t="s">
        <v>1930</v>
      </c>
      <c r="D49" s="3" t="s">
        <v>2011</v>
      </c>
      <c r="E49" s="3" t="s">
        <v>2058</v>
      </c>
      <c r="F49" s="3" t="s">
        <v>1708</v>
      </c>
      <c r="G49" s="3" t="s">
        <v>1918</v>
      </c>
      <c r="H49" s="5">
        <f t="shared" si="89"/>
        <v>45695</v>
      </c>
      <c r="I49" t="str">
        <f t="shared" si="90"/>
        <v>АРТ-461</v>
      </c>
      <c r="J49" s="6">
        <f t="shared" si="91"/>
        <v>3</v>
      </c>
      <c r="K49" s="4">
        <f>VALUE(SUBSTITUTE(SUBSTITUTE(SUBSTITUTE(SUBSTITUTE(D49,"$",""),"€",""),"₽","")," ",""))*IF(ISNUMBER(FIND("$",D49)),Справочники!$H$3,IF(ISNUMBER(FIND("€",D49)),Справочники!$H$4,1))</f>
        <v>6000</v>
      </c>
      <c r="L49" t="str">
        <f>IFERROR(VLOOKUP(TRIM(G49),Справочники!$D$3:$E$13,2,0),"Нет в справочнике")</f>
        <v>Отменен</v>
      </c>
      <c r="M49" t="str">
        <f t="shared" si="92"/>
        <v/>
      </c>
      <c r="N49" t="str">
        <f>IFERROR(VLOOKUP(I49,Товары_очищенные!$H$2:$J$502,3,0),"Нет в каталоге")</f>
        <v>Часы</v>
      </c>
      <c r="O49" s="4">
        <f>IFERROR(VLOOKUP(I49,Товары_очищенные!$H$2:$M$502,6,0),"")</f>
        <v>46000</v>
      </c>
      <c r="P49" t="str">
        <f t="shared" si="93"/>
        <v xml:space="preserve">Цена отличается от каталога</v>
      </c>
    </row>
    <row r="50">
      <c r="A50" s="3" t="s">
        <v>2059</v>
      </c>
      <c r="B50" s="3" t="s">
        <v>2060</v>
      </c>
      <c r="C50" s="3" t="s">
        <v>1905</v>
      </c>
      <c r="D50" s="3" t="s">
        <v>1931</v>
      </c>
      <c r="E50" s="3" t="s">
        <v>2061</v>
      </c>
      <c r="F50" s="3" t="s">
        <v>1838</v>
      </c>
      <c r="G50" s="3" t="s">
        <v>1927</v>
      </c>
      <c r="H50" s="5">
        <f t="shared" si="89"/>
        <v>45696</v>
      </c>
      <c r="I50" t="str">
        <f t="shared" si="90"/>
        <v>АРТ-312</v>
      </c>
      <c r="J50" s="6">
        <f t="shared" si="91"/>
        <v>1</v>
      </c>
      <c r="K50" s="4">
        <f>VALUE(SUBSTITUTE(SUBSTITUTE(SUBSTITUTE(SUBSTITUTE(D50,"$",""),"€",""),"₽","")," ",""))*IF(ISNUMBER(FIND("$",D50)),Справочники!$H$3,IF(ISNUMBER(FIND("€",D50)),Справочники!$H$4,1))</f>
        <v>9975</v>
      </c>
      <c r="L50" t="str">
        <f>IFERROR(VLOOKUP(TRIM(G50),Справочники!$D$3:$E$13,2,0),"Нет в справочнике")</f>
        <v>Возврат</v>
      </c>
      <c r="M50" t="str">
        <f t="shared" si="92"/>
        <v/>
      </c>
      <c r="N50" t="str">
        <f>IFERROR(VLOOKUP(I50,Товары_очищенные!$H$2:$J$502,3,0),"Нет в каталоге")</f>
        <v>Планшеты</v>
      </c>
      <c r="O50" s="4">
        <f>IFERROR(VLOOKUP(I50,Товары_очищенные!$H$2:$M$502,6,0),"")</f>
        <v>67000</v>
      </c>
      <c r="P50" t="str">
        <f t="shared" si="93"/>
        <v xml:space="preserve">Цена отличается от каталога</v>
      </c>
    </row>
    <row r="51">
      <c r="A51" s="3" t="s">
        <v>2059</v>
      </c>
      <c r="B51" s="3" t="s">
        <v>2062</v>
      </c>
      <c r="C51" s="3" t="s">
        <v>1900</v>
      </c>
      <c r="D51" s="3" t="s">
        <v>1906</v>
      </c>
      <c r="E51" s="3" t="s">
        <v>2063</v>
      </c>
      <c r="F51" s="3" t="s">
        <v>1759</v>
      </c>
      <c r="G51" s="3" t="s">
        <v>1903</v>
      </c>
      <c r="H51" s="5">
        <f t="shared" si="89"/>
        <v>45696</v>
      </c>
      <c r="I51" t="str">
        <f t="shared" si="90"/>
        <v>АРТ-423</v>
      </c>
      <c r="J51" s="6">
        <f t="shared" si="91"/>
        <v>2</v>
      </c>
      <c r="K51" s="4">
        <f>VALUE(SUBSTITUTE(SUBSTITUTE(SUBSTITUTE(SUBSTITUTE(D51,"$",""),"€",""),"₽","")," ",""))*IF(ISNUMBER(FIND("$",D51)),Справочники!$H$3,IF(ISNUMBER(FIND("€",D51)),Справочники!$H$4,1))</f>
        <v>8500</v>
      </c>
      <c r="L51" t="str">
        <f>IFERROR(VLOOKUP(TRIM(G51),Справочники!$D$3:$E$13,2,0),"Нет в справочнике")</f>
        <v>Завершен</v>
      </c>
      <c r="M51" t="str">
        <f t="shared" si="92"/>
        <v/>
      </c>
      <c r="N51" t="str">
        <f>IFERROR(VLOOKUP(I51,Товары_очищенные!$H$2:$J$502,3,0),"Нет в каталоге")</f>
        <v>Ноутбуки</v>
      </c>
      <c r="O51" s="4">
        <f>IFERROR(VLOOKUP(I51,Товары_очищенные!$H$2:$M$502,6,0),"")</f>
        <v>129500</v>
      </c>
      <c r="P51" t="str">
        <f t="shared" si="93"/>
        <v xml:space="preserve">Цена отличается от каталога</v>
      </c>
    </row>
    <row r="52">
      <c r="A52" s="3" t="s">
        <v>2064</v>
      </c>
      <c r="B52" s="3" t="s">
        <v>2065</v>
      </c>
      <c r="C52" s="3" t="s">
        <v>1938</v>
      </c>
      <c r="D52" s="3" t="s">
        <v>1911</v>
      </c>
      <c r="E52" s="3" t="s">
        <v>2066</v>
      </c>
      <c r="F52" s="3" t="s">
        <v>1642</v>
      </c>
      <c r="G52" s="3" t="s">
        <v>1908</v>
      </c>
      <c r="H52" s="5">
        <f t="shared" si="89"/>
        <v>45697</v>
      </c>
      <c r="I52" t="str">
        <f t="shared" si="90"/>
        <v>АРТ-208</v>
      </c>
      <c r="J52" s="6">
        <f t="shared" si="91"/>
        <v>1</v>
      </c>
      <c r="K52" s="4">
        <f>VALUE(SUBSTITUTE(SUBSTITUTE(SUBSTITUTE(SUBSTITUTE(D52,"$",""),"€",""),"₽","")," ",""))*IF(ISNUMBER(FIND("$",D52)),Справочники!$H$3,IF(ISNUMBER(FIND("€",D52)),Справочники!$H$4,1))</f>
        <v>7500</v>
      </c>
      <c r="L52" t="str">
        <f>IFERROR(VLOOKUP(TRIM(G52),Справочники!$D$3:$E$13,2,0),"Нет в справочнике")</f>
        <v>Завершен</v>
      </c>
      <c r="M52" t="str">
        <f t="shared" si="92"/>
        <v/>
      </c>
      <c r="N52" t="str">
        <f>IFERROR(VLOOKUP(I52,Товары_очищенные!$H$2:$J$502,3,0),"Нет в каталоге")</f>
        <v>Аксессуары</v>
      </c>
      <c r="O52" s="4">
        <f>IFERROR(VLOOKUP(I52,Товары_очищенные!$H$2:$M$502,6,0),"")</f>
        <v>10990</v>
      </c>
      <c r="P52" t="str">
        <f t="shared" si="93"/>
        <v xml:space="preserve">Цена отличается от каталога</v>
      </c>
    </row>
    <row r="53">
      <c r="A53" s="3" t="s">
        <v>2064</v>
      </c>
      <c r="B53" s="3" t="s">
        <v>2067</v>
      </c>
      <c r="C53" s="3" t="s">
        <v>1915</v>
      </c>
      <c r="D53" s="3" t="s">
        <v>1943</v>
      </c>
      <c r="E53" s="3" t="s">
        <v>2068</v>
      </c>
      <c r="F53" s="3" t="s">
        <v>1608</v>
      </c>
      <c r="G53" s="3" t="s">
        <v>1913</v>
      </c>
      <c r="H53" s="5">
        <f t="shared" si="89"/>
        <v>45697</v>
      </c>
      <c r="I53" t="str">
        <f t="shared" si="90"/>
        <v>АРТ-147</v>
      </c>
      <c r="J53" s="6">
        <f t="shared" si="91"/>
        <v>-1</v>
      </c>
      <c r="K53" s="4">
        <f>VALUE(SUBSTITUTE(SUBSTITUTE(SUBSTITUTE(SUBSTITUTE(D53,"$",""),"€",""),"₽","")," ",""))*IF(ISNUMBER(FIND("$",D53)),Справочники!$H$3,IF(ISNUMBER(FIND("€",D53)),Справочники!$H$4,1))</f>
        <v>10925</v>
      </c>
      <c r="L53" t="str">
        <f>IFERROR(VLOOKUP(TRIM(G53),Справочники!$D$3:$E$13,2,0),"Нет в справочнике")</f>
        <v>Завершен</v>
      </c>
      <c r="M53" t="str">
        <f t="shared" si="92"/>
        <v/>
      </c>
      <c r="N53" t="str">
        <f>IFERROR(VLOOKUP(I53,Товары_очищенные!$H$2:$J$502,3,0),"Нет в каталоге")</f>
        <v>Смартфоны</v>
      </c>
      <c r="O53" s="4">
        <f>IFERROR(VLOOKUP(I53,Товары_очищенные!$H$2:$M$502,6,0),"")</f>
        <v>47500</v>
      </c>
      <c r="P53" t="str">
        <f t="shared" si="93"/>
        <v xml:space="preserve">Цена отличается от каталога</v>
      </c>
    </row>
    <row r="54">
      <c r="A54" s="3" t="s">
        <v>2069</v>
      </c>
      <c r="B54" s="3" t="s">
        <v>1308</v>
      </c>
      <c r="C54" s="3" t="s">
        <v>1930</v>
      </c>
      <c r="D54" s="3" t="s">
        <v>1934</v>
      </c>
      <c r="E54" s="3" t="s">
        <v>2070</v>
      </c>
      <c r="F54" s="3" t="s">
        <v>1715</v>
      </c>
      <c r="G54" s="3" t="s">
        <v>1918</v>
      </c>
      <c r="H54" s="5">
        <f t="shared" si="89"/>
        <v>45698</v>
      </c>
      <c r="I54" t="str">
        <f t="shared" si="90"/>
        <v>АРТ-389</v>
      </c>
      <c r="J54" s="6">
        <f t="shared" si="91"/>
        <v>3</v>
      </c>
      <c r="K54" s="4">
        <f>VALUE(SUBSTITUTE(SUBSTITUTE(SUBSTITUTE(SUBSTITUTE(D54,"$",""),"€",""),"₽","")," ",""))*IF(ISNUMBER(FIND("$",D54)),Справочники!$H$3,IF(ISNUMBER(FIND("€",D54)),Справочники!$H$4,1))</f>
        <v>9500</v>
      </c>
      <c r="L54" t="str">
        <f>IFERROR(VLOOKUP(TRIM(G54),Справочники!$D$3:$E$13,2,0),"Нет в справочнике")</f>
        <v>Отменен</v>
      </c>
      <c r="M54" t="str">
        <f t="shared" si="92"/>
        <v/>
      </c>
      <c r="N54" t="str">
        <f>IFERROR(VLOOKUP(I54,Товары_очищенные!$H$2:$J$502,3,0),"Нет в каталоге")</f>
        <v>Телевизоры</v>
      </c>
      <c r="O54" s="4">
        <f>IFERROR(VLOOKUP(I54,Товары_очищенные!$H$2:$M$502,6,0),"")</f>
        <v>75000</v>
      </c>
      <c r="P54" t="str">
        <f t="shared" si="93"/>
        <v xml:space="preserve">Цена отличается от каталога</v>
      </c>
    </row>
    <row r="55">
      <c r="A55" s="3" t="s">
        <v>2069</v>
      </c>
      <c r="B55" s="3" t="s">
        <v>2071</v>
      </c>
      <c r="C55" s="3" t="s">
        <v>1900</v>
      </c>
      <c r="D55" s="3" t="s">
        <v>2002</v>
      </c>
      <c r="E55" s="3" t="s">
        <v>2072</v>
      </c>
      <c r="F55" s="3" t="s">
        <v>1850</v>
      </c>
      <c r="G55" s="3" t="s">
        <v>1924</v>
      </c>
      <c r="H55" s="5">
        <f t="shared" si="89"/>
        <v>45698</v>
      </c>
      <c r="I55" t="str">
        <f t="shared" si="90"/>
        <v>АРТ-065</v>
      </c>
      <c r="J55" s="6">
        <f t="shared" si="91"/>
        <v>2</v>
      </c>
      <c r="K55" s="4">
        <f>VALUE(SUBSTITUTE(SUBSTITUTE(SUBSTITUTE(SUBSTITUTE(D55,"$",""),"€",""),"₽","")," ",""))*IF(ISNUMBER(FIND("$",D55)),Справочники!$H$3,IF(ISNUMBER(FIND("€",D55)),Справочники!$H$4,1))</f>
        <v>9000</v>
      </c>
      <c r="L55" t="str">
        <f>IFERROR(VLOOKUP(TRIM(G55),Справочники!$D$3:$E$13,2,0),"Нет в справочнике")</f>
        <v>Отменен</v>
      </c>
      <c r="M55" t="str">
        <f t="shared" si="92"/>
        <v/>
      </c>
      <c r="N55" t="str">
        <f>IFERROR(VLOOKUP(I55,Товары_очищенные!$H$2:$J$502,3,0),"Нет в каталоге")</f>
        <v>Смартфоны</v>
      </c>
      <c r="O55" s="4">
        <f>IFERROR(VLOOKUP(I55,Товары_очищенные!$H$2:$M$502,6,0),"")</f>
        <v>55500</v>
      </c>
      <c r="P55" t="str">
        <f t="shared" si="93"/>
        <v xml:space="preserve">Цена отличается от каталога</v>
      </c>
    </row>
    <row r="56">
      <c r="A56" s="3" t="s">
        <v>2073</v>
      </c>
      <c r="B56" s="3" t="s">
        <v>141</v>
      </c>
      <c r="C56" s="3" t="s">
        <v>1905</v>
      </c>
      <c r="D56" s="3" t="s">
        <v>1986</v>
      </c>
      <c r="E56" s="3" t="s">
        <v>2074</v>
      </c>
      <c r="F56" s="3" t="s">
        <v>1615</v>
      </c>
      <c r="G56" s="3" t="s">
        <v>1903</v>
      </c>
      <c r="H56" s="5">
        <f t="shared" si="89"/>
        <v>45699</v>
      </c>
      <c r="I56" t="str">
        <f t="shared" si="90"/>
        <v>АРТ-025</v>
      </c>
      <c r="J56" s="6">
        <f t="shared" si="91"/>
        <v>1</v>
      </c>
      <c r="K56" s="4">
        <f>VALUE(SUBSTITUTE(SUBSTITUTE(SUBSTITUTE(SUBSTITUTE(D56,"$",""),"€",""),"₽","")," ",""))*IF(ISNUMBER(FIND("$",D56)),Справочники!$H$3,IF(ISNUMBER(FIND("€",D56)),Справочники!$H$4,1))</f>
        <v>8550</v>
      </c>
      <c r="L56" t="str">
        <f>IFERROR(VLOOKUP(TRIM(G56),Справочники!$D$3:$E$13,2,0),"Нет в справочнике")</f>
        <v>Завершен</v>
      </c>
      <c r="M56" t="str">
        <f t="shared" si="92"/>
        <v/>
      </c>
      <c r="N56" t="str">
        <f>IFERROR(VLOOKUP(I56,Товары_очищенные!$H$2:$J$502,3,0),"Нет в каталоге")</f>
        <v>Мониторы</v>
      </c>
      <c r="O56" s="4">
        <f>IFERROR(VLOOKUP(I56,Товары_очищенные!$H$2:$M$502,6,0),"")</f>
        <v>99900</v>
      </c>
      <c r="P56" t="str">
        <f t="shared" si="93"/>
        <v xml:space="preserve">Цена отличается от каталога</v>
      </c>
    </row>
    <row r="57">
      <c r="A57" s="3" t="s">
        <v>2073</v>
      </c>
      <c r="B57" s="3" t="s">
        <v>2075</v>
      </c>
      <c r="C57" s="3" t="s">
        <v>1900</v>
      </c>
      <c r="D57" s="3" t="s">
        <v>1989</v>
      </c>
      <c r="E57" s="3" t="s">
        <v>2076</v>
      </c>
      <c r="F57" s="3" t="s">
        <v>1765</v>
      </c>
      <c r="G57" s="3" t="s">
        <v>1927</v>
      </c>
      <c r="H57" s="5">
        <f t="shared" si="89"/>
        <v>45699</v>
      </c>
      <c r="I57" t="str">
        <f t="shared" si="90"/>
        <v>АРТ-492</v>
      </c>
      <c r="J57" s="6">
        <f t="shared" si="91"/>
        <v>2</v>
      </c>
      <c r="K57" s="4">
        <f>VALUE(SUBSTITUTE(SUBSTITUTE(SUBSTITUTE(SUBSTITUTE(D57,"$",""),"€",""),"₽","")," ",""))*IF(ISNUMBER(FIND("$",D57)),Справочники!$H$3,IF(ISNUMBER(FIND("€",D57)),Справочники!$H$4,1))</f>
        <v>7000</v>
      </c>
      <c r="L57" t="str">
        <f>IFERROR(VLOOKUP(TRIM(G57),Справочники!$D$3:$E$13,2,0),"Нет в справочнике")</f>
        <v>Возврат</v>
      </c>
      <c r="M57" t="str">
        <f t="shared" si="92"/>
        <v/>
      </c>
      <c r="N57" t="str">
        <f>IFERROR(VLOOKUP(I57,Товары_очищенные!$H$2:$J$502,3,0),"Нет в каталоге")</f>
        <v>Телевизоры</v>
      </c>
      <c r="O57" s="4">
        <f>IFERROR(VLOOKUP(I57,Товары_очищенные!$H$2:$M$502,6,0),"")</f>
        <v>64000</v>
      </c>
      <c r="P57" t="str">
        <f t="shared" si="93"/>
        <v xml:space="preserve">Цена отличается от каталога</v>
      </c>
    </row>
    <row r="58">
      <c r="A58" s="3" t="s">
        <v>2077</v>
      </c>
      <c r="B58" s="3" t="s">
        <v>2078</v>
      </c>
      <c r="C58" s="3" t="s">
        <v>1910</v>
      </c>
      <c r="D58" s="3" t="s">
        <v>2079</v>
      </c>
      <c r="E58" s="3" t="s">
        <v>2080</v>
      </c>
      <c r="F58" s="3" t="s">
        <v>1688</v>
      </c>
      <c r="G58" s="3" t="s">
        <v>1908</v>
      </c>
      <c r="H58" s="5">
        <f t="shared" si="89"/>
        <v>45700</v>
      </c>
      <c r="I58" t="str">
        <f t="shared" si="90"/>
        <v>АРТ-134</v>
      </c>
      <c r="J58" s="6">
        <f t="shared" si="91"/>
        <v>3</v>
      </c>
      <c r="K58" s="4">
        <f>VALUE(SUBSTITUTE(SUBSTITUTE(SUBSTITUTE(SUBSTITUTE(D58,"$",""),"€",""),"₽","")," ",""))*IF(ISNUMBER(FIND("$",D58)),Справочники!$H$3,IF(ISNUMBER(FIND("€",D58)),Справочники!$H$4,1))</f>
        <v>6800</v>
      </c>
      <c r="L58" t="str">
        <f>IFERROR(VLOOKUP(TRIM(G58),Справочники!$D$3:$E$13,2,0),"Нет в справочнике")</f>
        <v>Завершен</v>
      </c>
      <c r="M58" t="str">
        <f t="shared" si="92"/>
        <v/>
      </c>
      <c r="N58" t="str">
        <f>IFERROR(VLOOKUP(I58,Товары_очищенные!$H$2:$J$502,3,0),"Нет в каталоге")</f>
        <v>Телевизоры</v>
      </c>
      <c r="O58" s="4">
        <f>IFERROR(VLOOKUP(I58,Товары_очищенные!$H$2:$M$502,6,0),"")</f>
        <v>124000</v>
      </c>
      <c r="P58" t="str">
        <f t="shared" si="93"/>
        <v xml:space="preserve">Цена отличается от каталога</v>
      </c>
    </row>
    <row r="59">
      <c r="A59" s="3" t="s">
        <v>2077</v>
      </c>
      <c r="B59" s="3" t="s">
        <v>2081</v>
      </c>
      <c r="C59" s="3" t="s">
        <v>1942</v>
      </c>
      <c r="D59" s="3" t="s">
        <v>1995</v>
      </c>
      <c r="E59" s="3" t="s">
        <v>2082</v>
      </c>
      <c r="F59" s="3" t="s">
        <v>1832</v>
      </c>
      <c r="G59" s="3" t="s">
        <v>1913</v>
      </c>
      <c r="H59" s="5">
        <f t="shared" si="89"/>
        <v>45700</v>
      </c>
      <c r="I59" t="str">
        <f t="shared" si="90"/>
        <v>АРТ-368</v>
      </c>
      <c r="J59" s="6">
        <f t="shared" si="91"/>
        <v>-2</v>
      </c>
      <c r="K59" s="4">
        <f>VALUE(SUBSTITUTE(SUBSTITUTE(SUBSTITUTE(SUBSTITUTE(D59,"$",""),"€",""),"₽","")," ",""))*IF(ISNUMBER(FIND("$",D59)),Справочники!$H$3,IF(ISNUMBER(FIND("€",D59)),Справочники!$H$4,1))</f>
        <v>11875</v>
      </c>
      <c r="L59" t="str">
        <f>IFERROR(VLOOKUP(TRIM(G59),Справочники!$D$3:$E$13,2,0),"Нет в справочнике")</f>
        <v>Завершен</v>
      </c>
      <c r="M59" t="str">
        <f t="shared" si="92"/>
        <v/>
      </c>
      <c r="N59" t="str">
        <f>IFERROR(VLOOKUP(I59,Товары_очищенные!$H$2:$J$502,3,0),"Нет в каталоге")</f>
        <v>Наушники</v>
      </c>
      <c r="O59" s="4">
        <f>IFERROR(VLOOKUP(I59,Товары_очищенные!$H$2:$M$502,6,0),"")</f>
        <v>19000</v>
      </c>
      <c r="P59" t="str">
        <f t="shared" si="93"/>
        <v xml:space="preserve">Цена отличается от каталога</v>
      </c>
    </row>
    <row r="60">
      <c r="A60" s="3" t="s">
        <v>2083</v>
      </c>
      <c r="B60" s="3" t="s">
        <v>2084</v>
      </c>
      <c r="C60" s="3" t="s">
        <v>1905</v>
      </c>
      <c r="D60" s="3" t="s">
        <v>1998</v>
      </c>
      <c r="E60" s="3" t="s">
        <v>2085</v>
      </c>
      <c r="F60" s="3" t="s">
        <v>1594</v>
      </c>
      <c r="G60" s="3" t="s">
        <v>1903</v>
      </c>
      <c r="H60" s="5">
        <f t="shared" si="89"/>
        <v>45701</v>
      </c>
      <c r="I60" t="str">
        <f t="shared" si="90"/>
        <v>АРТ-177</v>
      </c>
      <c r="J60" s="6">
        <f t="shared" si="91"/>
        <v>1</v>
      </c>
      <c r="K60" s="4">
        <f>VALUE(SUBSTITUTE(SUBSTITUTE(SUBSTITUTE(SUBSTITUTE(D60,"$",""),"€",""),"₽","")," ",""))*IF(ISNUMBER(FIND("$",D60)),Справочники!$H$3,IF(ISNUMBER(FIND("€",D60)),Справочники!$H$4,1))</f>
        <v>10500</v>
      </c>
      <c r="L60" t="str">
        <f>IFERROR(VLOOKUP(TRIM(G60),Справочники!$D$3:$E$13,2,0),"Нет в справочнике")</f>
        <v>Завершен</v>
      </c>
      <c r="M60" t="str">
        <f t="shared" si="92"/>
        <v/>
      </c>
      <c r="N60" t="str">
        <f>IFERROR(VLOOKUP(I60,Товары_очищенные!$H$2:$J$502,3,0),"Нет в каталоге")</f>
        <v>Телевизоры</v>
      </c>
      <c r="O60" s="4">
        <f>IFERROR(VLOOKUP(I60,Товары_очищенные!$H$2:$M$502,6,0),"")</f>
        <v>102500</v>
      </c>
      <c r="P60" t="str">
        <f t="shared" si="93"/>
        <v xml:space="preserve">Цена отличается от каталога</v>
      </c>
    </row>
    <row r="61">
      <c r="A61" s="3" t="s">
        <v>2083</v>
      </c>
      <c r="B61" s="3" t="s">
        <v>2086</v>
      </c>
      <c r="C61" s="3" t="s">
        <v>1900</v>
      </c>
      <c r="D61" s="3" t="s">
        <v>2087</v>
      </c>
      <c r="E61" s="3" t="s">
        <v>2088</v>
      </c>
      <c r="F61" s="3" t="s">
        <v>1796</v>
      </c>
      <c r="G61" s="3" t="s">
        <v>1924</v>
      </c>
      <c r="H61" s="5">
        <f t="shared" si="89"/>
        <v>45701</v>
      </c>
      <c r="I61" t="str">
        <f t="shared" si="90"/>
        <v>АРТ-275</v>
      </c>
      <c r="J61" s="6">
        <f t="shared" si="91"/>
        <v>2</v>
      </c>
      <c r="K61" s="4">
        <f>VALUE(SUBSTITUTE(SUBSTITUTE(SUBSTITUTE(SUBSTITUTE(D61,"$",""),"€",""),"₽","")," ",""))*IF(ISNUMBER(FIND("$",D61)),Справочники!$H$3,IF(ISNUMBER(FIND("€",D61)),Справочники!$H$4,1))</f>
        <v>9200</v>
      </c>
      <c r="L61" t="str">
        <f>IFERROR(VLOOKUP(TRIM(G61),Справочники!$D$3:$E$13,2,0),"Нет в справочнике")</f>
        <v>Отменен</v>
      </c>
      <c r="M61" t="str">
        <f t="shared" si="92"/>
        <v/>
      </c>
      <c r="N61" t="str">
        <f>IFERROR(VLOOKUP(I61,Товары_очищенные!$H$2:$J$502,3,0),"Нет в каталоге")</f>
        <v>Планшеты</v>
      </c>
      <c r="O61" s="4">
        <f>IFERROR(VLOOKUP(I61,Товары_очищенные!$H$2:$M$502,6,0),"")</f>
        <v>47000</v>
      </c>
      <c r="P61" t="str">
        <f t="shared" si="93"/>
        <v xml:space="preserve">Цена отличается от каталога</v>
      </c>
    </row>
    <row r="62">
      <c r="A62" s="3" t="s">
        <v>2089</v>
      </c>
      <c r="B62" s="3" t="s">
        <v>222</v>
      </c>
      <c r="C62" s="3" t="s">
        <v>1930</v>
      </c>
      <c r="D62" s="3" t="s">
        <v>2090</v>
      </c>
      <c r="E62" s="3" t="s">
        <v>2091</v>
      </c>
      <c r="F62" s="3" t="s">
        <v>1656</v>
      </c>
      <c r="G62" s="3" t="s">
        <v>1918</v>
      </c>
      <c r="H62" s="5">
        <f t="shared" si="89"/>
        <v>45702</v>
      </c>
      <c r="I62" t="str">
        <f t="shared" si="90"/>
        <v>АРТ-043</v>
      </c>
      <c r="J62" s="6">
        <f t="shared" si="91"/>
        <v>3</v>
      </c>
      <c r="K62" s="4">
        <f>VALUE(SUBSTITUTE(SUBSTITUTE(SUBSTITUTE(SUBSTITUTE(D62,"$",""),"€",""),"₽","")," ",""))*IF(ISNUMBER(FIND("$",D62)),Справочники!$H$3,IF(ISNUMBER(FIND("€",D62)),Справочники!$H$4,1))</f>
        <v>12825</v>
      </c>
      <c r="L62" t="str">
        <f>IFERROR(VLOOKUP(TRIM(G62),Справочники!$D$3:$E$13,2,0),"Нет в справочнике")</f>
        <v>Отменен</v>
      </c>
      <c r="M62" t="str">
        <f t="shared" si="92"/>
        <v/>
      </c>
      <c r="N62" t="str">
        <f>IFERROR(VLOOKUP(I62,Товары_очищенные!$H$2:$J$502,3,0),"Нет в каталоге")</f>
        <v>Телевизоры</v>
      </c>
      <c r="O62" s="4">
        <f>IFERROR(VLOOKUP(I62,Товары_очищенные!$H$2:$M$502,6,0),"")</f>
        <v>134990</v>
      </c>
      <c r="P62" t="str">
        <f t="shared" si="93"/>
        <v xml:space="preserve">Цена отличается от каталога</v>
      </c>
    </row>
    <row r="63">
      <c r="A63" s="3" t="s">
        <v>2089</v>
      </c>
      <c r="B63" s="3" t="s">
        <v>2092</v>
      </c>
      <c r="C63" s="3" t="s">
        <v>1905</v>
      </c>
      <c r="D63" s="3" t="s">
        <v>2093</v>
      </c>
      <c r="E63" s="3" t="s">
        <v>2094</v>
      </c>
      <c r="F63" s="3" t="s">
        <v>1746</v>
      </c>
      <c r="G63" s="3" t="s">
        <v>1927</v>
      </c>
      <c r="H63" s="5">
        <f t="shared" si="89"/>
        <v>45702</v>
      </c>
      <c r="I63" t="str">
        <f t="shared" si="90"/>
        <v>АРТ-456</v>
      </c>
      <c r="J63" s="6">
        <f t="shared" si="91"/>
        <v>1</v>
      </c>
      <c r="K63" s="4">
        <f>VALUE(SUBSTITUTE(SUBSTITUTE(SUBSTITUTE(SUBSTITUTE(D63,"$",""),"€",""),"₽","")," ",""))*IF(ISNUMBER(FIND("$",D63)),Справочники!$H$3,IF(ISNUMBER(FIND("€",D63)),Справочники!$H$4,1))</f>
        <v>11500</v>
      </c>
      <c r="L63" t="str">
        <f>IFERROR(VLOOKUP(TRIM(G63),Справочники!$D$3:$E$13,2,0),"Нет в справочнике")</f>
        <v>Возврат</v>
      </c>
      <c r="M63" t="str">
        <f t="shared" si="92"/>
        <v/>
      </c>
      <c r="N63" t="str">
        <f>IFERROR(VLOOKUP(I63,Товары_очищенные!$H$2:$J$502,3,0),"Нет в каталоге")</f>
        <v>Мониторы</v>
      </c>
      <c r="O63" s="4">
        <f>IFERROR(VLOOKUP(I63,Товары_очищенные!$H$2:$M$502,6,0),"")</f>
        <v>77500</v>
      </c>
      <c r="P63" t="str">
        <f t="shared" si="93"/>
        <v xml:space="preserve">Цена отличается от каталога</v>
      </c>
    </row>
    <row r="64">
      <c r="A64" s="3" t="s">
        <v>2095</v>
      </c>
      <c r="B64" s="3" t="s">
        <v>2096</v>
      </c>
      <c r="C64" s="3" t="s">
        <v>2020</v>
      </c>
      <c r="D64" s="3" t="s">
        <v>1982</v>
      </c>
      <c r="E64" s="3" t="s">
        <v>2097</v>
      </c>
      <c r="F64" s="3" t="s">
        <v>1622</v>
      </c>
      <c r="G64" s="3" t="s">
        <v>1903</v>
      </c>
      <c r="H64" s="5">
        <f t="shared" si="89"/>
        <v>45703</v>
      </c>
      <c r="I64" t="str">
        <f t="shared" si="90"/>
        <v>АРТ-364</v>
      </c>
      <c r="J64" s="6">
        <f t="shared" si="91"/>
        <v>2</v>
      </c>
      <c r="K64" s="4">
        <f>VALUE(SUBSTITUTE(SUBSTITUTE(SUBSTITUTE(SUBSTITUTE(D64,"$",""),"€",""),"₽","")," ",""))*IF(ISNUMBER(FIND("$",D64)),Справочники!$H$3,IF(ISNUMBER(FIND("€",D64)),Справочники!$H$4,1))</f>
        <v>10000</v>
      </c>
      <c r="L64" t="str">
        <f>IFERROR(VLOOKUP(TRIM(G64),Справочники!$D$3:$E$13,2,0),"Нет в справочнике")</f>
        <v>Завершен</v>
      </c>
      <c r="M64" t="str">
        <f t="shared" si="92"/>
        <v/>
      </c>
      <c r="N64" t="str">
        <f>IFERROR(VLOOKUP(I64,Товары_очищенные!$H$2:$J$502,3,0),"Нет в каталоге")</f>
        <v>Телевизоры</v>
      </c>
      <c r="O64" s="4">
        <f>IFERROR(VLOOKUP(I64,Товары_очищенные!$H$2:$M$502,6,0),"")</f>
        <v>139990</v>
      </c>
      <c r="P64" t="str">
        <f t="shared" si="93"/>
        <v xml:space="preserve">Цена отличается от каталога</v>
      </c>
    </row>
    <row r="65">
      <c r="A65" s="3" t="s">
        <v>2095</v>
      </c>
      <c r="B65" s="3" t="s">
        <v>2098</v>
      </c>
      <c r="C65" s="3" t="s">
        <v>1915</v>
      </c>
      <c r="D65" s="3" t="s">
        <v>1901</v>
      </c>
      <c r="E65" s="3" t="s">
        <v>2099</v>
      </c>
      <c r="F65" s="3" t="s">
        <v>1826</v>
      </c>
      <c r="G65" s="3" t="s">
        <v>1908</v>
      </c>
      <c r="H65" s="5">
        <f t="shared" si="89"/>
        <v>45703</v>
      </c>
      <c r="I65" t="str">
        <f t="shared" si="90"/>
        <v>АРТ-221</v>
      </c>
      <c r="J65" s="6">
        <f t="shared" si="91"/>
        <v>-1</v>
      </c>
      <c r="K65" s="4">
        <f>VALUE(SUBSTITUTE(SUBSTITUTE(SUBSTITUTE(SUBSTITUTE(D65,"$",""),"€",""),"₽","")," ",""))*IF(ISNUMBER(FIND("$",D65)),Справочники!$H$3,IF(ISNUMBER(FIND("€",D65)),Справочники!$H$4,1))</f>
        <v>9500</v>
      </c>
      <c r="L65" t="str">
        <f>IFERROR(VLOOKUP(TRIM(G65),Справочники!$D$3:$E$13,2,0),"Нет в справочнике")</f>
        <v>Завершен</v>
      </c>
      <c r="M65" t="str">
        <f t="shared" si="92"/>
        <v/>
      </c>
      <c r="N65" t="str">
        <f>IFERROR(VLOOKUP(I65,Товары_очищенные!$H$2:$J$502,3,0),"Нет в каталоге")</f>
        <v>Наушники</v>
      </c>
      <c r="O65" s="4">
        <f>IFERROR(VLOOKUP(I65,Товары_очищенные!$H$2:$M$502,6,0),"")</f>
        <v>24000</v>
      </c>
      <c r="P65" t="str">
        <f t="shared" si="93"/>
        <v xml:space="preserve">Цена отличается от каталога</v>
      </c>
    </row>
    <row r="66">
      <c r="A66" s="3" t="s">
        <v>2100</v>
      </c>
      <c r="B66" s="3" t="s">
        <v>445</v>
      </c>
      <c r="C66" s="3" t="s">
        <v>1930</v>
      </c>
      <c r="D66" s="3" t="s">
        <v>1948</v>
      </c>
      <c r="E66" s="3" t="s">
        <v>2101</v>
      </c>
      <c r="F66" s="3" t="s">
        <v>1676</v>
      </c>
      <c r="G66" s="3" t="s">
        <v>1913</v>
      </c>
      <c r="H66" s="5">
        <f t="shared" si="89"/>
        <v>45704</v>
      </c>
      <c r="I66" t="str">
        <f t="shared" si="90"/>
        <v>АРТ-098</v>
      </c>
      <c r="J66" s="6">
        <f t="shared" si="91"/>
        <v>3</v>
      </c>
      <c r="K66" s="4">
        <f>VALUE(SUBSTITUTE(SUBSTITUTE(SUBSTITUTE(SUBSTITUTE(D66,"$",""),"€",""),"₽","")," ",""))*IF(ISNUMBER(FIND("$",D66)),Справочники!$H$3,IF(ISNUMBER(FIND("€",D66)),Справочники!$H$4,1))</f>
        <v>8000</v>
      </c>
      <c r="L66" t="str">
        <f>IFERROR(VLOOKUP(TRIM(G66),Справочники!$D$3:$E$13,2,0),"Нет в справочнике")</f>
        <v>Завершен</v>
      </c>
      <c r="M66" t="str">
        <f t="shared" si="92"/>
        <v/>
      </c>
      <c r="N66" t="str">
        <f>IFERROR(VLOOKUP(I66,Товары_очищенные!$H$2:$J$502,3,0),"Нет в каталоге")</f>
        <v>Аксессуары</v>
      </c>
      <c r="O66" s="4">
        <f>IFERROR(VLOOKUP(I66,Товары_очищенные!$H$2:$M$502,6,0),"")</f>
        <v>6500</v>
      </c>
      <c r="P66" t="str">
        <f t="shared" si="93"/>
        <v xml:space="preserve">Цена отличается от каталога</v>
      </c>
    </row>
    <row r="67">
      <c r="A67" s="3" t="s">
        <v>2100</v>
      </c>
      <c r="B67" s="3" t="s">
        <v>2102</v>
      </c>
      <c r="C67" s="3" t="s">
        <v>1905</v>
      </c>
      <c r="D67" s="3" t="s">
        <v>1911</v>
      </c>
      <c r="E67" s="3" t="s">
        <v>2103</v>
      </c>
      <c r="F67" s="3" t="s">
        <v>1772</v>
      </c>
      <c r="G67" s="3" t="s">
        <v>1918</v>
      </c>
      <c r="H67" s="5">
        <f t="shared" si="89"/>
        <v>45704</v>
      </c>
      <c r="I67" t="str">
        <f t="shared" si="90"/>
        <v>АРТ-327</v>
      </c>
      <c r="J67" s="6">
        <f t="shared" si="91"/>
        <v>1</v>
      </c>
      <c r="K67" s="4">
        <f>VALUE(SUBSTITUTE(SUBSTITUTE(SUBSTITUTE(SUBSTITUTE(D67,"$",""),"€",""),"₽","")," ",""))*IF(ISNUMBER(FIND("$",D67)),Справочники!$H$3,IF(ISNUMBER(FIND("€",D67)),Справочники!$H$4,1))</f>
        <v>7500</v>
      </c>
      <c r="L67" t="str">
        <f>IFERROR(VLOOKUP(TRIM(G67),Справочники!$D$3:$E$13,2,0),"Нет в справочнике")</f>
        <v>Отменен</v>
      </c>
      <c r="M67" t="str">
        <f t="shared" si="92"/>
        <v/>
      </c>
      <c r="N67" t="str">
        <f>IFERROR(VLOOKUP(I67,Товары_очищенные!$H$2:$J$502,3,0),"Нет в каталоге")</f>
        <v>Мониторы</v>
      </c>
      <c r="O67" s="4">
        <f>IFERROR(VLOOKUP(I67,Товары_очищенные!$H$2:$M$502,6,0),"")</f>
        <v>69000</v>
      </c>
      <c r="P67" t="str">
        <f t="shared" si="93"/>
        <v xml:space="preserve">Цена отличается от каталога</v>
      </c>
    </row>
    <row r="68">
      <c r="A68" s="3" t="s">
        <v>2104</v>
      </c>
      <c r="B68" s="3" t="s">
        <v>2105</v>
      </c>
      <c r="C68" s="3" t="s">
        <v>1900</v>
      </c>
      <c r="D68" s="3" t="s">
        <v>1975</v>
      </c>
      <c r="E68" s="3" t="s">
        <v>2106</v>
      </c>
      <c r="F68" s="3" t="s">
        <v>1874</v>
      </c>
      <c r="G68" s="3" t="s">
        <v>1924</v>
      </c>
      <c r="H68" s="5">
        <f t="shared" si="89"/>
        <v>45705</v>
      </c>
      <c r="I68" t="str">
        <f t="shared" si="90"/>
        <v>АРТ-485</v>
      </c>
      <c r="J68" s="6">
        <f t="shared" si="91"/>
        <v>2</v>
      </c>
      <c r="K68" s="4">
        <f>VALUE(SUBSTITUTE(SUBSTITUTE(SUBSTITUTE(SUBSTITUTE(D68,"$",""),"€",""),"₽","")," ",""))*IF(ISNUMBER(FIND("$",D68)),Справочники!$H$3,IF(ISNUMBER(FIND("€",D68)),Справочники!$H$4,1))</f>
        <v>13300</v>
      </c>
      <c r="L68" t="str">
        <f>IFERROR(VLOOKUP(TRIM(G68),Справочники!$D$3:$E$13,2,0),"Нет в справочнике")</f>
        <v>Отменен</v>
      </c>
      <c r="M68" t="str">
        <f t="shared" si="92"/>
        <v/>
      </c>
      <c r="N68" t="str">
        <f>IFERROR(VLOOKUP(I68,Товары_очищенные!$H$2:$J$502,3,0),"Нет в каталоге")</f>
        <v>Смартфоны</v>
      </c>
      <c r="O68" s="4">
        <f>IFERROR(VLOOKUP(I68,Товары_очищенные!$H$2:$M$502,6,0),"")</f>
        <v>32500</v>
      </c>
      <c r="P68" t="str">
        <f t="shared" si="93"/>
        <v xml:space="preserve">Цена отличается от каталога</v>
      </c>
    </row>
    <row r="69">
      <c r="A69" s="3" t="s">
        <v>2104</v>
      </c>
      <c r="B69" s="3" t="s">
        <v>817</v>
      </c>
      <c r="C69" s="3" t="s">
        <v>1930</v>
      </c>
      <c r="D69" s="3" t="s">
        <v>1978</v>
      </c>
      <c r="E69" s="3" t="s">
        <v>2107</v>
      </c>
      <c r="F69" s="3" t="s">
        <v>1601</v>
      </c>
      <c r="G69" s="3" t="s">
        <v>1903</v>
      </c>
      <c r="H69" s="5">
        <f t="shared" si="89"/>
        <v>45705</v>
      </c>
      <c r="I69" t="str">
        <f t="shared" si="90"/>
        <v>АРТ-203</v>
      </c>
      <c r="J69" s="6">
        <f t="shared" si="91"/>
        <v>3</v>
      </c>
      <c r="K69" s="4">
        <f>VALUE(SUBSTITUTE(SUBSTITUTE(SUBSTITUTE(SUBSTITUTE(D69,"$",""),"€",""),"₽","")," ",""))*IF(ISNUMBER(FIND("$",D69)),Справочники!$H$3,IF(ISNUMBER(FIND("€",D69)),Справочники!$H$4,1))</f>
        <v>12000</v>
      </c>
      <c r="L69" t="str">
        <f>IFERROR(VLOOKUP(TRIM(G69),Справочники!$D$3:$E$13,2,0),"Нет в справочнике")</f>
        <v>Завершен</v>
      </c>
      <c r="M69" t="str">
        <f t="shared" si="92"/>
        <v/>
      </c>
      <c r="N69" t="str">
        <f>IFERROR(VLOOKUP(I69,Товары_очищенные!$H$2:$J$502,3,0),"Нет в каталоге")</f>
        <v>Наушники</v>
      </c>
      <c r="O69" s="4">
        <f>IFERROR(VLOOKUP(I69,Товары_очищенные!$H$2:$M$502,6,0),"")</f>
        <v>9200</v>
      </c>
      <c r="P69" t="str">
        <f t="shared" si="93"/>
        <v xml:space="preserve">Цена отличается от каталога</v>
      </c>
    </row>
    <row r="70">
      <c r="A70" s="3" t="s">
        <v>2108</v>
      </c>
      <c r="B70" s="3" t="s">
        <v>2109</v>
      </c>
      <c r="C70" s="3" t="s">
        <v>1938</v>
      </c>
      <c r="D70" s="3" t="s">
        <v>2110</v>
      </c>
      <c r="E70" s="3" t="s">
        <v>2111</v>
      </c>
      <c r="F70" s="3" t="s">
        <v>1721</v>
      </c>
      <c r="G70" s="3" t="s">
        <v>1927</v>
      </c>
      <c r="H70" s="5">
        <f t="shared" si="89"/>
        <v>45706</v>
      </c>
      <c r="I70" t="str">
        <f t="shared" si="90"/>
        <v>АРТ-188</v>
      </c>
      <c r="J70" s="6">
        <f t="shared" si="91"/>
        <v>1</v>
      </c>
      <c r="K70" s="4">
        <f>VALUE(SUBSTITUTE(SUBSTITUTE(SUBSTITUTE(SUBSTITUTE(D70,"$",""),"€",""),"₽","")," ",""))*IF(ISNUMBER(FIND("$",D70)),Справочники!$H$3,IF(ISNUMBER(FIND("€",D70)),Справочники!$H$4,1))</f>
        <v>10500</v>
      </c>
      <c r="L70" t="str">
        <f>IFERROR(VLOOKUP(TRIM(G70),Справочники!$D$3:$E$13,2,0),"Нет в справочнике")</f>
        <v>Возврат</v>
      </c>
      <c r="M70" t="str">
        <f t="shared" si="92"/>
        <v/>
      </c>
      <c r="N70" t="str">
        <f>IFERROR(VLOOKUP(I70,Товары_очищенные!$H$2:$J$502,3,0),"Нет в каталоге")</f>
        <v>Часы</v>
      </c>
      <c r="O70" s="4">
        <f>IFERROR(VLOOKUP(I70,Товары_очищенные!$H$2:$M$502,6,0),"")</f>
        <v>48500</v>
      </c>
      <c r="P70" t="str">
        <f t="shared" si="93"/>
        <v xml:space="preserve">Цена отличается от каталога</v>
      </c>
    </row>
    <row r="71">
      <c r="A71" s="3" t="s">
        <v>2108</v>
      </c>
      <c r="B71" s="3" t="s">
        <v>377</v>
      </c>
      <c r="C71" s="3" t="s">
        <v>1942</v>
      </c>
      <c r="D71" s="3" t="s">
        <v>1964</v>
      </c>
      <c r="E71" s="3" t="s">
        <v>2112</v>
      </c>
      <c r="F71" s="3" t="s">
        <v>1663</v>
      </c>
      <c r="G71" s="3" t="s">
        <v>1908</v>
      </c>
      <c r="H71" s="5">
        <f t="shared" si="89"/>
        <v>45706</v>
      </c>
      <c r="I71" t="str">
        <f t="shared" si="90"/>
        <v>АРТ-079</v>
      </c>
      <c r="J71" s="6">
        <f t="shared" si="91"/>
        <v>-2</v>
      </c>
      <c r="K71" s="4">
        <f>VALUE(SUBSTITUTE(SUBSTITUTE(SUBSTITUTE(SUBSTITUTE(D71,"$",""),"€",""),"₽","")," ",""))*IF(ISNUMBER(FIND("$",D71)),Справочники!$H$3,IF(ISNUMBER(FIND("€",D71)),Справочники!$H$4,1))</f>
        <v>9025</v>
      </c>
      <c r="L71" t="str">
        <f>IFERROR(VLOOKUP(TRIM(G71),Справочники!$D$3:$E$13,2,0),"Нет в справочнике")</f>
        <v>Завершен</v>
      </c>
      <c r="M71" t="str">
        <f t="shared" si="92"/>
        <v/>
      </c>
      <c r="N71" t="str">
        <f>IFERROR(VLOOKUP(I71,Товары_очищенные!$H$2:$J$502,3,0),"Нет в каталоге")</f>
        <v>Планшеты</v>
      </c>
      <c r="O71" s="4">
        <f>IFERROR(VLOOKUP(I71,Товары_очищенные!$H$2:$M$502,6,0),"")</f>
        <v>45999</v>
      </c>
      <c r="P71" t="str">
        <f t="shared" si="93"/>
        <v xml:space="preserve">Цена отличается от каталога</v>
      </c>
    </row>
    <row r="72">
      <c r="A72" s="3" t="s">
        <v>2113</v>
      </c>
      <c r="B72" s="3" t="s">
        <v>2114</v>
      </c>
      <c r="C72" s="3" t="s">
        <v>1900</v>
      </c>
      <c r="D72" s="3" t="s">
        <v>1968</v>
      </c>
      <c r="E72" s="3" t="s">
        <v>2115</v>
      </c>
      <c r="F72" s="3" t="s">
        <v>1802</v>
      </c>
      <c r="G72" s="3" t="s">
        <v>1913</v>
      </c>
      <c r="H72" s="5">
        <f t="shared" si="89"/>
        <v>45707</v>
      </c>
      <c r="I72" t="str">
        <f t="shared" si="90"/>
        <v>АРТ-411</v>
      </c>
      <c r="J72" s="6">
        <f t="shared" si="91"/>
        <v>2</v>
      </c>
      <c r="K72" s="4">
        <f>VALUE(SUBSTITUTE(SUBSTITUTE(SUBSTITUTE(SUBSTITUTE(D72,"$",""),"€",""),"₽","")," ",""))*IF(ISNUMBER(FIND("$",D72)),Справочники!$H$3,IF(ISNUMBER(FIND("€",D72)),Справочники!$H$4,1))</f>
        <v>7500</v>
      </c>
      <c r="L72" t="str">
        <f>IFERROR(VLOOKUP(TRIM(G72),Справочники!$D$3:$E$13,2,0),"Нет в справочнике")</f>
        <v>Завершен</v>
      </c>
      <c r="M72" t="str">
        <f t="shared" si="92"/>
        <v/>
      </c>
      <c r="N72" t="str">
        <f>IFERROR(VLOOKUP(I72,Товары_очищенные!$H$2:$J$502,3,0),"Нет в каталоге")</f>
        <v>Наушники</v>
      </c>
      <c r="O72" s="4">
        <f>IFERROR(VLOOKUP(I72,Товары_очищенные!$H$2:$M$502,6,0),"")</f>
        <v>41500</v>
      </c>
      <c r="P72" t="str">
        <f t="shared" si="93"/>
        <v xml:space="preserve">Цена отличается от каталога</v>
      </c>
    </row>
    <row r="73">
      <c r="A73" s="3" t="s">
        <v>2113</v>
      </c>
      <c r="B73" s="3" t="s">
        <v>2116</v>
      </c>
      <c r="C73" s="3" t="s">
        <v>1905</v>
      </c>
      <c r="D73" s="3" t="s">
        <v>1971</v>
      </c>
      <c r="E73" s="3" t="s">
        <v>2117</v>
      </c>
      <c r="F73" s="3" t="s">
        <v>1868</v>
      </c>
      <c r="G73" s="3" t="s">
        <v>1903</v>
      </c>
      <c r="H73" s="5">
        <f t="shared" si="89"/>
        <v>45707</v>
      </c>
      <c r="I73" t="str">
        <f t="shared" si="90"/>
        <v>АРТ-056</v>
      </c>
      <c r="J73" s="6">
        <f t="shared" si="91"/>
        <v>1</v>
      </c>
      <c r="K73" s="4">
        <f>VALUE(SUBSTITUTE(SUBSTITUTE(SUBSTITUTE(SUBSTITUTE(D73,"$",""),"€",""),"₽","")," ",""))*IF(ISNUMBER(FIND("$",D73)),Справочники!$H$3,IF(ISNUMBER(FIND("€",D73)),Справочники!$H$4,1))</f>
        <v>7000</v>
      </c>
      <c r="L73" t="str">
        <f>IFERROR(VLOOKUP(TRIM(G73),Справочники!$D$3:$E$13,2,0),"Нет в справочнике")</f>
        <v>Завершен</v>
      </c>
      <c r="M73" t="str">
        <f t="shared" si="92"/>
        <v/>
      </c>
      <c r="N73" t="str">
        <f>IFERROR(VLOOKUP(I73,Товары_очищенные!$H$2:$J$502,3,0),"Нет в каталоге")</f>
        <v>Аксессуары</v>
      </c>
      <c r="O73" s="4">
        <f>IFERROR(VLOOKUP(I73,Товары_очищенные!$H$2:$M$502,6,0),"")</f>
        <v>10500</v>
      </c>
      <c r="P73" t="str">
        <f t="shared" si="93"/>
        <v xml:space="preserve">Цена отличается от каталога</v>
      </c>
    </row>
    <row r="74">
      <c r="A74" s="3" t="s">
        <v>2118</v>
      </c>
      <c r="B74" s="3" t="s">
        <v>1092</v>
      </c>
      <c r="C74" s="3" t="s">
        <v>1930</v>
      </c>
      <c r="D74" s="3" t="s">
        <v>1955</v>
      </c>
      <c r="E74" s="3" t="s">
        <v>2119</v>
      </c>
      <c r="F74" s="3" t="s">
        <v>1587</v>
      </c>
      <c r="G74" s="3" t="s">
        <v>1924</v>
      </c>
      <c r="H74" s="5">
        <f t="shared" ref="H74:H99" si="94">DATE(VALUE(RIGHT(A74,4)),VALUE(LEFT(A74,2)),VALUE(MID(A74,4,2)))</f>
        <v>45708</v>
      </c>
      <c r="I74" t="str">
        <f t="shared" ref="I74:I99" si="95">"АРТ-"&amp;TEXT(VALUE(LEFT(SUBSTITUTE(SUBSTITUTE(SUBSTITUTE(SUBSTITUTE(TRIM(B74),"№",""),"АРТ-",""),"АРТ_",""),"АРТ",""),3)),"000")</f>
        <v>АРТ-298</v>
      </c>
      <c r="J74" s="6">
        <f t="shared" ref="J74:J99" si="96">VALUE(TRIM(SUBSTITUTE(SUBSTITUTE(TRIM(C74),"шт.",""),"шт","")))</f>
        <v>3</v>
      </c>
      <c r="K74" s="4">
        <f>VALUE(SUBSTITUTE(SUBSTITUTE(SUBSTITUTE(SUBSTITUTE(D74,"$",""),"€",""),"₽","")," ",""))*IF(ISNUMBER(FIND("$",D74)),Справочники!$H$3,IF(ISNUMBER(FIND("€",D74)),Справочники!$H$4,1))</f>
        <v>12350</v>
      </c>
      <c r="L74" t="str">
        <f>IFERROR(VLOOKUP(TRIM(G74),Справочники!$D$3:$E$13,2,0),"Нет в справочнике")</f>
        <v>Отменен</v>
      </c>
      <c r="M74" t="str">
        <f t="shared" ref="M74:M99" si="97">IF(COUNTIFS($H$2:H74,H74,$I$2:I74,I74,$E$2:E74,E74)&gt;1,"Дубликат","")</f>
        <v/>
      </c>
      <c r="N74" t="str">
        <f>IFERROR(VLOOKUP(I74,Товары_очищенные!$H$2:$J$502,3,0),"Нет в каталоге")</f>
        <v>Телевизоры</v>
      </c>
      <c r="O74" s="4">
        <f>IFERROR(VLOOKUP(I74,Товары_очищенные!$H$2:$M$502,6,0),"")</f>
        <v>65990</v>
      </c>
      <c r="P74" t="str">
        <f t="shared" ref="P74:P99" si="98">IF(O74="","Нет в каталоге",IF(ABS(K74/O74-1)&lt;=0.2,"ОК","Цена отличается от каталога"))</f>
        <v xml:space="preserve">Цена отличается от каталога</v>
      </c>
    </row>
    <row r="75">
      <c r="A75" s="3" t="s">
        <v>2118</v>
      </c>
      <c r="B75" s="3" t="s">
        <v>2120</v>
      </c>
      <c r="C75" s="3" t="s">
        <v>1900</v>
      </c>
      <c r="D75" s="3" t="s">
        <v>1958</v>
      </c>
      <c r="E75" s="3" t="s">
        <v>2121</v>
      </c>
      <c r="F75" s="3" t="s">
        <v>1734</v>
      </c>
      <c r="G75" s="3" t="s">
        <v>1918</v>
      </c>
      <c r="H75" s="5">
        <f t="shared" si="94"/>
        <v>45708</v>
      </c>
      <c r="I75" t="str">
        <f t="shared" si="95"/>
        <v>АРТ-348</v>
      </c>
      <c r="J75" s="6">
        <f t="shared" si="96"/>
        <v>2</v>
      </c>
      <c r="K75" s="4">
        <f>VALUE(SUBSTITUTE(SUBSTITUTE(SUBSTITUTE(SUBSTITUTE(D75,"$",""),"€",""),"₽","")," ",""))*IF(ISNUMBER(FIND("$",D75)),Справочники!$H$3,IF(ISNUMBER(FIND("€",D75)),Справочники!$H$4,1))</f>
        <v>11000</v>
      </c>
      <c r="L75" t="str">
        <f>IFERROR(VLOOKUP(TRIM(G75),Справочники!$D$3:$E$13,2,0),"Нет в справочнике")</f>
        <v>Отменен</v>
      </c>
      <c r="M75" t="str">
        <f t="shared" si="97"/>
        <v/>
      </c>
      <c r="N75" t="str">
        <f>IFERROR(VLOOKUP(I75,Товары_очищенные!$H$2:$J$502,3,0),"Нет в каталоге")</f>
        <v>Наушники</v>
      </c>
      <c r="O75" s="4">
        <f>IFERROR(VLOOKUP(I75,Товары_очищенные!$H$2:$M$502,6,0),"")</f>
        <v>20800</v>
      </c>
      <c r="P75" t="str">
        <f t="shared" si="98"/>
        <v xml:space="preserve">Цена отличается от каталога</v>
      </c>
    </row>
    <row r="76">
      <c r="A76" s="3" t="s">
        <v>2122</v>
      </c>
      <c r="B76" s="3" t="s">
        <v>2123</v>
      </c>
      <c r="C76" s="3" t="s">
        <v>1938</v>
      </c>
      <c r="D76" s="3" t="s">
        <v>2124</v>
      </c>
      <c r="E76" s="3" t="s">
        <v>2125</v>
      </c>
      <c r="F76" s="3" t="s">
        <v>1649</v>
      </c>
      <c r="G76" s="3" t="s">
        <v>1927</v>
      </c>
      <c r="H76" s="5">
        <f t="shared" si="94"/>
        <v>45709</v>
      </c>
      <c r="I76" t="str">
        <f t="shared" si="95"/>
        <v>АРТ-241</v>
      </c>
      <c r="J76" s="6">
        <f t="shared" si="96"/>
        <v>1</v>
      </c>
      <c r="K76" s="4">
        <f>VALUE(SUBSTITUTE(SUBSTITUTE(SUBSTITUTE(SUBSTITUTE(D76,"$",""),"€",""),"₽","")," ",""))*IF(ISNUMBER(FIND("$",D76)),Справочники!$H$3,IF(ISNUMBER(FIND("€",D76)),Справочники!$H$4,1))</f>
        <v>9800</v>
      </c>
      <c r="L76" t="str">
        <f>IFERROR(VLOOKUP(TRIM(G76),Справочники!$D$3:$E$13,2,0),"Нет в справочнике")</f>
        <v>Возврат</v>
      </c>
      <c r="M76" t="str">
        <f t="shared" si="97"/>
        <v/>
      </c>
      <c r="N76" t="str">
        <f>IFERROR(VLOOKUP(I76,Товары_очищенные!$H$2:$J$502,3,0),"Нет в каталоге")</f>
        <v>Наушники</v>
      </c>
      <c r="O76" s="4">
        <f>IFERROR(VLOOKUP(I76,Товары_очищенные!$H$2:$M$502,6,0),"")</f>
        <v>59990</v>
      </c>
      <c r="P76" t="str">
        <f t="shared" si="98"/>
        <v xml:space="preserve">Цена отличается от каталога</v>
      </c>
    </row>
    <row r="77">
      <c r="A77" s="3" t="s">
        <v>2122</v>
      </c>
      <c r="B77" s="3" t="s">
        <v>2126</v>
      </c>
      <c r="C77" s="3" t="s">
        <v>1985</v>
      </c>
      <c r="D77" s="3" t="s">
        <v>2004</v>
      </c>
      <c r="E77" s="3" t="s">
        <v>2127</v>
      </c>
      <c r="F77" s="3" t="s">
        <v>1784</v>
      </c>
      <c r="G77" s="3" t="s">
        <v>1903</v>
      </c>
      <c r="H77" s="5">
        <f t="shared" si="94"/>
        <v>45709</v>
      </c>
      <c r="I77" t="str">
        <f t="shared" si="95"/>
        <v>АРТ-132</v>
      </c>
      <c r="J77" s="6">
        <f t="shared" si="96"/>
        <v>-3</v>
      </c>
      <c r="K77" s="4">
        <f>VALUE(SUBSTITUTE(SUBSTITUTE(SUBSTITUTE(SUBSTITUTE(D77,"$",""),"€",""),"₽","")," ",""))*IF(ISNUMBER(FIND("$",D77)),Справочники!$H$3,IF(ISNUMBER(FIND("€",D77)),Справочники!$H$4,1))</f>
        <v>8075</v>
      </c>
      <c r="L77" t="str">
        <f>IFERROR(VLOOKUP(TRIM(G77),Справочники!$D$3:$E$13,2,0),"Нет в справочнике")</f>
        <v>Завершен</v>
      </c>
      <c r="M77" t="str">
        <f t="shared" si="97"/>
        <v/>
      </c>
      <c r="N77" t="str">
        <f>IFERROR(VLOOKUP(I77,Товары_очищенные!$H$2:$J$502,3,0),"Нет в каталоге")</f>
        <v>Планшеты</v>
      </c>
      <c r="O77" s="4">
        <f>IFERROR(VLOOKUP(I77,Товары_очищенные!$H$2:$M$502,6,0),"")</f>
        <v>44500</v>
      </c>
      <c r="P77" t="str">
        <f t="shared" si="98"/>
        <v xml:space="preserve">Цена отличается от каталога</v>
      </c>
    </row>
    <row r="78">
      <c r="A78" s="3" t="s">
        <v>2128</v>
      </c>
      <c r="B78" s="3" t="s">
        <v>1536</v>
      </c>
      <c r="C78" s="3" t="s">
        <v>1905</v>
      </c>
      <c r="D78" s="3" t="s">
        <v>2008</v>
      </c>
      <c r="E78" s="3" t="s">
        <v>2129</v>
      </c>
      <c r="F78" s="3" t="s">
        <v>1844</v>
      </c>
      <c r="G78" s="3" t="s">
        <v>1908</v>
      </c>
      <c r="H78" s="5">
        <f t="shared" si="94"/>
        <v>45710</v>
      </c>
      <c r="I78" t="str">
        <f t="shared" si="95"/>
        <v>АРТ-494</v>
      </c>
      <c r="J78" s="6">
        <f t="shared" si="96"/>
        <v>1</v>
      </c>
      <c r="K78" s="4">
        <f>VALUE(SUBSTITUTE(SUBSTITUTE(SUBSTITUTE(SUBSTITUTE(D78,"$",""),"€",""),"₽","")," ",""))*IF(ISNUMBER(FIND("$",D78)),Справочники!$H$3,IF(ISNUMBER(FIND("€",D78)),Справочники!$H$4,1))</f>
        <v>6500</v>
      </c>
      <c r="L78" t="str">
        <f>IFERROR(VLOOKUP(TRIM(G78),Справочники!$D$3:$E$13,2,0),"Нет в справочнике")</f>
        <v>Завершен</v>
      </c>
      <c r="M78" t="str">
        <f t="shared" si="97"/>
        <v/>
      </c>
      <c r="N78" t="str">
        <f>IFERROR(VLOOKUP(I78,Товары_очищенные!$H$2:$J$502,3,0),"Нет в каталоге")</f>
        <v>Наушники</v>
      </c>
      <c r="O78" s="4">
        <f>IFERROR(VLOOKUP(I78,Товары_очищенные!$H$2:$M$502,6,0),"")</f>
        <v>14000</v>
      </c>
      <c r="P78" t="str">
        <f t="shared" si="98"/>
        <v xml:space="preserve">Цена отличается от каталога</v>
      </c>
    </row>
    <row r="79">
      <c r="A79" s="3" t="s">
        <v>2128</v>
      </c>
      <c r="B79" s="3" t="s">
        <v>2130</v>
      </c>
      <c r="C79" s="3" t="s">
        <v>1900</v>
      </c>
      <c r="D79" s="3" t="s">
        <v>2011</v>
      </c>
      <c r="E79" s="3" t="s">
        <v>2131</v>
      </c>
      <c r="F79" s="3" t="s">
        <v>1566</v>
      </c>
      <c r="G79" s="3" t="s">
        <v>1913</v>
      </c>
      <c r="H79" s="5">
        <f t="shared" si="94"/>
        <v>45710</v>
      </c>
      <c r="I79" t="str">
        <f t="shared" si="95"/>
        <v>АРТ-032</v>
      </c>
      <c r="J79" s="6">
        <f t="shared" si="96"/>
        <v>2</v>
      </c>
      <c r="K79" s="4">
        <f>VALUE(SUBSTITUTE(SUBSTITUTE(SUBSTITUTE(SUBSTITUTE(D79,"$",""),"€",""),"₽","")," ",""))*IF(ISNUMBER(FIND("$",D79)),Справочники!$H$3,IF(ISNUMBER(FIND("€",D79)),Справочники!$H$4,1))</f>
        <v>6000</v>
      </c>
      <c r="L79" t="str">
        <f>IFERROR(VLOOKUP(TRIM(G79),Справочники!$D$3:$E$13,2,0),"Нет в справочнике")</f>
        <v>Завершен</v>
      </c>
      <c r="M79" t="str">
        <f t="shared" si="97"/>
        <v/>
      </c>
      <c r="N79" t="str">
        <f>IFERROR(VLOOKUP(I79,Товары_очищенные!$H$2:$J$502,3,0),"Нет в каталоге")</f>
        <v>Аксессуары</v>
      </c>
      <c r="O79" s="4">
        <f>IFERROR(VLOOKUP(I79,Товары_очищенные!$H$2:$M$502,6,0),"")</f>
        <v>8500</v>
      </c>
      <c r="P79" t="str">
        <f t="shared" si="98"/>
        <v xml:space="preserve">Цена отличается от каталога</v>
      </c>
    </row>
    <row r="80">
      <c r="A80" s="3" t="s">
        <v>2132</v>
      </c>
      <c r="B80" s="3" t="s">
        <v>2133</v>
      </c>
      <c r="C80" s="3" t="s">
        <v>1930</v>
      </c>
      <c r="D80" s="3" t="s">
        <v>1916</v>
      </c>
      <c r="E80" s="3" t="s">
        <v>2134</v>
      </c>
      <c r="F80" s="3" t="s">
        <v>1701</v>
      </c>
      <c r="G80" s="3" t="s">
        <v>1918</v>
      </c>
      <c r="H80" s="5">
        <f t="shared" si="94"/>
        <v>45711</v>
      </c>
      <c r="I80" t="str">
        <f t="shared" si="95"/>
        <v>АРТ-266</v>
      </c>
      <c r="J80" s="6">
        <f t="shared" si="96"/>
        <v>3</v>
      </c>
      <c r="K80" s="4">
        <f>VALUE(SUBSTITUTE(SUBSTITUTE(SUBSTITUTE(SUBSTITUTE(D80,"$",""),"€",""),"₽","")," ",""))*IF(ISNUMBER(FIND("$",D80)),Справочники!$H$3,IF(ISNUMBER(FIND("€",D80)),Справочники!$H$4,1))</f>
        <v>10450</v>
      </c>
      <c r="L80" t="str">
        <f>IFERROR(VLOOKUP(TRIM(G80),Справочники!$D$3:$E$13,2,0),"Нет в справочнике")</f>
        <v>Отменен</v>
      </c>
      <c r="M80" t="str">
        <f t="shared" si="97"/>
        <v/>
      </c>
      <c r="N80" t="str">
        <f>IFERROR(VLOOKUP(I80,Товары_очищенные!$H$2:$J$502,3,0),"Нет в каталоге")</f>
        <v>Мониторы</v>
      </c>
      <c r="O80" s="4">
        <f>IFERROR(VLOOKUP(I80,Товары_очищенные!$H$2:$M$502,6,0),"")</f>
        <v>65500</v>
      </c>
      <c r="P80" t="str">
        <f t="shared" si="98"/>
        <v xml:space="preserve">Цена отличается от каталога</v>
      </c>
    </row>
    <row r="81">
      <c r="A81" s="3" t="s">
        <v>2132</v>
      </c>
      <c r="B81" s="3" t="s">
        <v>751</v>
      </c>
      <c r="C81" s="3" t="s">
        <v>1905</v>
      </c>
      <c r="D81" s="3" t="s">
        <v>1922</v>
      </c>
      <c r="E81" s="3" t="s">
        <v>2135</v>
      </c>
      <c r="F81" s="3" t="s">
        <v>1814</v>
      </c>
      <c r="G81" s="3" t="s">
        <v>1924</v>
      </c>
      <c r="H81" s="5">
        <f t="shared" si="94"/>
        <v>45711</v>
      </c>
      <c r="I81" t="str">
        <f t="shared" si="95"/>
        <v>АРТ-182</v>
      </c>
      <c r="J81" s="6">
        <f t="shared" si="96"/>
        <v>1</v>
      </c>
      <c r="K81" s="4">
        <f>VALUE(SUBSTITUTE(SUBSTITUTE(SUBSTITUTE(SUBSTITUTE(D81,"$",""),"€",""),"₽","")," ",""))*IF(ISNUMBER(FIND("$",D81)),Справочники!$H$3,IF(ISNUMBER(FIND("€",D81)),Справочники!$H$4,1))</f>
        <v>9000</v>
      </c>
      <c r="L81" t="str">
        <f>IFERROR(VLOOKUP(TRIM(G81),Справочники!$D$3:$E$13,2,0),"Нет в справочнике")</f>
        <v>Отменен</v>
      </c>
      <c r="M81" t="str">
        <f t="shared" si="97"/>
        <v/>
      </c>
      <c r="N81" t="str">
        <f>IFERROR(VLOOKUP(I81,Товары_очищенные!$H$2:$J$502,3,0),"Нет в каталоге")</f>
        <v>Мониторы</v>
      </c>
      <c r="O81" s="4">
        <f>IFERROR(VLOOKUP(I81,Товары_очищенные!$H$2:$M$502,6,0),"")</f>
        <v>166500</v>
      </c>
      <c r="P81" t="str">
        <f t="shared" si="98"/>
        <v xml:space="preserve">Цена отличается от каталога</v>
      </c>
    </row>
    <row r="82">
      <c r="A82" s="3" t="s">
        <v>2136</v>
      </c>
      <c r="B82" s="3" t="s">
        <v>1342</v>
      </c>
      <c r="C82" s="3" t="s">
        <v>2020</v>
      </c>
      <c r="D82" s="3" t="s">
        <v>1925</v>
      </c>
      <c r="E82" s="3" t="s">
        <v>2137</v>
      </c>
      <c r="F82" s="3" t="s">
        <v>1880</v>
      </c>
      <c r="G82" s="3" t="s">
        <v>1903</v>
      </c>
      <c r="H82" s="5">
        <f t="shared" si="94"/>
        <v>45712</v>
      </c>
      <c r="I82" t="str">
        <f t="shared" si="95"/>
        <v>АРТ-405</v>
      </c>
      <c r="J82" s="6">
        <f t="shared" si="96"/>
        <v>2</v>
      </c>
      <c r="K82" s="4">
        <f>VALUE(SUBSTITUTE(SUBSTITUTE(SUBSTITUTE(SUBSTITUTE(D82,"$",""),"€",""),"₽","")," ",""))*IF(ISNUMBER(FIND("$",D82)),Справочники!$H$3,IF(ISNUMBER(FIND("€",D82)),Справочники!$H$4,1))</f>
        <v>8000</v>
      </c>
      <c r="L82" t="str">
        <f>IFERROR(VLOOKUP(TRIM(G82),Справочники!$D$3:$E$13,2,0),"Нет в справочнике")</f>
        <v>Завершен</v>
      </c>
      <c r="M82" t="str">
        <f t="shared" si="97"/>
        <v/>
      </c>
      <c r="N82" t="str">
        <f>IFERROR(VLOOKUP(I82,Товары_очищенные!$H$2:$J$502,3,0),"Нет в каталоге")</f>
        <v>Планшеты</v>
      </c>
      <c r="O82" s="4">
        <f>IFERROR(VLOOKUP(I82,Товары_очищенные!$H$2:$M$502,6,0),"")</f>
        <v>21000</v>
      </c>
      <c r="P82" t="str">
        <f t="shared" si="98"/>
        <v xml:space="preserve">Цена отличается от каталога</v>
      </c>
    </row>
    <row r="83">
      <c r="A83" s="3" t="s">
        <v>2136</v>
      </c>
      <c r="B83" s="3" t="s">
        <v>2138</v>
      </c>
      <c r="C83" s="3" t="s">
        <v>1915</v>
      </c>
      <c r="D83" s="3" t="s">
        <v>1901</v>
      </c>
      <c r="E83" s="3" t="s">
        <v>2139</v>
      </c>
      <c r="F83" s="3" t="s">
        <v>1636</v>
      </c>
      <c r="G83" s="3" t="s">
        <v>1927</v>
      </c>
      <c r="H83" s="5">
        <f t="shared" si="94"/>
        <v>45712</v>
      </c>
      <c r="I83" t="str">
        <f t="shared" si="95"/>
        <v>АРТ-059</v>
      </c>
      <c r="J83" s="6">
        <f t="shared" si="96"/>
        <v>-1</v>
      </c>
      <c r="K83" s="4">
        <f>VALUE(SUBSTITUTE(SUBSTITUTE(SUBSTITUTE(SUBSTITUTE(D83,"$",""),"€",""),"₽","")," ",""))*IF(ISNUMBER(FIND("$",D83)),Справочники!$H$3,IF(ISNUMBER(FIND("€",D83)),Справочники!$H$4,1))</f>
        <v>9500</v>
      </c>
      <c r="L83" t="str">
        <f>IFERROR(VLOOKUP(TRIM(G83),Справочники!$D$3:$E$13,2,0),"Нет в справочнике")</f>
        <v>Возврат</v>
      </c>
      <c r="M83" t="str">
        <f t="shared" si="97"/>
        <v/>
      </c>
      <c r="N83" t="str">
        <f>IFERROR(VLOOKUP(I83,Товары_очищенные!$H$2:$J$502,3,0),"Нет в каталоге")</f>
        <v>Планшеты</v>
      </c>
      <c r="O83" s="4">
        <f>IFERROR(VLOOKUP(I83,Товары_очищенные!$H$2:$M$502,6,0),"")</f>
        <v>66000</v>
      </c>
      <c r="P83" t="str">
        <f t="shared" si="98"/>
        <v xml:space="preserve">Цена отличается от каталога</v>
      </c>
    </row>
    <row r="84">
      <c r="A84" s="3" t="s">
        <v>2140</v>
      </c>
      <c r="B84" s="3" t="s">
        <v>2141</v>
      </c>
      <c r="C84" s="3" t="s">
        <v>1930</v>
      </c>
      <c r="D84" s="3" t="s">
        <v>1948</v>
      </c>
      <c r="E84" s="3" t="s">
        <v>2142</v>
      </c>
      <c r="F84" s="3" t="s">
        <v>1740</v>
      </c>
      <c r="G84" s="3" t="s">
        <v>1908</v>
      </c>
      <c r="H84" s="5">
        <f t="shared" si="94"/>
        <v>45713</v>
      </c>
      <c r="I84" t="str">
        <f t="shared" si="95"/>
        <v>АРТ-319</v>
      </c>
      <c r="J84" s="6">
        <f t="shared" si="96"/>
        <v>3</v>
      </c>
      <c r="K84" s="4">
        <f>VALUE(SUBSTITUTE(SUBSTITUTE(SUBSTITUTE(SUBSTITUTE(D84,"$",""),"€",""),"₽","")," ",""))*IF(ISNUMBER(FIND("$",D84)),Справочники!$H$3,IF(ISNUMBER(FIND("€",D84)),Справочники!$H$4,1))</f>
        <v>8000</v>
      </c>
      <c r="L84" t="str">
        <f>IFERROR(VLOOKUP(TRIM(G84),Справочники!$D$3:$E$13,2,0),"Нет в справочнике")</f>
        <v>Завершен</v>
      </c>
      <c r="M84" t="str">
        <f t="shared" si="97"/>
        <v/>
      </c>
      <c r="N84" t="str">
        <f>IFERROR(VLOOKUP(I84,Товары_очищенные!$H$2:$J$502,3,0),"Нет в каталоге")</f>
        <v>Телевизоры</v>
      </c>
      <c r="O84" s="4">
        <f>IFERROR(VLOOKUP(I84,Товары_очищенные!$H$2:$M$502,6,0),"")</f>
        <v>184990</v>
      </c>
      <c r="P84" t="str">
        <f t="shared" si="98"/>
        <v xml:space="preserve">Цена отличается от каталога</v>
      </c>
    </row>
    <row r="85">
      <c r="A85" s="3" t="s">
        <v>2140</v>
      </c>
      <c r="B85" s="3" t="s">
        <v>2143</v>
      </c>
      <c r="C85" s="3" t="s">
        <v>1905</v>
      </c>
      <c r="D85" s="3" t="s">
        <v>1911</v>
      </c>
      <c r="E85" s="3" t="s">
        <v>2144</v>
      </c>
      <c r="F85" s="3" t="s">
        <v>1682</v>
      </c>
      <c r="G85" s="3" t="s">
        <v>1913</v>
      </c>
      <c r="H85" s="5">
        <f t="shared" si="94"/>
        <v>45713</v>
      </c>
      <c r="I85" t="str">
        <f t="shared" si="95"/>
        <v>АРТ-147</v>
      </c>
      <c r="J85" s="6">
        <f t="shared" si="96"/>
        <v>1</v>
      </c>
      <c r="K85" s="4">
        <f>VALUE(SUBSTITUTE(SUBSTITUTE(SUBSTITUTE(SUBSTITUTE(D85,"$",""),"€",""),"₽","")," ",""))*IF(ISNUMBER(FIND("$",D85)),Справочники!$H$3,IF(ISNUMBER(FIND("€",D85)),Справочники!$H$4,1))</f>
        <v>7500</v>
      </c>
      <c r="L85" t="str">
        <f>IFERROR(VLOOKUP(TRIM(G85),Справочники!$D$3:$E$13,2,0),"Нет в справочнике")</f>
        <v>Завершен</v>
      </c>
      <c r="M85" t="str">
        <f t="shared" si="97"/>
        <v/>
      </c>
      <c r="N85" t="str">
        <f>IFERROR(VLOOKUP(I85,Товары_очищенные!$H$2:$J$502,3,0),"Нет в каталоге")</f>
        <v>Смартфоны</v>
      </c>
      <c r="O85" s="4">
        <f>IFERROR(VLOOKUP(I85,Товары_очищенные!$H$2:$M$502,6,0),"")</f>
        <v>47500</v>
      </c>
      <c r="P85" t="str">
        <f t="shared" si="98"/>
        <v xml:space="preserve">Цена отличается от каталога</v>
      </c>
    </row>
    <row r="86">
      <c r="A86" s="3" t="s">
        <v>2145</v>
      </c>
      <c r="B86" s="3" t="s">
        <v>1306</v>
      </c>
      <c r="C86" s="3" t="s">
        <v>1900</v>
      </c>
      <c r="D86" s="3" t="s">
        <v>2146</v>
      </c>
      <c r="E86" s="3" t="s">
        <v>2147</v>
      </c>
      <c r="F86" s="3" t="s">
        <v>1820</v>
      </c>
      <c r="G86" s="3" t="s">
        <v>1903</v>
      </c>
      <c r="H86" s="5">
        <f t="shared" si="94"/>
        <v>45714</v>
      </c>
      <c r="I86" t="str">
        <f t="shared" si="95"/>
        <v>АРТ-388</v>
      </c>
      <c r="J86" s="6">
        <f t="shared" si="96"/>
        <v>2</v>
      </c>
      <c r="K86" s="4">
        <f>VALUE(SUBSTITUTE(SUBSTITUTE(SUBSTITUTE(SUBSTITUTE(D86,"$",""),"€",""),"₽","")," ",""))*IF(ISNUMBER(FIND("$",D86)),Справочники!$H$3,IF(ISNUMBER(FIND("€",D86)),Справочники!$H$4,1))</f>
        <v>13775</v>
      </c>
      <c r="L86" t="str">
        <f>IFERROR(VLOOKUP(TRIM(G86),Справочники!$D$3:$E$13,2,0),"Нет в справочнике")</f>
        <v>Завершен</v>
      </c>
      <c r="M86" t="str">
        <f t="shared" si="97"/>
        <v/>
      </c>
      <c r="N86" t="str">
        <f>IFERROR(VLOOKUP(I86,Товары_очищенные!$H$2:$J$502,3,0),"Нет в каталоге")</f>
        <v>Телевизоры</v>
      </c>
      <c r="O86" s="4">
        <f>IFERROR(VLOOKUP(I86,Товары_очищенные!$H$2:$M$502,6,0),"")</f>
        <v>77990</v>
      </c>
      <c r="P86" t="str">
        <f t="shared" si="98"/>
        <v xml:space="preserve">Цена отличается от каталога</v>
      </c>
    </row>
    <row r="87">
      <c r="A87" s="3" t="s">
        <v>2145</v>
      </c>
      <c r="B87" s="3" t="s">
        <v>907</v>
      </c>
      <c r="C87" s="3" t="s">
        <v>1905</v>
      </c>
      <c r="D87" s="3" t="s">
        <v>2148</v>
      </c>
      <c r="E87" s="3" t="s">
        <v>2149</v>
      </c>
      <c r="F87" s="3" t="s">
        <v>1580</v>
      </c>
      <c r="G87" s="3" t="s">
        <v>1924</v>
      </c>
      <c r="H87" s="5">
        <f t="shared" si="94"/>
        <v>45714</v>
      </c>
      <c r="I87" t="str">
        <f t="shared" si="95"/>
        <v>АРТ-233</v>
      </c>
      <c r="J87" s="6">
        <f t="shared" si="96"/>
        <v>1</v>
      </c>
      <c r="K87" s="4">
        <f>VALUE(SUBSTITUTE(SUBSTITUTE(SUBSTITUTE(SUBSTITUTE(D87,"$",""),"€",""),"₽","")," ",""))*IF(ISNUMBER(FIND("$",D87)),Справочники!$H$3,IF(ISNUMBER(FIND("€",D87)),Справочники!$H$4,1))</f>
        <v>12500</v>
      </c>
      <c r="L87" t="str">
        <f>IFERROR(VLOOKUP(TRIM(G87),Справочники!$D$3:$E$13,2,0),"Нет в справочнике")</f>
        <v>Отменен</v>
      </c>
      <c r="M87" t="str">
        <f t="shared" si="97"/>
        <v/>
      </c>
      <c r="N87" t="str">
        <f>IFERROR(VLOOKUP(I87,Товары_очищенные!$H$2:$J$502,3,0),"Нет в каталоге")</f>
        <v>Смартфоны</v>
      </c>
      <c r="O87" s="4">
        <f>IFERROR(VLOOKUP(I87,Товары_очищенные!$H$2:$M$502,6,0),"")</f>
        <v>41500</v>
      </c>
      <c r="P87" t="str">
        <f t="shared" si="98"/>
        <v xml:space="preserve">Цена отличается от каталога</v>
      </c>
    </row>
    <row r="88">
      <c r="A88" s="3" t="s">
        <v>2150</v>
      </c>
      <c r="B88" s="3" t="s">
        <v>2151</v>
      </c>
      <c r="C88" s="3" t="s">
        <v>1910</v>
      </c>
      <c r="D88" s="3" t="s">
        <v>2152</v>
      </c>
      <c r="E88" s="3" t="s">
        <v>2153</v>
      </c>
      <c r="F88" s="3" t="s">
        <v>1727</v>
      </c>
      <c r="G88" s="3" t="s">
        <v>1918</v>
      </c>
      <c r="H88" s="5">
        <f t="shared" si="94"/>
        <v>45715</v>
      </c>
      <c r="I88" t="str">
        <f t="shared" si="95"/>
        <v>АРТ-271</v>
      </c>
      <c r="J88" s="6">
        <f t="shared" si="96"/>
        <v>3</v>
      </c>
      <c r="K88" s="4">
        <f>VALUE(SUBSTITUTE(SUBSTITUTE(SUBSTITUTE(SUBSTITUTE(D88,"$",""),"€",""),"₽","")," ",""))*IF(ISNUMBER(FIND("$",D88)),Справочники!$H$3,IF(ISNUMBER(FIND("€",D88)),Справочники!$H$4,1))</f>
        <v>11000</v>
      </c>
      <c r="L88" t="str">
        <f>IFERROR(VLOOKUP(TRIM(G88),Справочники!$D$3:$E$13,2,0),"Нет в справочнике")</f>
        <v>Отменен</v>
      </c>
      <c r="M88" t="str">
        <f t="shared" si="97"/>
        <v/>
      </c>
      <c r="N88" t="str">
        <f>IFERROR(VLOOKUP(I88,Товары_очищенные!$H$2:$J$502,3,0),"Нет в каталоге")</f>
        <v>Смартфоны</v>
      </c>
      <c r="O88" s="4">
        <f>IFERROR(VLOOKUP(I88,Товары_очищенные!$H$2:$M$502,6,0),"")</f>
        <v>44990</v>
      </c>
      <c r="P88" t="str">
        <f t="shared" si="98"/>
        <v xml:space="preserve">Цена отличается от каталога</v>
      </c>
    </row>
    <row r="89">
      <c r="A89" s="3" t="s">
        <v>2150</v>
      </c>
      <c r="B89" s="3" t="s">
        <v>96</v>
      </c>
      <c r="C89" s="3" t="s">
        <v>1942</v>
      </c>
      <c r="D89" s="3" t="s">
        <v>1986</v>
      </c>
      <c r="E89" s="3" t="s">
        <v>2154</v>
      </c>
      <c r="F89" s="3" t="s">
        <v>1629</v>
      </c>
      <c r="G89" s="3" t="s">
        <v>1927</v>
      </c>
      <c r="H89" s="5">
        <f t="shared" si="94"/>
        <v>45715</v>
      </c>
      <c r="I89" t="str">
        <f t="shared" si="95"/>
        <v>АРТ-016</v>
      </c>
      <c r="J89" s="6">
        <f t="shared" si="96"/>
        <v>-2</v>
      </c>
      <c r="K89" s="4">
        <f>VALUE(SUBSTITUTE(SUBSTITUTE(SUBSTITUTE(SUBSTITUTE(D89,"$",""),"€",""),"₽","")," ",""))*IF(ISNUMBER(FIND("$",D89)),Справочники!$H$3,IF(ISNUMBER(FIND("€",D89)),Справочники!$H$4,1))</f>
        <v>8550</v>
      </c>
      <c r="L89" t="str">
        <f>IFERROR(VLOOKUP(TRIM(G89),Справочники!$D$3:$E$13,2,0),"Нет в справочнике")</f>
        <v>Возврат</v>
      </c>
      <c r="M89" t="str">
        <f t="shared" si="97"/>
        <v/>
      </c>
      <c r="N89" t="str">
        <f>IFERROR(VLOOKUP(I89,Товары_очищенные!$H$2:$J$502,3,0),"Нет в каталоге")</f>
        <v>Наушники</v>
      </c>
      <c r="O89" s="4">
        <f>IFERROR(VLOOKUP(I89,Товары_очищенные!$H$2:$M$502,6,0),"")</f>
        <v>29990</v>
      </c>
      <c r="P89" t="str">
        <f t="shared" si="98"/>
        <v xml:space="preserve">Цена отличается от каталога</v>
      </c>
    </row>
    <row r="90">
      <c r="A90" s="3" t="s">
        <v>2155</v>
      </c>
      <c r="B90" s="3" t="s">
        <v>2156</v>
      </c>
      <c r="C90" s="3" t="s">
        <v>1900</v>
      </c>
      <c r="D90" s="3" t="s">
        <v>1989</v>
      </c>
      <c r="E90" s="3" t="s">
        <v>2157</v>
      </c>
      <c r="F90" s="3" t="s">
        <v>1778</v>
      </c>
      <c r="G90" s="3" t="s">
        <v>1903</v>
      </c>
      <c r="H90" s="5">
        <f t="shared" si="94"/>
        <v>45716</v>
      </c>
      <c r="I90" t="str">
        <f t="shared" si="95"/>
        <v>АРТ-369</v>
      </c>
      <c r="J90" s="6">
        <f t="shared" si="96"/>
        <v>2</v>
      </c>
      <c r="K90" s="4">
        <f>VALUE(SUBSTITUTE(SUBSTITUTE(SUBSTITUTE(SUBSTITUTE(D90,"$",""),"€",""),"₽","")," ",""))*IF(ISNUMBER(FIND("$",D90)),Справочники!$H$3,IF(ISNUMBER(FIND("€",D90)),Справочники!$H$4,1))</f>
        <v>7000</v>
      </c>
      <c r="L90" t="str">
        <f>IFERROR(VLOOKUP(TRIM(G90),Справочники!$D$3:$E$13,2,0),"Нет в справочнике")</f>
        <v>Завершен</v>
      </c>
      <c r="M90" t="str">
        <f t="shared" si="97"/>
        <v/>
      </c>
      <c r="N90" t="str">
        <f>IFERROR(VLOOKUP(I90,Товары_очищенные!$H$2:$J$502,3,0),"Нет в каталоге")</f>
        <v>Наушники</v>
      </c>
      <c r="O90" s="4">
        <f>IFERROR(VLOOKUP(I90,Товары_очищенные!$H$2:$M$502,6,0),"")</f>
        <v>20800</v>
      </c>
      <c r="P90" t="str">
        <f t="shared" si="98"/>
        <v xml:space="preserve">Цена отличается от каталога</v>
      </c>
    </row>
    <row r="91">
      <c r="A91" s="3" t="s">
        <v>2155</v>
      </c>
      <c r="B91" s="3" t="s">
        <v>2158</v>
      </c>
      <c r="C91" s="3" t="s">
        <v>1905</v>
      </c>
      <c r="D91" s="3" t="s">
        <v>1939</v>
      </c>
      <c r="E91" s="3" t="s">
        <v>2159</v>
      </c>
      <c r="F91" s="3" t="s">
        <v>1862</v>
      </c>
      <c r="G91" s="3" t="s">
        <v>1908</v>
      </c>
      <c r="H91" s="5">
        <f t="shared" si="94"/>
        <v>45716</v>
      </c>
      <c r="I91" t="str">
        <f t="shared" si="95"/>
        <v>АРТ-104</v>
      </c>
      <c r="J91" s="6">
        <f t="shared" si="96"/>
        <v>1</v>
      </c>
      <c r="K91" s="4">
        <f>VALUE(SUBSTITUTE(SUBSTITUTE(SUBSTITUTE(SUBSTITUTE(D91,"$",""),"€",""),"₽","")," ",""))*IF(ISNUMBER(FIND("$",D91)),Справочники!$H$3,IF(ISNUMBER(FIND("€",D91)),Справочники!$H$4,1))</f>
        <v>6500</v>
      </c>
      <c r="L91" t="str">
        <f>IFERROR(VLOOKUP(TRIM(G91),Справочники!$D$3:$E$13,2,0),"Нет в справочнике")</f>
        <v>Завершен</v>
      </c>
      <c r="M91" t="str">
        <f t="shared" si="97"/>
        <v/>
      </c>
      <c r="N91" t="str">
        <f>IFERROR(VLOOKUP(I91,Товары_очищенные!$H$2:$J$502,3,0),"Нет в каталоге")</f>
        <v>Ноутбуки</v>
      </c>
      <c r="O91" s="4">
        <f>IFERROR(VLOOKUP(I91,Товары_очищенные!$H$2:$M$502,6,0),"")</f>
        <v>147000</v>
      </c>
      <c r="P91" t="str">
        <f t="shared" si="98"/>
        <v xml:space="preserve">Цена отличается от каталога</v>
      </c>
    </row>
    <row r="92">
      <c r="A92" s="3" t="s">
        <v>2160</v>
      </c>
      <c r="B92" s="3" t="s">
        <v>2161</v>
      </c>
      <c r="C92" s="3" t="s">
        <v>1930</v>
      </c>
      <c r="D92" s="3" t="s">
        <v>1931</v>
      </c>
      <c r="E92" s="3" t="s">
        <v>2162</v>
      </c>
      <c r="F92" s="3" t="s">
        <v>1695</v>
      </c>
      <c r="G92" s="3" t="s">
        <v>1913</v>
      </c>
      <c r="H92" s="5">
        <f t="shared" si="94"/>
        <v>45717</v>
      </c>
      <c r="I92" t="str">
        <f t="shared" si="95"/>
        <v>АРТ-452</v>
      </c>
      <c r="J92" s="6">
        <f t="shared" si="96"/>
        <v>3</v>
      </c>
      <c r="K92" s="4">
        <f>VALUE(SUBSTITUTE(SUBSTITUTE(SUBSTITUTE(SUBSTITUTE(D92,"$",""),"€",""),"₽","")," ",""))*IF(ISNUMBER(FIND("$",D92)),Справочники!$H$3,IF(ISNUMBER(FIND("€",D92)),Справочники!$H$4,1))</f>
        <v>9975</v>
      </c>
      <c r="L92" t="str">
        <f>IFERROR(VLOOKUP(TRIM(G92),Справочники!$D$3:$E$13,2,0),"Нет в справочнике")</f>
        <v>Завершен</v>
      </c>
      <c r="M92" t="str">
        <f t="shared" si="97"/>
        <v/>
      </c>
      <c r="N92" t="str">
        <f>IFERROR(VLOOKUP(I92,Товары_очищенные!$H$2:$J$502,3,0),"Нет в каталоге")</f>
        <v>Наушники</v>
      </c>
      <c r="O92" s="4">
        <f>IFERROR(VLOOKUP(I92,Товары_очищенные!$H$2:$M$502,6,0),"")</f>
        <v>38500</v>
      </c>
      <c r="P92" t="str">
        <f t="shared" si="98"/>
        <v xml:space="preserve">Цена отличается от каталога</v>
      </c>
    </row>
    <row r="93">
      <c r="A93" s="3" t="s">
        <v>2160</v>
      </c>
      <c r="B93" s="3" t="s">
        <v>313</v>
      </c>
      <c r="C93" s="3" t="s">
        <v>1900</v>
      </c>
      <c r="D93" s="3" t="s">
        <v>1906</v>
      </c>
      <c r="E93" s="3" t="s">
        <v>2163</v>
      </c>
      <c r="F93" s="3" t="s">
        <v>1573</v>
      </c>
      <c r="G93" s="3" t="s">
        <v>1918</v>
      </c>
      <c r="H93" s="5">
        <f t="shared" si="94"/>
        <v>45717</v>
      </c>
      <c r="I93" t="str">
        <f t="shared" si="95"/>
        <v>АРТ-065</v>
      </c>
      <c r="J93" s="6">
        <f t="shared" si="96"/>
        <v>2</v>
      </c>
      <c r="K93" s="4">
        <f>VALUE(SUBSTITUTE(SUBSTITUTE(SUBSTITUTE(SUBSTITUTE(D93,"$",""),"€",""),"₽","")," ",""))*IF(ISNUMBER(FIND("$",D93)),Справочники!$H$3,IF(ISNUMBER(FIND("€",D93)),Справочники!$H$4,1))</f>
        <v>8500</v>
      </c>
      <c r="L93" t="str">
        <f>IFERROR(VLOOKUP(TRIM(G93),Справочники!$D$3:$E$13,2,0),"Нет в справочнике")</f>
        <v>Отменен</v>
      </c>
      <c r="M93" t="str">
        <f t="shared" si="97"/>
        <v/>
      </c>
      <c r="N93" t="str">
        <f>IFERROR(VLOOKUP(I93,Товары_очищенные!$H$2:$J$502,3,0),"Нет в каталоге")</f>
        <v>Смартфоны</v>
      </c>
      <c r="O93" s="4">
        <f>IFERROR(VLOOKUP(I93,Товары_очищенные!$H$2:$M$502,6,0),"")</f>
        <v>55500</v>
      </c>
      <c r="P93" t="str">
        <f t="shared" si="98"/>
        <v xml:space="preserve">Цена отличается от каталога</v>
      </c>
    </row>
    <row r="94">
      <c r="A94" s="3" t="s">
        <v>2164</v>
      </c>
      <c r="B94" s="3" t="s">
        <v>2165</v>
      </c>
      <c r="C94" s="3" t="s">
        <v>1938</v>
      </c>
      <c r="D94" s="3" t="s">
        <v>2166</v>
      </c>
      <c r="E94" s="3" t="s">
        <v>2167</v>
      </c>
      <c r="F94" s="3" t="s">
        <v>1808</v>
      </c>
      <c r="G94" s="3" t="s">
        <v>1924</v>
      </c>
      <c r="H94" s="5">
        <f t="shared" si="94"/>
        <v>45718</v>
      </c>
      <c r="I94" t="str">
        <f t="shared" si="95"/>
        <v>АРТ-336</v>
      </c>
      <c r="J94" s="6">
        <f t="shared" si="96"/>
        <v>1</v>
      </c>
      <c r="K94" s="4">
        <f>VALUE(SUBSTITUTE(SUBSTITUTE(SUBSTITUTE(SUBSTITUTE(D94,"$",""),"€",""),"₽","")," ",""))*IF(ISNUMBER(FIND("$",D94)),Справочники!$H$3,IF(ISNUMBER(FIND("€",D94)),Справочники!$H$4,1))</f>
        <v>7800</v>
      </c>
      <c r="L94" t="str">
        <f>IFERROR(VLOOKUP(TRIM(G94),Справочники!$D$3:$E$13,2,0),"Нет в справочнике")</f>
        <v>Отменен</v>
      </c>
      <c r="M94" t="str">
        <f t="shared" si="97"/>
        <v/>
      </c>
      <c r="N94" t="str">
        <f>IFERROR(VLOOKUP(I94,Товары_очищенные!$H$2:$J$502,3,0),"Нет в каталоге")</f>
        <v>Планшеты</v>
      </c>
      <c r="O94" s="4">
        <f>IFERROR(VLOOKUP(I94,Товары_очищенные!$H$2:$M$502,6,0),"")</f>
        <v>50500</v>
      </c>
      <c r="P94" t="str">
        <f t="shared" si="98"/>
        <v xml:space="preserve">Цена отличается от каталога</v>
      </c>
    </row>
    <row r="95">
      <c r="A95" s="3" t="s">
        <v>2164</v>
      </c>
      <c r="B95" s="3" t="s">
        <v>842</v>
      </c>
      <c r="C95" s="3" t="s">
        <v>1985</v>
      </c>
      <c r="D95" s="3" t="s">
        <v>2044</v>
      </c>
      <c r="E95" s="3" t="s">
        <v>2168</v>
      </c>
      <c r="F95" s="3" t="s">
        <v>1670</v>
      </c>
      <c r="G95" s="3" t="s">
        <v>1903</v>
      </c>
      <c r="H95" s="5">
        <f t="shared" si="94"/>
        <v>45718</v>
      </c>
      <c r="I95" t="str">
        <f t="shared" si="95"/>
        <v>АРТ-211</v>
      </c>
      <c r="J95" s="6">
        <f t="shared" si="96"/>
        <v>-3</v>
      </c>
      <c r="K95" s="4">
        <f>VALUE(SUBSTITUTE(SUBSTITUTE(SUBSTITUTE(SUBSTITUTE(D95,"$",""),"€",""),"₽","")," ",""))*IF(ISNUMBER(FIND("$",D95)),Справочники!$H$3,IF(ISNUMBER(FIND("€",D95)),Справочники!$H$4,1))</f>
        <v>11400</v>
      </c>
      <c r="L95" t="str">
        <f>IFERROR(VLOOKUP(TRIM(G95),Справочники!$D$3:$E$13,2,0),"Нет в справочнике")</f>
        <v>Завершен</v>
      </c>
      <c r="M95" t="str">
        <f t="shared" si="97"/>
        <v/>
      </c>
      <c r="N95" t="str">
        <f>IFERROR(VLOOKUP(I95,Товары_очищенные!$H$2:$J$502,3,0),"Нет в каталоге")</f>
        <v>Смартфоны</v>
      </c>
      <c r="O95" s="4">
        <f>IFERROR(VLOOKUP(I95,Товары_очищенные!$H$2:$M$502,6,0),"")</f>
        <v>59990</v>
      </c>
      <c r="P95" t="str">
        <f t="shared" si="98"/>
        <v xml:space="preserve">Цена отличается от каталога</v>
      </c>
    </row>
    <row r="96">
      <c r="A96" s="3" t="s">
        <v>2169</v>
      </c>
      <c r="B96" s="3" t="s">
        <v>2170</v>
      </c>
      <c r="C96" s="3" t="s">
        <v>1900</v>
      </c>
      <c r="D96" s="3" t="s">
        <v>2046</v>
      </c>
      <c r="E96" s="3" t="s">
        <v>2171</v>
      </c>
      <c r="F96" s="3" t="s">
        <v>1752</v>
      </c>
      <c r="G96" s="3" t="s">
        <v>1927</v>
      </c>
      <c r="H96" s="5">
        <f t="shared" si="94"/>
        <v>45719</v>
      </c>
      <c r="I96" t="str">
        <f t="shared" si="95"/>
        <v>АРТ-490</v>
      </c>
      <c r="J96" s="6">
        <f t="shared" si="96"/>
        <v>2</v>
      </c>
      <c r="K96" s="4">
        <f>VALUE(SUBSTITUTE(SUBSTITUTE(SUBSTITUTE(SUBSTITUTE(D96,"$",""),"€",""),"₽","")," ",""))*IF(ISNUMBER(FIND("$",D96)),Справочники!$H$3,IF(ISNUMBER(FIND("€",D96)),Справочники!$H$4,1))</f>
        <v>10000</v>
      </c>
      <c r="L96" t="str">
        <f>IFERROR(VLOOKUP(TRIM(G96),Справочники!$D$3:$E$13,2,0),"Нет в справочнике")</f>
        <v>Возврат</v>
      </c>
      <c r="M96" t="str">
        <f t="shared" si="97"/>
        <v/>
      </c>
      <c r="N96" t="str">
        <f>IFERROR(VLOOKUP(I96,Товары_очищенные!$H$2:$J$502,3,0),"Нет в каталоге")</f>
        <v>Телевизоры</v>
      </c>
      <c r="O96" s="4">
        <f>IFERROR(VLOOKUP(I96,Товары_очищенные!$H$2:$M$502,6,0),"")</f>
        <v>61990</v>
      </c>
      <c r="P96" t="str">
        <f t="shared" si="98"/>
        <v xml:space="preserve">Цена отличается от каталога</v>
      </c>
    </row>
    <row r="97">
      <c r="A97" s="3" t="s">
        <v>2169</v>
      </c>
      <c r="B97" s="3" t="s">
        <v>2172</v>
      </c>
      <c r="C97" s="3" t="s">
        <v>1905</v>
      </c>
      <c r="D97" s="3" t="s">
        <v>1951</v>
      </c>
      <c r="E97" s="3" t="s">
        <v>2173</v>
      </c>
      <c r="F97" s="3" t="s">
        <v>1790</v>
      </c>
      <c r="G97" s="3" t="s">
        <v>1908</v>
      </c>
      <c r="H97" s="5">
        <f t="shared" si="94"/>
        <v>45719</v>
      </c>
      <c r="I97" t="str">
        <f t="shared" si="95"/>
        <v>АРТ-087</v>
      </c>
      <c r="J97" s="6">
        <f t="shared" si="96"/>
        <v>1</v>
      </c>
      <c r="K97" s="4">
        <f>VALUE(SUBSTITUTE(SUBSTITUTE(SUBSTITUTE(SUBSTITUTE(D97,"$",""),"€",""),"₽","")," ",""))*IF(ISNUMBER(FIND("$",D97)),Справочники!$H$3,IF(ISNUMBER(FIND("€",D97)),Справочники!$H$4,1))</f>
        <v>8500</v>
      </c>
      <c r="L97" t="str">
        <f>IFERROR(VLOOKUP(TRIM(G97),Справочники!$D$3:$E$13,2,0),"Нет в справочнике")</f>
        <v>Завершен</v>
      </c>
      <c r="M97" t="str">
        <f t="shared" si="97"/>
        <v/>
      </c>
      <c r="N97" t="str">
        <f>IFERROR(VLOOKUP(I97,Товары_очищенные!$H$2:$J$502,3,0),"Нет в каталоге")</f>
        <v>Ноутбуки</v>
      </c>
      <c r="O97" s="4">
        <f>IFERROR(VLOOKUP(I97,Товары_очищенные!$H$2:$M$502,6,0),"")</f>
        <v>112000</v>
      </c>
      <c r="P97" t="str">
        <f t="shared" si="98"/>
        <v xml:space="preserve">Цена отличается от каталога</v>
      </c>
    </row>
    <row r="98">
      <c r="A98" s="3" t="s">
        <v>2174</v>
      </c>
      <c r="B98" s="3" t="s">
        <v>350</v>
      </c>
      <c r="C98" s="3" t="s">
        <v>1930</v>
      </c>
      <c r="D98" s="3" t="s">
        <v>1955</v>
      </c>
      <c r="E98" s="3" t="s">
        <v>2175</v>
      </c>
      <c r="F98" s="3" t="s">
        <v>1856</v>
      </c>
      <c r="G98" s="3" t="s">
        <v>1913</v>
      </c>
      <c r="H98" s="5">
        <f t="shared" si="94"/>
        <v>45720</v>
      </c>
      <c r="I98" t="str">
        <f t="shared" si="95"/>
        <v>АРТ-073</v>
      </c>
      <c r="J98" s="6">
        <f t="shared" si="96"/>
        <v>3</v>
      </c>
      <c r="K98" s="4">
        <f>VALUE(SUBSTITUTE(SUBSTITUTE(SUBSTITUTE(SUBSTITUTE(D98,"$",""),"€",""),"₽","")," ",""))*IF(ISNUMBER(FIND("$",D98)),Справочники!$H$3,IF(ISNUMBER(FIND("€",D98)),Справочники!$H$4,1))</f>
        <v>12350</v>
      </c>
      <c r="L98" t="str">
        <f>IFERROR(VLOOKUP(TRIM(G98),Справочники!$D$3:$E$13,2,0),"Нет в справочнике")</f>
        <v>Завершен</v>
      </c>
      <c r="M98" t="str">
        <f t="shared" si="97"/>
        <v/>
      </c>
      <c r="N98" t="str">
        <f>IFERROR(VLOOKUP(I98,Товары_очищенные!$H$2:$J$502,3,0),"Нет в каталоге")</f>
        <v>Мониторы</v>
      </c>
      <c r="O98" s="4">
        <f>IFERROR(VLOOKUP(I98,Товары_очищенные!$H$2:$M$502,6,0),"")</f>
        <v>79900</v>
      </c>
      <c r="P98" t="str">
        <f t="shared" si="98"/>
        <v xml:space="preserve">Цена отличается от каталога</v>
      </c>
    </row>
    <row r="99">
      <c r="A99" s="3" t="s">
        <v>2174</v>
      </c>
      <c r="B99" s="3" t="s">
        <v>2176</v>
      </c>
      <c r="C99" s="3" t="s">
        <v>1900</v>
      </c>
      <c r="D99" s="3" t="s">
        <v>1958</v>
      </c>
      <c r="E99" s="3" t="s">
        <v>2177</v>
      </c>
      <c r="F99" s="3" t="s">
        <v>1708</v>
      </c>
      <c r="G99" s="3" t="s">
        <v>1903</v>
      </c>
      <c r="H99" s="5">
        <f t="shared" si="94"/>
        <v>45720</v>
      </c>
      <c r="I99" t="str">
        <f t="shared" si="95"/>
        <v>АРТ-141</v>
      </c>
      <c r="J99" s="6">
        <f t="shared" si="96"/>
        <v>2</v>
      </c>
      <c r="K99" s="4">
        <f>VALUE(SUBSTITUTE(SUBSTITUTE(SUBSTITUTE(SUBSTITUTE(D99,"$",""),"€",""),"₽","")," ",""))*IF(ISNUMBER(FIND("$",D99)),Справочники!$H$3,IF(ISNUMBER(FIND("€",D99)),Справочники!$H$4,1))</f>
        <v>11000</v>
      </c>
      <c r="L99" t="str">
        <f>IFERROR(VLOOKUP(TRIM(G99),Справочники!$D$3:$E$13,2,0),"Нет в справочнике")</f>
        <v>Завершен</v>
      </c>
      <c r="M99" t="str">
        <f t="shared" si="97"/>
        <v/>
      </c>
      <c r="N99" t="str">
        <f>IFERROR(VLOOKUP(I99,Товары_очищенные!$H$2:$J$502,3,0),"Нет в каталоге")</f>
        <v>Мониторы</v>
      </c>
      <c r="O99" s="4">
        <f>IFERROR(VLOOKUP(I99,Товары_очищенные!$H$2:$M$502,6,0),"")</f>
        <v>92500</v>
      </c>
      <c r="P99" t="str">
        <f t="shared" si="98"/>
        <v xml:space="preserve">Цена отличается от каталога</v>
      </c>
    </row>
    <row r="100">
      <c r="A100" s="3" t="s">
        <v>2178</v>
      </c>
      <c r="B100" s="3" t="s">
        <v>2179</v>
      </c>
      <c r="C100" s="3" t="s">
        <v>1938</v>
      </c>
      <c r="D100" s="3" t="s">
        <v>2087</v>
      </c>
      <c r="E100" s="3" t="s">
        <v>2180</v>
      </c>
      <c r="F100" s="3" t="s">
        <v>1838</v>
      </c>
      <c r="G100" s="3" t="s">
        <v>1924</v>
      </c>
      <c r="H100" s="5">
        <f t="shared" ref="H100:H163" si="99">DATE(VALUE(RIGHT(A100,4)),VALUE(LEFT(A100,2)),VALUE(MID(A100,4,2)))</f>
        <v>45721</v>
      </c>
      <c r="I100" t="str">
        <f t="shared" ref="I100:I163" si="100">"АРТ-"&amp;TEXT(VALUE(LEFT(SUBSTITUTE(SUBSTITUTE(SUBSTITUTE(SUBSTITUTE(TRIM(B100),"№",""),"АРТ-",""),"АРТ_",""),"АРТ",""),3)),"000")</f>
        <v>АРТ-226</v>
      </c>
      <c r="J100" s="6">
        <f t="shared" ref="J100:J163" si="101">VALUE(TRIM(SUBSTITUTE(SUBSTITUTE(TRIM(C100),"шт.",""),"шт","")))</f>
        <v>1</v>
      </c>
      <c r="K100" s="4">
        <f>VALUE(SUBSTITUTE(SUBSTITUTE(SUBSTITUTE(SUBSTITUTE(D100,"$",""),"€",""),"₽","")," ",""))*IF(ISNUMBER(FIND("$",D100)),Справочники!$H$3,IF(ISNUMBER(FIND("€",D100)),Справочники!$H$4,1))</f>
        <v>9200</v>
      </c>
      <c r="L100" t="str">
        <f>IFERROR(VLOOKUP(TRIM(G100),Справочники!$D$3:$E$13,2,0),"Нет в справочнике")</f>
        <v>Отменен</v>
      </c>
      <c r="M100" t="str">
        <f t="shared" ref="M100:M163" si="102">IF(COUNTIFS($H$2:H100,H100,$I$2:I100,I100,$E$2:E100,E100)&gt;1,"Дубликат","")</f>
        <v/>
      </c>
      <c r="N100" t="str">
        <f>IFERROR(VLOOKUP(I100,Товары_очищенные!$H$2:$J$502,3,0),"Нет в каталоге")</f>
        <v>Аксессуары</v>
      </c>
      <c r="O100" s="4">
        <f>IFERROR(VLOOKUP(I100,Товары_очищенные!$H$2:$M$502,6,0),"")</f>
        <v>5990</v>
      </c>
      <c r="P100" t="str">
        <f t="shared" ref="P100:P163" si="103">IF(O100="","Нет в каталоге",IF(ABS(K100/O100-1)&lt;=0.2,"ОК","Цена отличается от каталога"))</f>
        <v xml:space="preserve">Цена отличается от каталога</v>
      </c>
    </row>
    <row r="101">
      <c r="A101" s="3" t="s">
        <v>2178</v>
      </c>
      <c r="B101" s="3" t="s">
        <v>1156</v>
      </c>
      <c r="C101" s="3" t="s">
        <v>1915</v>
      </c>
      <c r="D101" s="3" t="s">
        <v>2004</v>
      </c>
      <c r="E101" s="3" t="s">
        <v>2181</v>
      </c>
      <c r="F101" s="3" t="s">
        <v>1759</v>
      </c>
      <c r="G101" s="3" t="s">
        <v>1918</v>
      </c>
      <c r="H101" s="5">
        <f t="shared" si="99"/>
        <v>45721</v>
      </c>
      <c r="I101" t="str">
        <f t="shared" si="100"/>
        <v>АРТ-322</v>
      </c>
      <c r="J101" s="6">
        <f t="shared" si="101"/>
        <v>-1</v>
      </c>
      <c r="K101" s="4">
        <f>VALUE(SUBSTITUTE(SUBSTITUTE(SUBSTITUTE(SUBSTITUTE(D101,"$",""),"€",""),"₽","")," ",""))*IF(ISNUMBER(FIND("$",D101)),Справочники!$H$3,IF(ISNUMBER(FIND("€",D101)),Справочники!$H$4,1))</f>
        <v>8075</v>
      </c>
      <c r="L101" t="str">
        <f>IFERROR(VLOOKUP(TRIM(G101),Справочники!$D$3:$E$13,2,0),"Нет в справочнике")</f>
        <v>Отменен</v>
      </c>
      <c r="M101" t="str">
        <f t="shared" si="102"/>
        <v/>
      </c>
      <c r="N101" t="str">
        <f>IFERROR(VLOOKUP(I101,Товары_очищенные!$H$2:$J$502,3,0),"Нет в каталоге")</f>
        <v>Наушники</v>
      </c>
      <c r="O101" s="4">
        <f>IFERROR(VLOOKUP(I101,Товары_очищенные!$H$2:$M$502,6,0),"")</f>
        <v>12990</v>
      </c>
      <c r="P101" t="str">
        <f t="shared" si="103"/>
        <v xml:space="preserve">Цена отличается от каталога</v>
      </c>
    </row>
    <row r="102">
      <c r="A102" s="3" t="s">
        <v>2182</v>
      </c>
      <c r="B102" s="3" t="s">
        <v>2183</v>
      </c>
      <c r="C102" s="3" t="s">
        <v>1930</v>
      </c>
      <c r="D102" s="3" t="s">
        <v>2008</v>
      </c>
      <c r="E102" s="3" t="s">
        <v>2184</v>
      </c>
      <c r="F102" s="3" t="s">
        <v>1642</v>
      </c>
      <c r="G102" s="3" t="s">
        <v>1927</v>
      </c>
      <c r="H102" s="5">
        <f t="shared" si="99"/>
        <v>45722</v>
      </c>
      <c r="I102" t="str">
        <f t="shared" si="100"/>
        <v>АРТ-273</v>
      </c>
      <c r="J102" s="6">
        <f t="shared" si="101"/>
        <v>3</v>
      </c>
      <c r="K102" s="4">
        <f>VALUE(SUBSTITUTE(SUBSTITUTE(SUBSTITUTE(SUBSTITUTE(D102,"$",""),"€",""),"₽","")," ",""))*IF(ISNUMBER(FIND("$",D102)),Справочники!$H$3,IF(ISNUMBER(FIND("€",D102)),Справочники!$H$4,1))</f>
        <v>6500</v>
      </c>
      <c r="L102" t="str">
        <f>IFERROR(VLOOKUP(TRIM(G102),Справочники!$D$3:$E$13,2,0),"Нет в справочнике")</f>
        <v>Возврат</v>
      </c>
      <c r="M102" t="str">
        <f t="shared" si="102"/>
        <v/>
      </c>
      <c r="N102" t="str">
        <f>IFERROR(VLOOKUP(I102,Товары_очищенные!$H$2:$J$502,3,0),"Нет в каталоге")</f>
        <v>Смартфоны</v>
      </c>
      <c r="O102" s="4">
        <f>IFERROR(VLOOKUP(I102,Товары_очищенные!$H$2:$M$502,6,0),"")</f>
        <v>46500</v>
      </c>
      <c r="P102" t="str">
        <f t="shared" si="103"/>
        <v xml:space="preserve">Цена отличается от каталога</v>
      </c>
    </row>
    <row r="103">
      <c r="A103" s="3" t="s">
        <v>2182</v>
      </c>
      <c r="B103" s="3" t="s">
        <v>2185</v>
      </c>
      <c r="C103" s="3" t="s">
        <v>1900</v>
      </c>
      <c r="D103" s="3" t="s">
        <v>1939</v>
      </c>
      <c r="E103" s="3" t="s">
        <v>2186</v>
      </c>
      <c r="F103" s="3" t="s">
        <v>1608</v>
      </c>
      <c r="G103" s="3" t="s">
        <v>1903</v>
      </c>
      <c r="H103" s="5">
        <f t="shared" si="99"/>
        <v>45722</v>
      </c>
      <c r="I103" t="str">
        <f t="shared" si="100"/>
        <v>АРТ-184</v>
      </c>
      <c r="J103" s="6">
        <f t="shared" si="101"/>
        <v>2</v>
      </c>
      <c r="K103" s="4">
        <f>VALUE(SUBSTITUTE(SUBSTITUTE(SUBSTITUTE(SUBSTITUTE(D103,"$",""),"€",""),"₽","")," ",""))*IF(ISNUMBER(FIND("$",D103)),Справочники!$H$3,IF(ISNUMBER(FIND("€",D103)),Справочники!$H$4,1))</f>
        <v>6500</v>
      </c>
      <c r="L103" t="str">
        <f>IFERROR(VLOOKUP(TRIM(G103),Справочники!$D$3:$E$13,2,0),"Нет в справочнике")</f>
        <v>Завершен</v>
      </c>
      <c r="M103" t="str">
        <f t="shared" si="102"/>
        <v/>
      </c>
      <c r="N103" t="str">
        <f>IFERROR(VLOOKUP(I103,Товары_очищенные!$H$2:$J$502,3,0),"Нет в каталоге")</f>
        <v>Аксессуары</v>
      </c>
      <c r="O103" s="4">
        <f>IFERROR(VLOOKUP(I103,Товары_очищенные!$H$2:$M$502,6,0),"")</f>
        <v>19990</v>
      </c>
      <c r="P103" t="str">
        <f t="shared" si="103"/>
        <v xml:space="preserve">Цена отличается от каталога</v>
      </c>
    </row>
    <row r="104">
      <c r="A104" s="3" t="s">
        <v>2187</v>
      </c>
      <c r="B104" s="3" t="s">
        <v>2188</v>
      </c>
      <c r="C104" s="3" t="s">
        <v>1905</v>
      </c>
      <c r="D104" s="3" t="s">
        <v>1931</v>
      </c>
      <c r="E104" s="3" t="s">
        <v>2189</v>
      </c>
      <c r="F104" s="3" t="s">
        <v>1715</v>
      </c>
      <c r="G104" s="3" t="s">
        <v>1908</v>
      </c>
      <c r="H104" s="5">
        <f t="shared" si="99"/>
        <v>45723</v>
      </c>
      <c r="I104" t="str">
        <f t="shared" si="100"/>
        <v>АРТ-065</v>
      </c>
      <c r="J104" s="6">
        <f t="shared" si="101"/>
        <v>1</v>
      </c>
      <c r="K104" s="4">
        <f>VALUE(SUBSTITUTE(SUBSTITUTE(SUBSTITUTE(SUBSTITUTE(D104,"$",""),"€",""),"₽","")," ",""))*IF(ISNUMBER(FIND("$",D104)),Справочники!$H$3,IF(ISNUMBER(FIND("€",D104)),Справочники!$H$4,1))</f>
        <v>9975</v>
      </c>
      <c r="L104" t="str">
        <f>IFERROR(VLOOKUP(TRIM(G104),Справочники!$D$3:$E$13,2,0),"Нет в справочнике")</f>
        <v>Завершен</v>
      </c>
      <c r="M104" t="str">
        <f t="shared" si="102"/>
        <v/>
      </c>
      <c r="N104" t="str">
        <f>IFERROR(VLOOKUP(I104,Товары_очищенные!$H$2:$J$502,3,0),"Нет в каталоге")</f>
        <v>Смартфоны</v>
      </c>
      <c r="O104" s="4">
        <f>IFERROR(VLOOKUP(I104,Товары_очищенные!$H$2:$M$502,6,0),"")</f>
        <v>55500</v>
      </c>
      <c r="P104" t="str">
        <f t="shared" si="103"/>
        <v xml:space="preserve">Цена отличается от каталога</v>
      </c>
    </row>
    <row r="105">
      <c r="A105" s="3" t="s">
        <v>2187</v>
      </c>
      <c r="B105" s="3" t="s">
        <v>2190</v>
      </c>
      <c r="C105" s="3" t="s">
        <v>1900</v>
      </c>
      <c r="D105" s="3" t="s">
        <v>1906</v>
      </c>
      <c r="E105" s="3" t="s">
        <v>2191</v>
      </c>
      <c r="F105" s="3" t="s">
        <v>1850</v>
      </c>
      <c r="G105" s="3" t="s">
        <v>1913</v>
      </c>
      <c r="H105" s="5">
        <f t="shared" si="99"/>
        <v>45723</v>
      </c>
      <c r="I105" t="str">
        <f t="shared" si="100"/>
        <v>АРТ-408</v>
      </c>
      <c r="J105" s="6">
        <f t="shared" si="101"/>
        <v>2</v>
      </c>
      <c r="K105" s="4">
        <f>VALUE(SUBSTITUTE(SUBSTITUTE(SUBSTITUTE(SUBSTITUTE(D105,"$",""),"€",""),"₽","")," ",""))*IF(ISNUMBER(FIND("$",D105)),Справочники!$H$3,IF(ISNUMBER(FIND("€",D105)),Справочники!$H$4,1))</f>
        <v>8500</v>
      </c>
      <c r="L105" t="str">
        <f>IFERROR(VLOOKUP(TRIM(G105),Справочники!$D$3:$E$13,2,0),"Нет в справочнике")</f>
        <v>Завершен</v>
      </c>
      <c r="M105" t="str">
        <f t="shared" si="102"/>
        <v/>
      </c>
      <c r="N105" t="str">
        <f>IFERROR(VLOOKUP(I105,Товары_очищенные!$H$2:$J$502,3,0),"Нет в каталоге")</f>
        <v>Телевизоры</v>
      </c>
      <c r="O105" s="4">
        <f>IFERROR(VLOOKUP(I105,Товары_очищенные!$H$2:$M$502,6,0),"")</f>
        <v>107500</v>
      </c>
      <c r="P105" t="str">
        <f t="shared" si="103"/>
        <v xml:space="preserve">Цена отличается от каталога</v>
      </c>
    </row>
    <row r="106">
      <c r="A106" s="3" t="s">
        <v>2192</v>
      </c>
      <c r="B106" s="3" t="s">
        <v>1135</v>
      </c>
      <c r="C106" s="3" t="s">
        <v>1910</v>
      </c>
      <c r="D106" s="3" t="s">
        <v>1925</v>
      </c>
      <c r="E106" s="3" t="s">
        <v>2193</v>
      </c>
      <c r="F106" s="3" t="s">
        <v>1615</v>
      </c>
      <c r="G106" s="3" t="s">
        <v>1918</v>
      </c>
      <c r="H106" s="5">
        <f t="shared" si="99"/>
        <v>45724</v>
      </c>
      <c r="I106" t="str">
        <f t="shared" si="100"/>
        <v>АРТ-315</v>
      </c>
      <c r="J106" s="6">
        <f t="shared" si="101"/>
        <v>3</v>
      </c>
      <c r="K106" s="4">
        <f>VALUE(SUBSTITUTE(SUBSTITUTE(SUBSTITUTE(SUBSTITUTE(D106,"$",""),"€",""),"₽","")," ",""))*IF(ISNUMBER(FIND("$",D106)),Справочники!$H$3,IF(ISNUMBER(FIND("€",D106)),Справочники!$H$4,1))</f>
        <v>8000</v>
      </c>
      <c r="L106" t="str">
        <f>IFERROR(VLOOKUP(TRIM(G106),Справочники!$D$3:$E$13,2,0),"Нет в справочнике")</f>
        <v>Отменен</v>
      </c>
      <c r="M106" t="str">
        <f t="shared" si="102"/>
        <v/>
      </c>
      <c r="N106" t="str">
        <f>IFERROR(VLOOKUP(I106,Товары_очищенные!$H$2:$J$502,3,0),"Нет в каталоге")</f>
        <v>Смартфоны</v>
      </c>
      <c r="O106" s="4">
        <f>IFERROR(VLOOKUP(I106,Товары_очищенные!$H$2:$M$502,6,0),"")</f>
        <v>72000</v>
      </c>
      <c r="P106" t="str">
        <f t="shared" si="103"/>
        <v xml:space="preserve">Цена отличается от каталога</v>
      </c>
    </row>
    <row r="107">
      <c r="A107" s="3" t="s">
        <v>2192</v>
      </c>
      <c r="B107" s="3" t="s">
        <v>2194</v>
      </c>
      <c r="C107" s="3" t="s">
        <v>1942</v>
      </c>
      <c r="D107" s="3" t="s">
        <v>2044</v>
      </c>
      <c r="E107" s="3" t="s">
        <v>2195</v>
      </c>
      <c r="F107" s="3" t="s">
        <v>1765</v>
      </c>
      <c r="G107" s="3" t="s">
        <v>1924</v>
      </c>
      <c r="H107" s="5">
        <f t="shared" si="99"/>
        <v>45724</v>
      </c>
      <c r="I107" t="str">
        <f t="shared" si="100"/>
        <v>АРТ-159</v>
      </c>
      <c r="J107" s="6">
        <f t="shared" si="101"/>
        <v>-2</v>
      </c>
      <c r="K107" s="4">
        <f>VALUE(SUBSTITUTE(SUBSTITUTE(SUBSTITUTE(SUBSTITUTE(D107,"$",""),"€",""),"₽","")," ",""))*IF(ISNUMBER(FIND("$",D107)),Справочники!$H$3,IF(ISNUMBER(FIND("€",D107)),Справочники!$H$4,1))</f>
        <v>11400</v>
      </c>
      <c r="L107" t="str">
        <f>IFERROR(VLOOKUP(TRIM(G107),Справочники!$D$3:$E$13,2,0),"Нет в справочнике")</f>
        <v>Отменен</v>
      </c>
      <c r="M107" t="str">
        <f t="shared" si="102"/>
        <v/>
      </c>
      <c r="N107" t="str">
        <f>IFERROR(VLOOKUP(I107,Товары_очищенные!$H$2:$J$502,3,0),"Нет в каталоге")</f>
        <v>Мониторы</v>
      </c>
      <c r="O107" s="4">
        <f>IFERROR(VLOOKUP(I107,Товары_очищенные!$H$2:$M$502,6,0),"")</f>
        <v>95500</v>
      </c>
      <c r="P107" t="str">
        <f t="shared" si="103"/>
        <v xml:space="preserve">Цена отличается от каталога</v>
      </c>
    </row>
    <row r="108">
      <c r="A108" s="3" t="s">
        <v>2196</v>
      </c>
      <c r="B108" s="3" t="s">
        <v>2197</v>
      </c>
      <c r="C108" s="3" t="s">
        <v>1905</v>
      </c>
      <c r="D108" s="3" t="s">
        <v>2046</v>
      </c>
      <c r="E108" s="3" t="s">
        <v>2198</v>
      </c>
      <c r="F108" s="3" t="s">
        <v>1688</v>
      </c>
      <c r="G108" s="3" t="s">
        <v>1903</v>
      </c>
      <c r="H108" s="5">
        <f t="shared" si="99"/>
        <v>45725</v>
      </c>
      <c r="I108" t="str">
        <f t="shared" si="100"/>
        <v>АРТ-432</v>
      </c>
      <c r="J108" s="6">
        <f t="shared" si="101"/>
        <v>1</v>
      </c>
      <c r="K108" s="4">
        <f>VALUE(SUBSTITUTE(SUBSTITUTE(SUBSTITUTE(SUBSTITUTE(D108,"$",""),"€",""),"₽","")," ",""))*IF(ISNUMBER(FIND("$",D108)),Справочники!$H$3,IF(ISNUMBER(FIND("€",D108)),Справочники!$H$4,1))</f>
        <v>10000</v>
      </c>
      <c r="L108" t="str">
        <f>IFERROR(VLOOKUP(TRIM(G108),Справочники!$D$3:$E$13,2,0),"Нет в справочнике")</f>
        <v>Завершен</v>
      </c>
      <c r="M108" t="str">
        <f t="shared" si="102"/>
        <v/>
      </c>
      <c r="N108" t="str">
        <f>IFERROR(VLOOKUP(I108,Товары_очищенные!$H$2:$J$502,3,0),"Нет в каталоге")</f>
        <v>Наушники</v>
      </c>
      <c r="O108" s="4">
        <f>IFERROR(VLOOKUP(I108,Товары_очищенные!$H$2:$M$502,6,0),"")</f>
        <v>15800</v>
      </c>
      <c r="P108" t="str">
        <f t="shared" si="103"/>
        <v xml:space="preserve">Цена отличается от каталога</v>
      </c>
    </row>
    <row r="109">
      <c r="A109" s="3" t="s">
        <v>2196</v>
      </c>
      <c r="B109" s="3" t="s">
        <v>2199</v>
      </c>
      <c r="C109" s="3" t="s">
        <v>1900</v>
      </c>
      <c r="D109" s="3" t="s">
        <v>2050</v>
      </c>
      <c r="E109" s="3" t="s">
        <v>2200</v>
      </c>
      <c r="F109" s="3" t="s">
        <v>1832</v>
      </c>
      <c r="G109" s="3" t="s">
        <v>1927</v>
      </c>
      <c r="H109" s="5">
        <f t="shared" si="99"/>
        <v>45725</v>
      </c>
      <c r="I109" t="str">
        <f t="shared" si="100"/>
        <v>АРТ-067</v>
      </c>
      <c r="J109" s="6">
        <f t="shared" si="101"/>
        <v>2</v>
      </c>
      <c r="K109" s="4">
        <f>VALUE(SUBSTITUTE(SUBSTITUTE(SUBSTITUTE(SUBSTITUTE(D109,"$",""),"€",""),"₽","")," ",""))*IF(ISNUMBER(FIND("$",D109)),Справочники!$H$3,IF(ISNUMBER(FIND("€",D109)),Справочники!$H$4,1))</f>
        <v>8800</v>
      </c>
      <c r="L109" t="str">
        <f>IFERROR(VLOOKUP(TRIM(G109),Справочники!$D$3:$E$13,2,0),"Нет в справочнике")</f>
        <v>Возврат</v>
      </c>
      <c r="M109" t="str">
        <f t="shared" si="102"/>
        <v/>
      </c>
      <c r="N109" t="str">
        <f>IFERROR(VLOOKUP(I109,Товары_очищенные!$H$2:$J$502,3,0),"Нет в каталоге")</f>
        <v>Телевизоры</v>
      </c>
      <c r="O109" s="4">
        <f>IFERROR(VLOOKUP(I109,Товары_очищенные!$H$2:$M$502,6,0),"")</f>
        <v>109999</v>
      </c>
      <c r="P109" t="str">
        <f t="shared" si="103"/>
        <v xml:space="preserve">Цена отличается от каталога</v>
      </c>
    </row>
    <row r="110">
      <c r="A110" s="3" t="s">
        <v>2201</v>
      </c>
      <c r="B110" s="3" t="s">
        <v>2202</v>
      </c>
      <c r="C110" s="3" t="s">
        <v>1930</v>
      </c>
      <c r="D110" s="3" t="s">
        <v>1964</v>
      </c>
      <c r="E110" s="3" t="s">
        <v>2203</v>
      </c>
      <c r="F110" s="3" t="s">
        <v>1594</v>
      </c>
      <c r="G110" s="3" t="s">
        <v>1908</v>
      </c>
      <c r="H110" s="5">
        <f t="shared" si="99"/>
        <v>45726</v>
      </c>
      <c r="I110" t="str">
        <f t="shared" si="100"/>
        <v>АРТ-287</v>
      </c>
      <c r="J110" s="6">
        <f t="shared" si="101"/>
        <v>3</v>
      </c>
      <c r="K110" s="4">
        <f>VALUE(SUBSTITUTE(SUBSTITUTE(SUBSTITUTE(SUBSTITUTE(D110,"$",""),"€",""),"₽","")," ",""))*IF(ISNUMBER(FIND("$",D110)),Справочники!$H$3,IF(ISNUMBER(FIND("€",D110)),Справочники!$H$4,1))</f>
        <v>9025</v>
      </c>
      <c r="L110" t="str">
        <f>IFERROR(VLOOKUP(TRIM(G110),Справочники!$D$3:$E$13,2,0),"Нет в справочнике")</f>
        <v>Завершен</v>
      </c>
      <c r="M110" t="str">
        <f t="shared" si="102"/>
        <v/>
      </c>
      <c r="N110" t="str">
        <f>IFERROR(VLOOKUP(I110,Товары_очищенные!$H$2:$J$502,3,0),"Нет в каталоге")</f>
        <v>Аксессуары</v>
      </c>
      <c r="O110" s="4">
        <f>IFERROR(VLOOKUP(I110,Товары_очищенные!$H$2:$M$502,6,0),"")</f>
        <v>7000</v>
      </c>
      <c r="P110" t="str">
        <f t="shared" si="103"/>
        <v xml:space="preserve">Цена отличается от каталога</v>
      </c>
    </row>
    <row r="111">
      <c r="A111" s="3" t="s">
        <v>2201</v>
      </c>
      <c r="B111" s="3" t="s">
        <v>835</v>
      </c>
      <c r="C111" s="3" t="s">
        <v>2020</v>
      </c>
      <c r="D111" s="3" t="s">
        <v>1911</v>
      </c>
      <c r="E111" s="3" t="s">
        <v>2204</v>
      </c>
      <c r="F111" s="3" t="s">
        <v>1796</v>
      </c>
      <c r="G111" s="3" t="s">
        <v>1913</v>
      </c>
      <c r="H111" s="5">
        <f t="shared" si="99"/>
        <v>45726</v>
      </c>
      <c r="I111" t="str">
        <f t="shared" si="100"/>
        <v>АРТ-209</v>
      </c>
      <c r="J111" s="6">
        <f t="shared" si="101"/>
        <v>2</v>
      </c>
      <c r="K111" s="4">
        <f>VALUE(SUBSTITUTE(SUBSTITUTE(SUBSTITUTE(SUBSTITUTE(D111,"$",""),"€",""),"₽","")," ",""))*IF(ISNUMBER(FIND("$",D111)),Справочники!$H$3,IF(ISNUMBER(FIND("€",D111)),Справочники!$H$4,1))</f>
        <v>7500</v>
      </c>
      <c r="L111" t="str">
        <f>IFERROR(VLOOKUP(TRIM(G111),Справочники!$D$3:$E$13,2,0),"Нет в справочнике")</f>
        <v>Завершен</v>
      </c>
      <c r="M111" t="str">
        <f t="shared" si="102"/>
        <v/>
      </c>
      <c r="N111" t="str">
        <f>IFERROR(VLOOKUP(I111,Товары_очищенные!$H$2:$J$502,3,0),"Нет в каталоге")</f>
        <v>Аксессуары</v>
      </c>
      <c r="O111" s="4">
        <f>IFERROR(VLOOKUP(I111,Товары_очищенные!$H$2:$M$502,6,0),"")</f>
        <v>10500</v>
      </c>
      <c r="P111" t="str">
        <f t="shared" si="103"/>
        <v xml:space="preserve">Цена отличается от каталога</v>
      </c>
    </row>
    <row r="112">
      <c r="A112" s="3" t="s">
        <v>2205</v>
      </c>
      <c r="B112" s="3" t="s">
        <v>2206</v>
      </c>
      <c r="C112" s="3" t="s">
        <v>1905</v>
      </c>
      <c r="D112" s="3" t="s">
        <v>1992</v>
      </c>
      <c r="E112" s="3" t="s">
        <v>2207</v>
      </c>
      <c r="F112" s="3" t="s">
        <v>1656</v>
      </c>
      <c r="G112" s="3" t="s">
        <v>1903</v>
      </c>
      <c r="H112" s="5">
        <f t="shared" si="99"/>
        <v>45727</v>
      </c>
      <c r="I112" t="str">
        <f t="shared" si="100"/>
        <v>АРТ-382</v>
      </c>
      <c r="J112" s="6">
        <f t="shared" si="101"/>
        <v>1</v>
      </c>
      <c r="K112" s="4">
        <f>VALUE(SUBSTITUTE(SUBSTITUTE(SUBSTITUTE(SUBSTITUTE(D112,"$",""),"€",""),"₽","")," ",""))*IF(ISNUMBER(FIND("$",D112)),Справочники!$H$3,IF(ISNUMBER(FIND("€",D112)),Справочники!$H$4,1))</f>
        <v>5500</v>
      </c>
      <c r="L112" t="str">
        <f>IFERROR(VLOOKUP(TRIM(G112),Справочники!$D$3:$E$13,2,0),"Нет в справочнике")</f>
        <v>Завершен</v>
      </c>
      <c r="M112" t="str">
        <f t="shared" si="102"/>
        <v/>
      </c>
      <c r="N112" t="str">
        <f>IFERROR(VLOOKUP(I112,Товары_очищенные!$H$2:$J$502,3,0),"Нет в каталоге")</f>
        <v>Смартфоны</v>
      </c>
      <c r="O112" s="4">
        <f>IFERROR(VLOOKUP(I112,Товары_очищенные!$H$2:$M$502,6,0),"")</f>
        <v>42990</v>
      </c>
      <c r="P112" t="str">
        <f t="shared" si="103"/>
        <v xml:space="preserve">Цена отличается от каталога</v>
      </c>
    </row>
    <row r="113">
      <c r="A113" s="3" t="s">
        <v>2205</v>
      </c>
      <c r="B113" s="3" t="s">
        <v>2208</v>
      </c>
      <c r="C113" s="3" t="s">
        <v>1985</v>
      </c>
      <c r="D113" s="3" t="s">
        <v>2044</v>
      </c>
      <c r="E113" s="3" t="s">
        <v>2209</v>
      </c>
      <c r="F113" s="3" t="s">
        <v>1746</v>
      </c>
      <c r="G113" s="3" t="s">
        <v>1924</v>
      </c>
      <c r="H113" s="5">
        <f t="shared" si="99"/>
        <v>45727</v>
      </c>
      <c r="I113" t="str">
        <f t="shared" si="100"/>
        <v>АРТ-077</v>
      </c>
      <c r="J113" s="6">
        <f t="shared" si="101"/>
        <v>-3</v>
      </c>
      <c r="K113" s="4">
        <f>VALUE(SUBSTITUTE(SUBSTITUTE(SUBSTITUTE(SUBSTITUTE(D113,"$",""),"€",""),"₽","")," ",""))*IF(ISNUMBER(FIND("$",D113)),Справочники!$H$3,IF(ISNUMBER(FIND("€",D113)),Справочники!$H$4,1))</f>
        <v>11400</v>
      </c>
      <c r="L113" t="str">
        <f>IFERROR(VLOOKUP(TRIM(G113),Справочники!$D$3:$E$13,2,0),"Нет в справочнике")</f>
        <v>Отменен</v>
      </c>
      <c r="M113" t="str">
        <f t="shared" si="102"/>
        <v/>
      </c>
      <c r="N113" t="str">
        <f>IFERROR(VLOOKUP(I113,Товары_очищенные!$H$2:$J$502,3,0),"Нет в каталоге")</f>
        <v>Аксессуары</v>
      </c>
      <c r="O113" s="4">
        <f>IFERROR(VLOOKUP(I113,Товары_очищенные!$H$2:$M$502,6,0),"")</f>
        <v>12500</v>
      </c>
      <c r="P113" t="str">
        <f t="shared" si="103"/>
        <v>ОК</v>
      </c>
    </row>
    <row r="114">
      <c r="A114" s="3" t="s">
        <v>2210</v>
      </c>
      <c r="B114" s="3" t="s">
        <v>1253</v>
      </c>
      <c r="C114" s="3" t="s">
        <v>1900</v>
      </c>
      <c r="D114" s="3" t="s">
        <v>2046</v>
      </c>
      <c r="E114" s="3" t="s">
        <v>2211</v>
      </c>
      <c r="F114" s="3" t="s">
        <v>1622</v>
      </c>
      <c r="G114" s="3" t="s">
        <v>1918</v>
      </c>
      <c r="H114" s="5">
        <f t="shared" si="99"/>
        <v>45728</v>
      </c>
      <c r="I114" t="str">
        <f t="shared" si="100"/>
        <v>АРТ-365</v>
      </c>
      <c r="J114" s="6">
        <f t="shared" si="101"/>
        <v>2</v>
      </c>
      <c r="K114" s="4">
        <f>VALUE(SUBSTITUTE(SUBSTITUTE(SUBSTITUTE(SUBSTITUTE(D114,"$",""),"€",""),"₽","")," ",""))*IF(ISNUMBER(FIND("$",D114)),Справочники!$H$3,IF(ISNUMBER(FIND("€",D114)),Справочники!$H$4,1))</f>
        <v>10000</v>
      </c>
      <c r="L114" t="str">
        <f>IFERROR(VLOOKUP(TRIM(G114),Справочники!$D$3:$E$13,2,0),"Нет в справочнике")</f>
        <v>Отменен</v>
      </c>
      <c r="M114" t="str">
        <f t="shared" si="102"/>
        <v/>
      </c>
      <c r="N114" t="str">
        <f>IFERROR(VLOOKUP(I114,Товары_очищенные!$H$2:$J$502,3,0),"Нет в каталоге")</f>
        <v>Телевизоры</v>
      </c>
      <c r="O114" s="4">
        <f>IFERROR(VLOOKUP(I114,Товары_очищенные!$H$2:$M$502,6,0),"")</f>
        <v>137000</v>
      </c>
      <c r="P114" t="str">
        <f t="shared" si="103"/>
        <v xml:space="preserve">Цена отличается от каталога</v>
      </c>
    </row>
    <row r="115">
      <c r="A115" s="3" t="s">
        <v>2210</v>
      </c>
      <c r="B115" s="3" t="s">
        <v>2212</v>
      </c>
      <c r="C115" s="3" t="s">
        <v>1905</v>
      </c>
      <c r="D115" s="3" t="s">
        <v>2002</v>
      </c>
      <c r="E115" s="3" t="s">
        <v>2213</v>
      </c>
      <c r="F115" s="3" t="s">
        <v>1826</v>
      </c>
      <c r="G115" s="3" t="s">
        <v>1927</v>
      </c>
      <c r="H115" s="5">
        <f t="shared" si="99"/>
        <v>45728</v>
      </c>
      <c r="I115" t="str">
        <f t="shared" si="100"/>
        <v>АРТ-245</v>
      </c>
      <c r="J115" s="6">
        <f t="shared" si="101"/>
        <v>1</v>
      </c>
      <c r="K115" s="4">
        <f>VALUE(SUBSTITUTE(SUBSTITUTE(SUBSTITUTE(SUBSTITUTE(D115,"$",""),"€",""),"₽","")," ",""))*IF(ISNUMBER(FIND("$",D115)),Справочники!$H$3,IF(ISNUMBER(FIND("€",D115)),Справочники!$H$4,1))</f>
        <v>9000</v>
      </c>
      <c r="L115" t="str">
        <f>IFERROR(VLOOKUP(TRIM(G115),Справочники!$D$3:$E$13,2,0),"Нет в справочнике")</f>
        <v>Возврат</v>
      </c>
      <c r="M115" t="str">
        <f t="shared" si="102"/>
        <v/>
      </c>
      <c r="N115" t="str">
        <f>IFERROR(VLOOKUP(I115,Товары_очищенные!$H$2:$J$502,3,0),"Нет в каталоге")</f>
        <v>Мониторы</v>
      </c>
      <c r="O115" s="4">
        <f>IFERROR(VLOOKUP(I115,Товары_очищенные!$H$2:$M$502,6,0),"")</f>
        <v>75000</v>
      </c>
      <c r="P115" t="str">
        <f t="shared" si="103"/>
        <v xml:space="preserve">Цена отличается от каталога</v>
      </c>
    </row>
    <row r="116">
      <c r="A116" s="3" t="s">
        <v>2214</v>
      </c>
      <c r="B116" s="3" t="s">
        <v>652</v>
      </c>
      <c r="C116" s="3" t="s">
        <v>1930</v>
      </c>
      <c r="D116" s="3" t="s">
        <v>1964</v>
      </c>
      <c r="E116" s="3" t="s">
        <v>2215</v>
      </c>
      <c r="F116" s="3" t="s">
        <v>1676</v>
      </c>
      <c r="G116" s="3" t="s">
        <v>1903</v>
      </c>
      <c r="H116" s="5">
        <f t="shared" si="99"/>
        <v>45729</v>
      </c>
      <c r="I116" t="str">
        <f t="shared" si="100"/>
        <v>АРТ-154</v>
      </c>
      <c r="J116" s="6">
        <f t="shared" si="101"/>
        <v>3</v>
      </c>
      <c r="K116" s="4">
        <f>VALUE(SUBSTITUTE(SUBSTITUTE(SUBSTITUTE(SUBSTITUTE(D116,"$",""),"€",""),"₽","")," ",""))*IF(ISNUMBER(FIND("$",D116)),Справочники!$H$3,IF(ISNUMBER(FIND("€",D116)),Справочники!$H$4,1))</f>
        <v>9025</v>
      </c>
      <c r="L116" t="str">
        <f>IFERROR(VLOOKUP(TRIM(G116),Справочники!$D$3:$E$13,2,0),"Нет в справочнике")</f>
        <v>Завершен</v>
      </c>
      <c r="M116" t="str">
        <f t="shared" si="102"/>
        <v/>
      </c>
      <c r="N116" t="str">
        <f>IFERROR(VLOOKUP(I116,Товары_очищенные!$H$2:$J$502,3,0),"Нет в каталоге")</f>
        <v>Наушники</v>
      </c>
      <c r="O116" s="4">
        <f>IFERROR(VLOOKUP(I116,Товары_очищенные!$H$2:$M$502,6,0),"")</f>
        <v>16990</v>
      </c>
      <c r="P116" t="str">
        <f t="shared" si="103"/>
        <v xml:space="preserve">Цена отличается от каталога</v>
      </c>
    </row>
    <row r="117">
      <c r="A117" s="3" t="s">
        <v>2214</v>
      </c>
      <c r="B117" s="3" t="s">
        <v>2216</v>
      </c>
      <c r="C117" s="3" t="s">
        <v>1900</v>
      </c>
      <c r="D117" s="3" t="s">
        <v>1968</v>
      </c>
      <c r="E117" s="3" t="s">
        <v>2217</v>
      </c>
      <c r="F117" s="3" t="s">
        <v>1772</v>
      </c>
      <c r="G117" s="3" t="s">
        <v>1908</v>
      </c>
      <c r="H117" s="5">
        <f t="shared" si="99"/>
        <v>45729</v>
      </c>
      <c r="I117" t="str">
        <f t="shared" si="100"/>
        <v>АРТ-298</v>
      </c>
      <c r="J117" s="6">
        <f t="shared" si="101"/>
        <v>2</v>
      </c>
      <c r="K117" s="4">
        <f>VALUE(SUBSTITUTE(SUBSTITUTE(SUBSTITUTE(SUBSTITUTE(D117,"$",""),"€",""),"₽","")," ",""))*IF(ISNUMBER(FIND("$",D117)),Справочники!$H$3,IF(ISNUMBER(FIND("€",D117)),Справочники!$H$4,1))</f>
        <v>7500</v>
      </c>
      <c r="L117" t="str">
        <f>IFERROR(VLOOKUP(TRIM(G117),Справочники!$D$3:$E$13,2,0),"Нет в справочнике")</f>
        <v>Завершен</v>
      </c>
      <c r="M117" t="str">
        <f t="shared" si="102"/>
        <v/>
      </c>
      <c r="N117" t="str">
        <f>IFERROR(VLOOKUP(I117,Товары_очищенные!$H$2:$J$502,3,0),"Нет в каталоге")</f>
        <v>Телевизоры</v>
      </c>
      <c r="O117" s="4">
        <f>IFERROR(VLOOKUP(I117,Товары_очищенные!$H$2:$M$502,6,0),"")</f>
        <v>65990</v>
      </c>
      <c r="P117" t="str">
        <f t="shared" si="103"/>
        <v xml:space="preserve">Цена отличается от каталога</v>
      </c>
    </row>
    <row r="118">
      <c r="A118" s="3" t="s">
        <v>2218</v>
      </c>
      <c r="B118" s="3" t="s">
        <v>713</v>
      </c>
      <c r="C118" s="3" t="s">
        <v>1938</v>
      </c>
      <c r="D118" s="3" t="s">
        <v>1939</v>
      </c>
      <c r="E118" s="3" t="s">
        <v>2219</v>
      </c>
      <c r="F118" s="3" t="s">
        <v>1874</v>
      </c>
      <c r="G118" s="3" t="s">
        <v>1913</v>
      </c>
      <c r="H118" s="5">
        <f t="shared" si="99"/>
        <v>45730</v>
      </c>
      <c r="I118" t="str">
        <f t="shared" si="100"/>
        <v>АРТ-171</v>
      </c>
      <c r="J118" s="6">
        <f t="shared" si="101"/>
        <v>1</v>
      </c>
      <c r="K118" s="4">
        <f>VALUE(SUBSTITUTE(SUBSTITUTE(SUBSTITUTE(SUBSTITUTE(D118,"$",""),"€",""),"₽","")," ",""))*IF(ISNUMBER(FIND("$",D118)),Справочники!$H$3,IF(ISNUMBER(FIND("€",D118)),Справочники!$H$4,1))</f>
        <v>6500</v>
      </c>
      <c r="L118" t="str">
        <f>IFERROR(VLOOKUP(TRIM(G118),Справочники!$D$3:$E$13,2,0),"Нет в справочнике")</f>
        <v>Завершен</v>
      </c>
      <c r="M118" t="str">
        <f t="shared" si="102"/>
        <v/>
      </c>
      <c r="N118" t="str">
        <f>IFERROR(VLOOKUP(I118,Товары_очищенные!$H$2:$J$502,3,0),"Нет в каталоге")</f>
        <v>Смартфоны</v>
      </c>
      <c r="O118" s="4">
        <f>IFERROR(VLOOKUP(I118,Товары_очищенные!$H$2:$M$502,6,0),"")</f>
        <v>59500</v>
      </c>
      <c r="P118" t="str">
        <f t="shared" si="103"/>
        <v xml:space="preserve">Цена отличается от каталога</v>
      </c>
    </row>
    <row r="119">
      <c r="A119" s="3" t="s">
        <v>2218</v>
      </c>
      <c r="B119" s="3" t="s">
        <v>2220</v>
      </c>
      <c r="C119" s="3" t="s">
        <v>1942</v>
      </c>
      <c r="D119" s="3" t="s">
        <v>1916</v>
      </c>
      <c r="E119" s="3" t="s">
        <v>2221</v>
      </c>
      <c r="F119" s="3" t="s">
        <v>1601</v>
      </c>
      <c r="G119" s="3" t="s">
        <v>1918</v>
      </c>
      <c r="H119" s="5">
        <f t="shared" si="99"/>
        <v>45730</v>
      </c>
      <c r="I119" t="str">
        <f t="shared" si="100"/>
        <v>АРТ-329</v>
      </c>
      <c r="J119" s="6">
        <f t="shared" si="101"/>
        <v>-2</v>
      </c>
      <c r="K119" s="4">
        <f>VALUE(SUBSTITUTE(SUBSTITUTE(SUBSTITUTE(SUBSTITUTE(D119,"$",""),"€",""),"₽","")," ",""))*IF(ISNUMBER(FIND("$",D119)),Справочники!$H$3,IF(ISNUMBER(FIND("€",D119)),Справочники!$H$4,1))</f>
        <v>10450</v>
      </c>
      <c r="L119" t="str">
        <f>IFERROR(VLOOKUP(TRIM(G119),Справочники!$D$3:$E$13,2,0),"Нет в справочнике")</f>
        <v>Отменен</v>
      </c>
      <c r="M119" t="str">
        <f t="shared" si="102"/>
        <v/>
      </c>
      <c r="N119" t="str">
        <f>IFERROR(VLOOKUP(I119,Товары_очищенные!$H$2:$J$502,3,0),"Нет в каталоге")</f>
        <v>Аксессуары</v>
      </c>
      <c r="O119" s="4">
        <f>IFERROR(VLOOKUP(I119,Товары_очищенные!$H$2:$M$502,6,0),"")</f>
        <v>11500</v>
      </c>
      <c r="P119" t="str">
        <f t="shared" si="103"/>
        <v>ОК</v>
      </c>
    </row>
    <row r="120">
      <c r="A120" s="3" t="s">
        <v>2222</v>
      </c>
      <c r="B120" s="3" t="s">
        <v>2223</v>
      </c>
      <c r="C120" s="3" t="s">
        <v>1905</v>
      </c>
      <c r="D120" s="3" t="s">
        <v>1922</v>
      </c>
      <c r="E120" s="3" t="s">
        <v>2224</v>
      </c>
      <c r="F120" s="3" t="s">
        <v>1721</v>
      </c>
      <c r="G120" s="3" t="s">
        <v>1924</v>
      </c>
      <c r="H120" s="5">
        <f t="shared" si="99"/>
        <v>45731</v>
      </c>
      <c r="I120" t="str">
        <f t="shared" si="100"/>
        <v>АРТ-063</v>
      </c>
      <c r="J120" s="6">
        <f t="shared" si="101"/>
        <v>1</v>
      </c>
      <c r="K120" s="4">
        <f>VALUE(SUBSTITUTE(SUBSTITUTE(SUBSTITUTE(SUBSTITUTE(D120,"$",""),"€",""),"₽","")," ",""))*IF(ISNUMBER(FIND("$",D120)),Справочники!$H$3,IF(ISNUMBER(FIND("€",D120)),Справочники!$H$4,1))</f>
        <v>9000</v>
      </c>
      <c r="L120" t="str">
        <f>IFERROR(VLOOKUP(TRIM(G120),Справочники!$D$3:$E$13,2,0),"Нет в справочнике")</f>
        <v>Отменен</v>
      </c>
      <c r="M120" t="str">
        <f t="shared" si="102"/>
        <v/>
      </c>
      <c r="N120" t="str">
        <f>IFERROR(VLOOKUP(I120,Товары_очищенные!$H$2:$J$502,3,0),"Нет в каталоге")</f>
        <v>Ноутбуки</v>
      </c>
      <c r="O120" s="4">
        <f>IFERROR(VLOOKUP(I120,Товары_очищенные!$H$2:$M$502,6,0),"")</f>
        <v>127000</v>
      </c>
      <c r="P120" t="str">
        <f t="shared" si="103"/>
        <v xml:space="preserve">Цена отличается от каталога</v>
      </c>
    </row>
    <row r="121">
      <c r="A121" s="3" t="s">
        <v>2222</v>
      </c>
      <c r="B121" s="3" t="s">
        <v>2225</v>
      </c>
      <c r="C121" s="3" t="s">
        <v>1930</v>
      </c>
      <c r="D121" s="3" t="s">
        <v>1951</v>
      </c>
      <c r="E121" s="3" t="s">
        <v>2226</v>
      </c>
      <c r="F121" s="3" t="s">
        <v>1663</v>
      </c>
      <c r="G121" s="3" t="s">
        <v>1903</v>
      </c>
      <c r="H121" s="5">
        <f t="shared" si="99"/>
        <v>45731</v>
      </c>
      <c r="I121" t="str">
        <f t="shared" si="100"/>
        <v>АРТ-049</v>
      </c>
      <c r="J121" s="6">
        <f t="shared" si="101"/>
        <v>3</v>
      </c>
      <c r="K121" s="4">
        <f>VALUE(SUBSTITUTE(SUBSTITUTE(SUBSTITUTE(SUBSTITUTE(D121,"$",""),"€",""),"₽","")," ",""))*IF(ISNUMBER(FIND("$",D121)),Справочники!$H$3,IF(ISNUMBER(FIND("€",D121)),Справочники!$H$4,1))</f>
        <v>8500</v>
      </c>
      <c r="L121" t="str">
        <f>IFERROR(VLOOKUP(TRIM(G121),Справочники!$D$3:$E$13,2,0),"Нет в справочнике")</f>
        <v>Завершен</v>
      </c>
      <c r="M121" t="str">
        <f t="shared" si="102"/>
        <v/>
      </c>
      <c r="N121" t="str">
        <f>IFERROR(VLOOKUP(I121,Товары_очищенные!$H$2:$J$502,3,0),"Нет в каталоге")</f>
        <v>Смартфоны</v>
      </c>
      <c r="O121" s="4">
        <f>IFERROR(VLOOKUP(I121,Товары_очищенные!$H$2:$M$502,6,0),"")</f>
        <v>54999</v>
      </c>
      <c r="P121" t="str">
        <f t="shared" si="103"/>
        <v xml:space="preserve">Цена отличается от каталога</v>
      </c>
    </row>
    <row r="122">
      <c r="A122" s="3" t="s">
        <v>2227</v>
      </c>
      <c r="B122" s="3" t="s">
        <v>522</v>
      </c>
      <c r="C122" s="3" t="s">
        <v>1900</v>
      </c>
      <c r="D122" s="3" t="s">
        <v>1901</v>
      </c>
      <c r="E122" s="3" t="s">
        <v>2228</v>
      </c>
      <c r="F122" s="3" t="s">
        <v>1802</v>
      </c>
      <c r="G122" s="3" t="s">
        <v>1927</v>
      </c>
      <c r="H122" s="5">
        <f t="shared" si="99"/>
        <v>45732</v>
      </c>
      <c r="I122" t="str">
        <f t="shared" si="100"/>
        <v>АРТ-118</v>
      </c>
      <c r="J122" s="6">
        <f t="shared" si="101"/>
        <v>2</v>
      </c>
      <c r="K122" s="4">
        <f>VALUE(SUBSTITUTE(SUBSTITUTE(SUBSTITUTE(SUBSTITUTE(D122,"$",""),"€",""),"₽","")," ",""))*IF(ISNUMBER(FIND("$",D122)),Справочники!$H$3,IF(ISNUMBER(FIND("€",D122)),Справочники!$H$4,1))</f>
        <v>9500</v>
      </c>
      <c r="L122" t="str">
        <f>IFERROR(VLOOKUP(TRIM(G122),Справочники!$D$3:$E$13,2,0),"Нет в справочнике")</f>
        <v>Возврат</v>
      </c>
      <c r="M122" t="str">
        <f t="shared" si="102"/>
        <v/>
      </c>
      <c r="N122" t="str">
        <f>IFERROR(VLOOKUP(I122,Товары_очищенные!$H$2:$J$502,3,0),"Нет в каталоге")</f>
        <v>Аксессуары</v>
      </c>
      <c r="O122" s="4">
        <f>IFERROR(VLOOKUP(I122,Товары_очищенные!$H$2:$M$502,6,0),"")</f>
        <v>7990</v>
      </c>
      <c r="P122" t="str">
        <f t="shared" si="103"/>
        <v>ОК</v>
      </c>
    </row>
    <row r="123">
      <c r="A123" s="3" t="s">
        <v>2227</v>
      </c>
      <c r="B123" s="3" t="s">
        <v>1465</v>
      </c>
      <c r="C123" s="3" t="s">
        <v>1900</v>
      </c>
      <c r="D123" s="3" t="s">
        <v>1948</v>
      </c>
      <c r="E123" s="3" t="s">
        <v>2229</v>
      </c>
      <c r="F123" s="3" t="s">
        <v>1868</v>
      </c>
      <c r="G123" s="3" t="s">
        <v>1908</v>
      </c>
      <c r="H123" s="5">
        <f t="shared" si="99"/>
        <v>45732</v>
      </c>
      <c r="I123" t="str">
        <f t="shared" si="100"/>
        <v>АРТ-461</v>
      </c>
      <c r="J123" s="6">
        <f t="shared" si="101"/>
        <v>2</v>
      </c>
      <c r="K123" s="4">
        <f>VALUE(SUBSTITUTE(SUBSTITUTE(SUBSTITUTE(SUBSTITUTE(D123,"$",""),"€",""),"₽","")," ",""))*IF(ISNUMBER(FIND("$",D123)),Справочники!$H$3,IF(ISNUMBER(FIND("€",D123)),Справочники!$H$4,1))</f>
        <v>8000</v>
      </c>
      <c r="L123" t="str">
        <f>IFERROR(VLOOKUP(TRIM(G123),Справочники!$D$3:$E$13,2,0),"Нет в справочнике")</f>
        <v>Завершен</v>
      </c>
      <c r="M123" t="str">
        <f t="shared" si="102"/>
        <v/>
      </c>
      <c r="N123" t="str">
        <f>IFERROR(VLOOKUP(I123,Товары_очищенные!$H$2:$J$502,3,0),"Нет в каталоге")</f>
        <v>Часы</v>
      </c>
      <c r="O123" s="4">
        <f>IFERROR(VLOOKUP(I123,Товары_очищенные!$H$2:$M$502,6,0),"")</f>
        <v>46000</v>
      </c>
      <c r="P123" t="str">
        <f t="shared" si="103"/>
        <v xml:space="preserve">Цена отличается от каталога</v>
      </c>
    </row>
    <row r="124">
      <c r="A124" s="3" t="s">
        <v>2230</v>
      </c>
      <c r="B124" s="3" t="s">
        <v>2231</v>
      </c>
      <c r="C124" s="3" t="s">
        <v>2020</v>
      </c>
      <c r="D124" s="3" t="s">
        <v>1911</v>
      </c>
      <c r="E124" s="3" t="s">
        <v>2232</v>
      </c>
      <c r="F124" s="3" t="s">
        <v>1587</v>
      </c>
      <c r="G124" s="3" t="s">
        <v>1913</v>
      </c>
      <c r="H124" s="5">
        <f t="shared" si="99"/>
        <v>45733</v>
      </c>
      <c r="I124" t="str">
        <f t="shared" si="100"/>
        <v>АРТ-329</v>
      </c>
      <c r="J124" s="6">
        <f t="shared" si="101"/>
        <v>2</v>
      </c>
      <c r="K124" s="4">
        <f>VALUE(SUBSTITUTE(SUBSTITUTE(SUBSTITUTE(SUBSTITUTE(D124,"$",""),"€",""),"₽","")," ",""))*IF(ISNUMBER(FIND("$",D124)),Справочники!$H$3,IF(ISNUMBER(FIND("€",D124)),Справочники!$H$4,1))</f>
        <v>7500</v>
      </c>
      <c r="L124" t="str">
        <f>IFERROR(VLOOKUP(TRIM(G124),Справочники!$D$3:$E$13,2,0),"Нет в справочнике")</f>
        <v>Завершен</v>
      </c>
      <c r="M124" t="str">
        <f t="shared" si="102"/>
        <v/>
      </c>
      <c r="N124" t="str">
        <f>IFERROR(VLOOKUP(I124,Товары_очищенные!$H$2:$J$502,3,0),"Нет в каталоге")</f>
        <v>Аксессуары</v>
      </c>
      <c r="O124" s="4">
        <f>IFERROR(VLOOKUP(I124,Товары_очищенные!$H$2:$M$502,6,0),"")</f>
        <v>11500</v>
      </c>
      <c r="P124" t="str">
        <f t="shared" si="103"/>
        <v xml:space="preserve">Цена отличается от каталога</v>
      </c>
    </row>
    <row r="125">
      <c r="A125" s="3" t="s">
        <v>2230</v>
      </c>
      <c r="B125" s="3" t="s">
        <v>2233</v>
      </c>
      <c r="C125" s="3" t="s">
        <v>1915</v>
      </c>
      <c r="D125" s="3" t="s">
        <v>1943</v>
      </c>
      <c r="E125" s="3" t="s">
        <v>2234</v>
      </c>
      <c r="F125" s="3" t="s">
        <v>1734</v>
      </c>
      <c r="G125" s="3" t="s">
        <v>1903</v>
      </c>
      <c r="H125" s="5">
        <f t="shared" si="99"/>
        <v>45733</v>
      </c>
      <c r="I125" t="str">
        <f t="shared" si="100"/>
        <v>АРТ-344</v>
      </c>
      <c r="J125" s="6">
        <f t="shared" si="101"/>
        <v>-1</v>
      </c>
      <c r="K125" s="4">
        <f>VALUE(SUBSTITUTE(SUBSTITUTE(SUBSTITUTE(SUBSTITUTE(D125,"$",""),"€",""),"₽","")," ",""))*IF(ISNUMBER(FIND("$",D125)),Справочники!$H$3,IF(ISNUMBER(FIND("€",D125)),Справочники!$H$4,1))</f>
        <v>10925</v>
      </c>
      <c r="L125" t="str">
        <f>IFERROR(VLOOKUP(TRIM(G125),Справочники!$D$3:$E$13,2,0),"Нет в справочнике")</f>
        <v>Завершен</v>
      </c>
      <c r="M125" t="str">
        <f t="shared" si="102"/>
        <v/>
      </c>
      <c r="N125" t="str">
        <f>IFERROR(VLOOKUP(I125,Товары_очищенные!$H$2:$J$502,3,0),"Нет в каталоге")</f>
        <v>Телевизоры</v>
      </c>
      <c r="O125" s="4">
        <f>IFERROR(VLOOKUP(I125,Товары_очищенные!$H$2:$M$502,6,0),"")</f>
        <v>82000</v>
      </c>
      <c r="P125" t="str">
        <f t="shared" si="103"/>
        <v xml:space="preserve">Цена отличается от каталога</v>
      </c>
    </row>
    <row r="126">
      <c r="A126" s="3" t="s">
        <v>2235</v>
      </c>
      <c r="B126" s="3" t="s">
        <v>2236</v>
      </c>
      <c r="C126" s="3" t="s">
        <v>1930</v>
      </c>
      <c r="D126" s="3" t="s">
        <v>1934</v>
      </c>
      <c r="E126" s="3" t="s">
        <v>2237</v>
      </c>
      <c r="F126" s="3" t="s">
        <v>1649</v>
      </c>
      <c r="G126" s="3" t="s">
        <v>1924</v>
      </c>
      <c r="H126" s="5">
        <f t="shared" si="99"/>
        <v>45734</v>
      </c>
      <c r="I126" t="str">
        <f t="shared" si="100"/>
        <v>АРТ-291</v>
      </c>
      <c r="J126" s="6">
        <f t="shared" si="101"/>
        <v>3</v>
      </c>
      <c r="K126" s="4">
        <f>VALUE(SUBSTITUTE(SUBSTITUTE(SUBSTITUTE(SUBSTITUTE(D126,"$",""),"€",""),"₽","")," ",""))*IF(ISNUMBER(FIND("$",D126)),Справочники!$H$3,IF(ISNUMBER(FIND("€",D126)),Справочники!$H$4,1))</f>
        <v>9500</v>
      </c>
      <c r="L126" t="str">
        <f>IFERROR(VLOOKUP(TRIM(G126),Справочники!$D$3:$E$13,2,0),"Нет в справочнике")</f>
        <v>Отменен</v>
      </c>
      <c r="M126" t="str">
        <f t="shared" si="102"/>
        <v/>
      </c>
      <c r="N126" t="str">
        <f>IFERROR(VLOOKUP(I126,Товары_очищенные!$H$2:$J$502,3,0),"Нет в каталоге")</f>
        <v>Часы</v>
      </c>
      <c r="O126" s="4">
        <f>IFERROR(VLOOKUP(I126,Товары_очищенные!$H$2:$M$502,6,0),"")</f>
        <v>65000</v>
      </c>
      <c r="P126" t="str">
        <f t="shared" si="103"/>
        <v xml:space="preserve">Цена отличается от каталога</v>
      </c>
    </row>
    <row r="127">
      <c r="A127" s="3" t="s">
        <v>2235</v>
      </c>
      <c r="B127" s="3" t="s">
        <v>2238</v>
      </c>
      <c r="C127" s="3" t="s">
        <v>1905</v>
      </c>
      <c r="D127" s="3" t="s">
        <v>2050</v>
      </c>
      <c r="E127" s="3" t="s">
        <v>2239</v>
      </c>
      <c r="F127" s="3" t="s">
        <v>1784</v>
      </c>
      <c r="G127" s="3" t="s">
        <v>1918</v>
      </c>
      <c r="H127" s="5">
        <f t="shared" si="99"/>
        <v>45734</v>
      </c>
      <c r="I127" t="str">
        <f t="shared" si="100"/>
        <v>АРТ-133</v>
      </c>
      <c r="J127" s="6">
        <f t="shared" si="101"/>
        <v>1</v>
      </c>
      <c r="K127" s="4">
        <f>VALUE(SUBSTITUTE(SUBSTITUTE(SUBSTITUTE(SUBSTITUTE(D127,"$",""),"€",""),"₽","")," ",""))*IF(ISNUMBER(FIND("$",D127)),Справочники!$H$3,IF(ISNUMBER(FIND("€",D127)),Справочники!$H$4,1))</f>
        <v>8800</v>
      </c>
      <c r="L127" t="str">
        <f>IFERROR(VLOOKUP(TRIM(G127),Справочники!$D$3:$E$13,2,0),"Нет в справочнике")</f>
        <v>Отменен</v>
      </c>
      <c r="M127" t="str">
        <f t="shared" si="102"/>
        <v/>
      </c>
      <c r="N127" t="str">
        <f>IFERROR(VLOOKUP(I127,Товары_очищенные!$H$2:$J$502,3,0),"Нет в каталоге")</f>
        <v>Телевизоры</v>
      </c>
      <c r="O127" s="4">
        <f>IFERROR(VLOOKUP(I127,Товары_очищенные!$H$2:$M$502,6,0),"")</f>
        <v>126990</v>
      </c>
      <c r="P127" t="str">
        <f t="shared" si="103"/>
        <v xml:space="preserve">Цена отличается от каталога</v>
      </c>
    </row>
    <row r="128">
      <c r="A128" s="3" t="s">
        <v>2240</v>
      </c>
      <c r="B128" s="3" t="s">
        <v>2241</v>
      </c>
      <c r="C128" s="3" t="s">
        <v>1900</v>
      </c>
      <c r="D128" s="3" t="s">
        <v>1955</v>
      </c>
      <c r="E128" s="3" t="s">
        <v>2242</v>
      </c>
      <c r="F128" s="3" t="s">
        <v>1844</v>
      </c>
      <c r="G128" s="3" t="s">
        <v>1927</v>
      </c>
      <c r="H128" s="5">
        <f t="shared" si="99"/>
        <v>45735</v>
      </c>
      <c r="I128" t="str">
        <f t="shared" si="100"/>
        <v>АРТ-251</v>
      </c>
      <c r="J128" s="6">
        <f t="shared" si="101"/>
        <v>2</v>
      </c>
      <c r="K128" s="4">
        <f>VALUE(SUBSTITUTE(SUBSTITUTE(SUBSTITUTE(SUBSTITUTE(D128,"$",""),"€",""),"₽","")," ",""))*IF(ISNUMBER(FIND("$",D128)),Справочники!$H$3,IF(ISNUMBER(FIND("€",D128)),Справочники!$H$4,1))</f>
        <v>12350</v>
      </c>
      <c r="L128" t="str">
        <f>IFERROR(VLOOKUP(TRIM(G128),Справочники!$D$3:$E$13,2,0),"Нет в справочнике")</f>
        <v>Возврат</v>
      </c>
      <c r="M128" t="str">
        <f t="shared" si="102"/>
        <v/>
      </c>
      <c r="N128" t="str">
        <f>IFERROR(VLOOKUP(I128,Товары_очищенные!$H$2:$J$502,3,0),"Нет в каталоге")</f>
        <v>Часы</v>
      </c>
      <c r="O128" s="4">
        <f>IFERROR(VLOOKUP(I128,Товары_очищенные!$H$2:$M$502,6,0),"")</f>
        <v>53500</v>
      </c>
      <c r="P128" t="str">
        <f t="shared" si="103"/>
        <v xml:space="preserve">Цена отличается от каталога</v>
      </c>
    </row>
    <row r="129">
      <c r="A129" s="3" t="s">
        <v>2240</v>
      </c>
      <c r="B129" s="3" t="s">
        <v>863</v>
      </c>
      <c r="C129" s="3" t="s">
        <v>1905</v>
      </c>
      <c r="D129" s="3" t="s">
        <v>1958</v>
      </c>
      <c r="E129" s="3" t="s">
        <v>2243</v>
      </c>
      <c r="F129" s="3" t="s">
        <v>1566</v>
      </c>
      <c r="G129" s="3" t="s">
        <v>1903</v>
      </c>
      <c r="H129" s="5">
        <f t="shared" si="99"/>
        <v>45735</v>
      </c>
      <c r="I129" t="str">
        <f t="shared" si="100"/>
        <v>АРТ-218</v>
      </c>
      <c r="J129" s="6">
        <f t="shared" si="101"/>
        <v>1</v>
      </c>
      <c r="K129" s="4">
        <f>VALUE(SUBSTITUTE(SUBSTITUTE(SUBSTITUTE(SUBSTITUTE(D129,"$",""),"€",""),"₽","")," ",""))*IF(ISNUMBER(FIND("$",D129)),Справочники!$H$3,IF(ISNUMBER(FIND("€",D129)),Справочники!$H$4,1))</f>
        <v>11000</v>
      </c>
      <c r="L129" t="str">
        <f>IFERROR(VLOOKUP(TRIM(G129),Справочники!$D$3:$E$13,2,0),"Нет в справочнике")</f>
        <v>Завершен</v>
      </c>
      <c r="M129" t="str">
        <f t="shared" si="102"/>
        <v/>
      </c>
      <c r="N129" t="str">
        <f>IFERROR(VLOOKUP(I129,Товары_очищенные!$H$2:$J$502,3,0),"Нет в каталоге")</f>
        <v>Телевизоры</v>
      </c>
      <c r="O129" s="4">
        <f>IFERROR(VLOOKUP(I129,Товары_очищенные!$H$2:$M$502,6,0),"")</f>
        <v>67500</v>
      </c>
      <c r="P129" t="str">
        <f t="shared" si="103"/>
        <v xml:space="preserve">Цена отличается от каталога</v>
      </c>
    </row>
    <row r="130">
      <c r="A130" s="3" t="s">
        <v>2244</v>
      </c>
      <c r="B130" s="3" t="s">
        <v>2245</v>
      </c>
      <c r="C130" s="3" t="s">
        <v>1910</v>
      </c>
      <c r="D130" s="3" t="s">
        <v>1982</v>
      </c>
      <c r="E130" s="3" t="s">
        <v>2246</v>
      </c>
      <c r="F130" s="3" t="s">
        <v>1701</v>
      </c>
      <c r="G130" s="3" t="s">
        <v>1908</v>
      </c>
      <c r="H130" s="5">
        <f t="shared" si="99"/>
        <v>45736</v>
      </c>
      <c r="I130" t="str">
        <f t="shared" si="100"/>
        <v>АРТ-378</v>
      </c>
      <c r="J130" s="6">
        <f t="shared" si="101"/>
        <v>3</v>
      </c>
      <c r="K130" s="4">
        <f>VALUE(SUBSTITUTE(SUBSTITUTE(SUBSTITUTE(SUBSTITUTE(D130,"$",""),"€",""),"₽","")," ",""))*IF(ISNUMBER(FIND("$",D130)),Справочники!$H$3,IF(ISNUMBER(FIND("€",D130)),Справочники!$H$4,1))</f>
        <v>10000</v>
      </c>
      <c r="L130" t="str">
        <f>IFERROR(VLOOKUP(TRIM(G130),Справочники!$D$3:$E$13,2,0),"Нет в справочнике")</f>
        <v>Завершен</v>
      </c>
      <c r="M130" t="str">
        <f t="shared" si="102"/>
        <v/>
      </c>
      <c r="N130" t="str">
        <f>IFERROR(VLOOKUP(I130,Товары_очищенные!$H$2:$J$502,3,0),"Нет в каталоге")</f>
        <v>Часы</v>
      </c>
      <c r="O130" s="4">
        <f>IFERROR(VLOOKUP(I130,Товары_очищенные!$H$2:$M$502,6,0),"")</f>
        <v>26500</v>
      </c>
      <c r="P130" t="str">
        <f t="shared" si="103"/>
        <v xml:space="preserve">Цена отличается от каталога</v>
      </c>
    </row>
    <row r="131">
      <c r="A131" s="3" t="s">
        <v>2244</v>
      </c>
      <c r="B131" s="3" t="s">
        <v>2247</v>
      </c>
      <c r="C131" s="3" t="s">
        <v>1942</v>
      </c>
      <c r="D131" s="3" t="s">
        <v>1986</v>
      </c>
      <c r="E131" s="3" t="s">
        <v>2248</v>
      </c>
      <c r="F131" s="3" t="s">
        <v>1814</v>
      </c>
      <c r="G131" s="3" t="s">
        <v>1913</v>
      </c>
      <c r="H131" s="5">
        <f t="shared" si="99"/>
        <v>45736</v>
      </c>
      <c r="I131" t="str">
        <f t="shared" si="100"/>
        <v>АРТ-161</v>
      </c>
      <c r="J131" s="6">
        <f t="shared" si="101"/>
        <v>-2</v>
      </c>
      <c r="K131" s="4">
        <f>VALUE(SUBSTITUTE(SUBSTITUTE(SUBSTITUTE(SUBSTITUTE(D131,"$",""),"€",""),"₽","")," ",""))*IF(ISNUMBER(FIND("$",D131)),Справочники!$H$3,IF(ISNUMBER(FIND("€",D131)),Справочники!$H$4,1))</f>
        <v>8550</v>
      </c>
      <c r="L131" t="str">
        <f>IFERROR(VLOOKUP(TRIM(G131),Справочники!$D$3:$E$13,2,0),"Нет в справочнике")</f>
        <v>Завершен</v>
      </c>
      <c r="M131" t="str">
        <f t="shared" si="102"/>
        <v/>
      </c>
      <c r="N131" t="str">
        <f>IFERROR(VLOOKUP(I131,Товары_очищенные!$H$2:$J$502,3,0),"Нет в каталоге")</f>
        <v>Аксессуары</v>
      </c>
      <c r="O131" s="4">
        <f>IFERROR(VLOOKUP(I131,Товары_очищенные!$H$2:$M$502,6,0),"")</f>
        <v>8500</v>
      </c>
      <c r="P131" t="str">
        <f t="shared" si="103"/>
        <v>ОК</v>
      </c>
    </row>
    <row r="132">
      <c r="A132" s="3" t="s">
        <v>2249</v>
      </c>
      <c r="B132" s="3" t="s">
        <v>2250</v>
      </c>
      <c r="C132" s="3" t="s">
        <v>1905</v>
      </c>
      <c r="D132" s="3" t="s">
        <v>1989</v>
      </c>
      <c r="E132" s="3" t="s">
        <v>2251</v>
      </c>
      <c r="F132" s="3" t="s">
        <v>1880</v>
      </c>
      <c r="G132" s="3" t="s">
        <v>1918</v>
      </c>
      <c r="H132" s="5">
        <f t="shared" si="99"/>
        <v>45737</v>
      </c>
      <c r="I132" t="str">
        <f t="shared" si="100"/>
        <v>АРТ-480</v>
      </c>
      <c r="J132" s="6">
        <f t="shared" si="101"/>
        <v>1</v>
      </c>
      <c r="K132" s="4">
        <f>VALUE(SUBSTITUTE(SUBSTITUTE(SUBSTITUTE(SUBSTITUTE(D132,"$",""),"€",""),"₽","")," ",""))*IF(ISNUMBER(FIND("$",D132)),Справочники!$H$3,IF(ISNUMBER(FIND("€",D132)),Справочники!$H$4,1))</f>
        <v>7000</v>
      </c>
      <c r="L132" t="str">
        <f>IFERROR(VLOOKUP(TRIM(G132),Справочники!$D$3:$E$13,2,0),"Нет в справочнике")</f>
        <v>Отменен</v>
      </c>
      <c r="M132" t="str">
        <f t="shared" si="102"/>
        <v/>
      </c>
      <c r="N132" t="str">
        <f>IFERROR(VLOOKUP(I132,Товары_очищенные!$H$2:$J$502,3,0),"Нет в каталоге")</f>
        <v>Аксессуары</v>
      </c>
      <c r="O132" s="4">
        <f>IFERROR(VLOOKUP(I132,Товары_очищенные!$H$2:$M$502,6,0),"")</f>
        <v>13800</v>
      </c>
      <c r="P132" t="str">
        <f t="shared" si="103"/>
        <v xml:space="preserve">Цена отличается от каталога</v>
      </c>
    </row>
    <row r="133">
      <c r="A133" s="3" t="s">
        <v>2249</v>
      </c>
      <c r="B133" s="3" t="s">
        <v>2252</v>
      </c>
      <c r="C133" s="3" t="s">
        <v>1900</v>
      </c>
      <c r="D133" s="3" t="s">
        <v>1939</v>
      </c>
      <c r="E133" s="3" t="s">
        <v>2253</v>
      </c>
      <c r="F133" s="3" t="s">
        <v>1636</v>
      </c>
      <c r="G133" s="3" t="s">
        <v>1924</v>
      </c>
      <c r="H133" s="5">
        <f t="shared" si="99"/>
        <v>45737</v>
      </c>
      <c r="I133" t="str">
        <f t="shared" si="100"/>
        <v>АРТ-059</v>
      </c>
      <c r="J133" s="6">
        <f t="shared" si="101"/>
        <v>2</v>
      </c>
      <c r="K133" s="4">
        <f>VALUE(SUBSTITUTE(SUBSTITUTE(SUBSTITUTE(SUBSTITUTE(D133,"$",""),"€",""),"₽","")," ",""))*IF(ISNUMBER(FIND("$",D133)),Справочники!$H$3,IF(ISNUMBER(FIND("€",D133)),Справочники!$H$4,1))</f>
        <v>6500</v>
      </c>
      <c r="L133" t="str">
        <f>IFERROR(VLOOKUP(TRIM(G133),Справочники!$D$3:$E$13,2,0),"Нет в справочнике")</f>
        <v>Отменен</v>
      </c>
      <c r="M133" t="str">
        <f t="shared" si="102"/>
        <v/>
      </c>
      <c r="N133" t="str">
        <f>IFERROR(VLOOKUP(I133,Товары_очищенные!$H$2:$J$502,3,0),"Нет в каталоге")</f>
        <v>Планшеты</v>
      </c>
      <c r="O133" s="4">
        <f>IFERROR(VLOOKUP(I133,Товары_очищенные!$H$2:$M$502,6,0),"")</f>
        <v>66000</v>
      </c>
      <c r="P133" t="str">
        <f t="shared" si="103"/>
        <v xml:space="preserve">Цена отличается от каталога</v>
      </c>
    </row>
    <row r="134">
      <c r="A134" s="3" t="s">
        <v>2254</v>
      </c>
      <c r="B134" s="3" t="s">
        <v>2255</v>
      </c>
      <c r="C134" s="3" t="s">
        <v>1930</v>
      </c>
      <c r="D134" s="3" t="s">
        <v>1931</v>
      </c>
      <c r="E134" s="3" t="s">
        <v>2256</v>
      </c>
      <c r="F134" s="3" t="s">
        <v>1740</v>
      </c>
      <c r="G134" s="3" t="s">
        <v>1903</v>
      </c>
      <c r="H134" s="5">
        <f t="shared" si="99"/>
        <v>45738</v>
      </c>
      <c r="I134" t="str">
        <f t="shared" si="100"/>
        <v>АРТ-222</v>
      </c>
      <c r="J134" s="6">
        <f t="shared" si="101"/>
        <v>3</v>
      </c>
      <c r="K134" s="4">
        <f>VALUE(SUBSTITUTE(SUBSTITUTE(SUBSTITUTE(SUBSTITUTE(D134,"$",""),"€",""),"₽","")," ",""))*IF(ISNUMBER(FIND("$",D134)),Справочники!$H$3,IF(ISNUMBER(FIND("€",D134)),Справочники!$H$4,1))</f>
        <v>9975</v>
      </c>
      <c r="L134" t="str">
        <f>IFERROR(VLOOKUP(TRIM(G134),Справочники!$D$3:$E$13,2,0),"Нет в справочнике")</f>
        <v>Завершен</v>
      </c>
      <c r="M134" t="str">
        <f t="shared" si="102"/>
        <v/>
      </c>
      <c r="N134" t="str">
        <f>IFERROR(VLOOKUP(I134,Товары_очищенные!$H$2:$J$502,3,0),"Нет в каталоге")</f>
        <v>Наушники</v>
      </c>
      <c r="O134" s="4">
        <f>IFERROR(VLOOKUP(I134,Товары_очищенные!$H$2:$M$502,6,0),"")</f>
        <v>26000</v>
      </c>
      <c r="P134" t="str">
        <f t="shared" si="103"/>
        <v xml:space="preserve">Цена отличается от каталога</v>
      </c>
    </row>
    <row r="135">
      <c r="A135" s="3" t="s">
        <v>2254</v>
      </c>
      <c r="B135" s="3" t="s">
        <v>2120</v>
      </c>
      <c r="C135" s="3" t="s">
        <v>1900</v>
      </c>
      <c r="D135" s="3" t="s">
        <v>1906</v>
      </c>
      <c r="E135" s="3" t="s">
        <v>2257</v>
      </c>
      <c r="F135" s="3" t="s">
        <v>1682</v>
      </c>
      <c r="G135" s="3" t="s">
        <v>1927</v>
      </c>
      <c r="H135" s="5">
        <f t="shared" si="99"/>
        <v>45738</v>
      </c>
      <c r="I135" t="str">
        <f t="shared" si="100"/>
        <v>АРТ-348</v>
      </c>
      <c r="J135" s="6">
        <f t="shared" si="101"/>
        <v>2</v>
      </c>
      <c r="K135" s="4">
        <f>VALUE(SUBSTITUTE(SUBSTITUTE(SUBSTITUTE(SUBSTITUTE(D135,"$",""),"€",""),"₽","")," ",""))*IF(ISNUMBER(FIND("$",D135)),Справочники!$H$3,IF(ISNUMBER(FIND("€",D135)),Справочники!$H$4,1))</f>
        <v>8500</v>
      </c>
      <c r="L135" t="str">
        <f>IFERROR(VLOOKUP(TRIM(G135),Справочники!$D$3:$E$13,2,0),"Нет в справочнике")</f>
        <v>Возврат</v>
      </c>
      <c r="M135" t="str">
        <f t="shared" si="102"/>
        <v/>
      </c>
      <c r="N135" t="str">
        <f>IFERROR(VLOOKUP(I135,Товары_очищенные!$H$2:$J$502,3,0),"Нет в каталоге")</f>
        <v>Наушники</v>
      </c>
      <c r="O135" s="4">
        <f>IFERROR(VLOOKUP(I135,Товары_очищенные!$H$2:$M$502,6,0),"")</f>
        <v>20800</v>
      </c>
      <c r="P135" t="str">
        <f t="shared" si="103"/>
        <v xml:space="preserve">Цена отличается от каталога</v>
      </c>
    </row>
    <row r="136">
      <c r="A136" s="3" t="s">
        <v>2258</v>
      </c>
      <c r="B136" s="3" t="s">
        <v>2259</v>
      </c>
      <c r="C136" s="3" t="s">
        <v>1938</v>
      </c>
      <c r="D136" s="3" t="s">
        <v>2166</v>
      </c>
      <c r="E136" s="3" t="s">
        <v>2260</v>
      </c>
      <c r="F136" s="3" t="s">
        <v>1820</v>
      </c>
      <c r="G136" s="3" t="s">
        <v>1908</v>
      </c>
      <c r="H136" s="5">
        <f t="shared" si="99"/>
        <v>45739</v>
      </c>
      <c r="I136" t="str">
        <f t="shared" si="100"/>
        <v>АРТ-097</v>
      </c>
      <c r="J136" s="6">
        <f t="shared" si="101"/>
        <v>1</v>
      </c>
      <c r="K136" s="4">
        <f>VALUE(SUBSTITUTE(SUBSTITUTE(SUBSTITUTE(SUBSTITUTE(D136,"$",""),"€",""),"₽","")," ",""))*IF(ISNUMBER(FIND("$",D136)),Справочники!$H$3,IF(ISNUMBER(FIND("€",D136)),Справочники!$H$4,1))</f>
        <v>7800</v>
      </c>
      <c r="L136" t="str">
        <f>IFERROR(VLOOKUP(TRIM(G136),Справочники!$D$3:$E$13,2,0),"Нет в справочнике")</f>
        <v>Завершен</v>
      </c>
      <c r="M136" t="str">
        <f t="shared" si="102"/>
        <v/>
      </c>
      <c r="N136" t="str">
        <f>IFERROR(VLOOKUP(I136,Товары_очищенные!$H$2:$J$502,3,0),"Нет в каталоге")</f>
        <v>Аксессуары</v>
      </c>
      <c r="O136" s="4">
        <f>IFERROR(VLOOKUP(I136,Товары_очищенные!$H$2:$M$502,6,0),"")</f>
        <v>6990</v>
      </c>
      <c r="P136" t="str">
        <f t="shared" si="103"/>
        <v>ОК</v>
      </c>
    </row>
    <row r="137">
      <c r="A137" s="3" t="s">
        <v>2258</v>
      </c>
      <c r="B137" s="3" t="s">
        <v>2261</v>
      </c>
      <c r="C137" s="3" t="s">
        <v>1985</v>
      </c>
      <c r="D137" s="3" t="s">
        <v>2044</v>
      </c>
      <c r="E137" s="3" t="s">
        <v>2262</v>
      </c>
      <c r="F137" s="3" t="s">
        <v>1580</v>
      </c>
      <c r="G137" s="3" t="s">
        <v>1913</v>
      </c>
      <c r="H137" s="5">
        <f t="shared" si="99"/>
        <v>45739</v>
      </c>
      <c r="I137" t="str">
        <f t="shared" si="100"/>
        <v>АРТ-306</v>
      </c>
      <c r="J137" s="6">
        <f t="shared" si="101"/>
        <v>-3</v>
      </c>
      <c r="K137" s="4">
        <f>VALUE(SUBSTITUTE(SUBSTITUTE(SUBSTITUTE(SUBSTITUTE(D137,"$",""),"€",""),"₽","")," ",""))*IF(ISNUMBER(FIND("$",D137)),Справочники!$H$3,IF(ISNUMBER(FIND("€",D137)),Справочники!$H$4,1))</f>
        <v>11400</v>
      </c>
      <c r="L137" t="str">
        <f>IFERROR(VLOOKUP(TRIM(G137),Справочники!$D$3:$E$13,2,0),"Нет в справочнике")</f>
        <v>Завершен</v>
      </c>
      <c r="M137" t="str">
        <f t="shared" si="102"/>
        <v/>
      </c>
      <c r="N137" t="str">
        <f>IFERROR(VLOOKUP(I137,Товары_очищенные!$H$2:$J$502,3,0),"Нет в каталоге")</f>
        <v>Мониторы</v>
      </c>
      <c r="O137" s="4">
        <f>IFERROR(VLOOKUP(I137,Товары_очищенные!$H$2:$M$502,6,0),"")</f>
        <v>62000</v>
      </c>
      <c r="P137" t="str">
        <f t="shared" si="103"/>
        <v xml:space="preserve">Цена отличается от каталога</v>
      </c>
    </row>
    <row r="138">
      <c r="A138" s="3" t="s">
        <v>2263</v>
      </c>
      <c r="B138" s="3" t="s">
        <v>2264</v>
      </c>
      <c r="C138" s="3" t="s">
        <v>1900</v>
      </c>
      <c r="D138" s="3" t="s">
        <v>2046</v>
      </c>
      <c r="E138" s="3" t="s">
        <v>2265</v>
      </c>
      <c r="F138" s="3" t="s">
        <v>1727</v>
      </c>
      <c r="G138" s="3" t="s">
        <v>1903</v>
      </c>
      <c r="H138" s="5">
        <f t="shared" si="99"/>
        <v>45740</v>
      </c>
      <c r="I138" t="str">
        <f t="shared" si="100"/>
        <v>АРТ-184</v>
      </c>
      <c r="J138" s="6">
        <f t="shared" si="101"/>
        <v>2</v>
      </c>
      <c r="K138" s="4">
        <f>VALUE(SUBSTITUTE(SUBSTITUTE(SUBSTITUTE(SUBSTITUTE(D138,"$",""),"€",""),"₽","")," ",""))*IF(ISNUMBER(FIND("$",D138)),Справочники!$H$3,IF(ISNUMBER(FIND("€",D138)),Справочники!$H$4,1))</f>
        <v>10000</v>
      </c>
      <c r="L138" t="str">
        <f>IFERROR(VLOOKUP(TRIM(G138),Справочники!$D$3:$E$13,2,0),"Нет в справочнике")</f>
        <v>Завершен</v>
      </c>
      <c r="M138" t="str">
        <f t="shared" si="102"/>
        <v/>
      </c>
      <c r="N138" t="str">
        <f>IFERROR(VLOOKUP(I138,Товары_очищенные!$H$2:$J$502,3,0),"Нет в каталоге")</f>
        <v>Аксессуары</v>
      </c>
      <c r="O138" s="4">
        <f>IFERROR(VLOOKUP(I138,Товары_очищенные!$H$2:$M$502,6,0),"")</f>
        <v>19990</v>
      </c>
      <c r="P138" t="str">
        <f t="shared" si="103"/>
        <v xml:space="preserve">Цена отличается от каталога</v>
      </c>
    </row>
    <row r="139">
      <c r="A139" s="3" t="s">
        <v>2263</v>
      </c>
      <c r="B139" s="3" t="s">
        <v>2266</v>
      </c>
      <c r="C139" s="3" t="s">
        <v>1905</v>
      </c>
      <c r="D139" s="3" t="s">
        <v>2087</v>
      </c>
      <c r="E139" s="3" t="s">
        <v>2267</v>
      </c>
      <c r="F139" s="3" t="s">
        <v>1629</v>
      </c>
      <c r="G139" s="3" t="s">
        <v>1924</v>
      </c>
      <c r="H139" s="5">
        <f t="shared" si="99"/>
        <v>45740</v>
      </c>
      <c r="I139" t="str">
        <f t="shared" si="100"/>
        <v>АРТ-256</v>
      </c>
      <c r="J139" s="6">
        <f t="shared" si="101"/>
        <v>1</v>
      </c>
      <c r="K139" s="4">
        <f>VALUE(SUBSTITUTE(SUBSTITUTE(SUBSTITUTE(SUBSTITUTE(D139,"$",""),"€",""),"₽","")," ",""))*IF(ISNUMBER(FIND("$",D139)),Справочники!$H$3,IF(ISNUMBER(FIND("€",D139)),Справочники!$H$4,1))</f>
        <v>9200</v>
      </c>
      <c r="L139" t="str">
        <f>IFERROR(VLOOKUP(TRIM(G139),Справочники!$D$3:$E$13,2,0),"Нет в справочнике")</f>
        <v>Отменен</v>
      </c>
      <c r="M139" t="str">
        <f t="shared" si="102"/>
        <v/>
      </c>
      <c r="N139" t="str">
        <f>IFERROR(VLOOKUP(I139,Товары_очищенные!$H$2:$J$502,3,0),"Нет в каталоге")</f>
        <v>Смартфоны</v>
      </c>
      <c r="O139" s="4">
        <f>IFERROR(VLOOKUP(I139,Товары_очищенные!$H$2:$M$502,6,0),"")</f>
        <v>37990</v>
      </c>
      <c r="P139" t="str">
        <f t="shared" si="103"/>
        <v xml:space="preserve">Цена отличается от каталога</v>
      </c>
    </row>
    <row r="140">
      <c r="A140" s="3" t="s">
        <v>2268</v>
      </c>
      <c r="B140" s="3" t="s">
        <v>2269</v>
      </c>
      <c r="C140" s="3" t="s">
        <v>1930</v>
      </c>
      <c r="D140" s="3" t="s">
        <v>2004</v>
      </c>
      <c r="E140" s="3" t="s">
        <v>2270</v>
      </c>
      <c r="F140" s="3" t="s">
        <v>1778</v>
      </c>
      <c r="G140" s="3" t="s">
        <v>1918</v>
      </c>
      <c r="H140" s="5">
        <f t="shared" si="99"/>
        <v>45741</v>
      </c>
      <c r="I140" t="str">
        <f t="shared" si="100"/>
        <v>АРТ-138</v>
      </c>
      <c r="J140" s="6">
        <f t="shared" si="101"/>
        <v>3</v>
      </c>
      <c r="K140" s="4">
        <f>VALUE(SUBSTITUTE(SUBSTITUTE(SUBSTITUTE(SUBSTITUTE(D140,"$",""),"€",""),"₽","")," ",""))*IF(ISNUMBER(FIND("$",D140)),Справочники!$H$3,IF(ISNUMBER(FIND("€",D140)),Справочники!$H$4,1))</f>
        <v>8075</v>
      </c>
      <c r="L140" t="str">
        <f>IFERROR(VLOOKUP(TRIM(G140),Справочники!$D$3:$E$13,2,0),"Нет в справочнике")</f>
        <v>Отменен</v>
      </c>
      <c r="M140" t="str">
        <f t="shared" si="102"/>
        <v/>
      </c>
      <c r="N140" t="str">
        <f>IFERROR(VLOOKUP(I140,Товары_очищенные!$H$2:$J$502,3,0),"Нет в каталоге")</f>
        <v>Наушники</v>
      </c>
      <c r="O140" s="4">
        <f>IFERROR(VLOOKUP(I140,Товары_очищенные!$H$2:$M$502,6,0),"")</f>
        <v>24000</v>
      </c>
      <c r="P140" t="str">
        <f t="shared" si="103"/>
        <v xml:space="preserve">Цена отличается от каталога</v>
      </c>
    </row>
    <row r="141">
      <c r="A141" s="3" t="s">
        <v>2268</v>
      </c>
      <c r="B141" s="3" t="s">
        <v>2271</v>
      </c>
      <c r="C141" s="3" t="s">
        <v>1900</v>
      </c>
      <c r="D141" s="3" t="s">
        <v>2008</v>
      </c>
      <c r="E141" s="3" t="s">
        <v>2272</v>
      </c>
      <c r="F141" s="3" t="s">
        <v>1862</v>
      </c>
      <c r="G141" s="3" t="s">
        <v>1927</v>
      </c>
      <c r="H141" s="5">
        <f t="shared" si="99"/>
        <v>45741</v>
      </c>
      <c r="I141" t="str">
        <f t="shared" si="100"/>
        <v>АРТ-399</v>
      </c>
      <c r="J141" s="6">
        <f t="shared" si="101"/>
        <v>2</v>
      </c>
      <c r="K141" s="4">
        <f>VALUE(SUBSTITUTE(SUBSTITUTE(SUBSTITUTE(SUBSTITUTE(D141,"$",""),"€",""),"₽","")," ",""))*IF(ISNUMBER(FIND("$",D141)),Справочники!$H$3,IF(ISNUMBER(FIND("€",D141)),Справочники!$H$4,1))</f>
        <v>6500</v>
      </c>
      <c r="L141" t="str">
        <f>IFERROR(VLOOKUP(TRIM(G141),Справочники!$D$3:$E$13,2,0),"Нет в справочнике")</f>
        <v>Возврат</v>
      </c>
      <c r="M141" t="str">
        <f t="shared" si="102"/>
        <v/>
      </c>
      <c r="N141" t="str">
        <f>IFERROR(VLOOKUP(I141,Товары_очищенные!$H$2:$J$502,3,0),"Нет в каталоге")</f>
        <v>Аксессуары</v>
      </c>
      <c r="O141" s="4">
        <f>IFERROR(VLOOKUP(I141,Товары_очищенные!$H$2:$M$502,6,0),"")</f>
        <v>8800</v>
      </c>
      <c r="P141" t="str">
        <f t="shared" si="103"/>
        <v xml:space="preserve">Цена отличается от каталога</v>
      </c>
    </row>
    <row r="142">
      <c r="A142" s="3" t="s">
        <v>2273</v>
      </c>
      <c r="B142" s="3" t="s">
        <v>2274</v>
      </c>
      <c r="C142" s="3" t="s">
        <v>1938</v>
      </c>
      <c r="D142" s="3" t="s">
        <v>2011</v>
      </c>
      <c r="E142" s="3" t="s">
        <v>2275</v>
      </c>
      <c r="F142" s="3" t="s">
        <v>1695</v>
      </c>
      <c r="G142" s="3" t="s">
        <v>1903</v>
      </c>
      <c r="H142" s="5">
        <f t="shared" si="99"/>
        <v>45742</v>
      </c>
      <c r="I142" t="str">
        <f t="shared" si="100"/>
        <v>АРТ-407</v>
      </c>
      <c r="J142" s="6">
        <f t="shared" si="101"/>
        <v>1</v>
      </c>
      <c r="K142" s="4">
        <f>VALUE(SUBSTITUTE(SUBSTITUTE(SUBSTITUTE(SUBSTITUTE(D142,"$",""),"€",""),"₽","")," ",""))*IF(ISNUMBER(FIND("$",D142)),Справочники!$H$3,IF(ISNUMBER(FIND("€",D142)),Справочники!$H$4,1))</f>
        <v>6000</v>
      </c>
      <c r="L142" t="str">
        <f>IFERROR(VLOOKUP(TRIM(G142),Справочники!$D$3:$E$13,2,0),"Нет в справочнике")</f>
        <v>Завершен</v>
      </c>
      <c r="M142" t="str">
        <f t="shared" si="102"/>
        <v/>
      </c>
      <c r="N142" t="str">
        <f>IFERROR(VLOOKUP(I142,Товары_очищенные!$H$2:$J$502,3,0),"Нет в каталоге")</f>
        <v>Телевизоры</v>
      </c>
      <c r="O142" s="4">
        <f>IFERROR(VLOOKUP(I142,Товары_очищенные!$H$2:$M$502,6,0),"")</f>
        <v>102000</v>
      </c>
      <c r="P142" t="str">
        <f t="shared" si="103"/>
        <v xml:space="preserve">Цена отличается от каталога</v>
      </c>
    </row>
    <row r="143">
      <c r="A143" s="3" t="s">
        <v>2273</v>
      </c>
      <c r="B143" s="3" t="s">
        <v>2276</v>
      </c>
      <c r="C143" s="3" t="s">
        <v>1915</v>
      </c>
      <c r="D143" s="3" t="s">
        <v>1916</v>
      </c>
      <c r="E143" s="3" t="s">
        <v>2277</v>
      </c>
      <c r="F143" s="3" t="s">
        <v>1573</v>
      </c>
      <c r="G143" s="3" t="s">
        <v>1908</v>
      </c>
      <c r="H143" s="5">
        <f t="shared" si="99"/>
        <v>45742</v>
      </c>
      <c r="I143" t="str">
        <f t="shared" si="100"/>
        <v>АРТ-272</v>
      </c>
      <c r="J143" s="6">
        <f t="shared" si="101"/>
        <v>-1</v>
      </c>
      <c r="K143" s="4">
        <f>VALUE(SUBSTITUTE(SUBSTITUTE(SUBSTITUTE(SUBSTITUTE(D143,"$",""),"€",""),"₽","")," ",""))*IF(ISNUMBER(FIND("$",D143)),Справочники!$H$3,IF(ISNUMBER(FIND("€",D143)),Справочники!$H$4,1))</f>
        <v>10450</v>
      </c>
      <c r="L143" t="str">
        <f>IFERROR(VLOOKUP(TRIM(G143),Справочники!$D$3:$E$13,2,0),"Нет в справочнике")</f>
        <v>Завершен</v>
      </c>
      <c r="M143" t="str">
        <f t="shared" si="102"/>
        <v/>
      </c>
      <c r="N143" t="str">
        <f>IFERROR(VLOOKUP(I143,Товары_очищенные!$H$2:$J$502,3,0),"Нет в каталоге")</f>
        <v>Смартфоны</v>
      </c>
      <c r="O143" s="4">
        <f>IFERROR(VLOOKUP(I143,Товары_очищенные!$H$2:$M$502,6,0),"")</f>
        <v>43500</v>
      </c>
      <c r="P143" t="str">
        <f t="shared" si="103"/>
        <v xml:space="preserve">Цена отличается от каталога</v>
      </c>
    </row>
    <row r="144">
      <c r="A144" s="3" t="s">
        <v>2278</v>
      </c>
      <c r="B144" s="3" t="s">
        <v>2279</v>
      </c>
      <c r="C144" s="3" t="s">
        <v>1930</v>
      </c>
      <c r="D144" s="3" t="s">
        <v>1922</v>
      </c>
      <c r="E144" s="3" t="s">
        <v>2280</v>
      </c>
      <c r="F144" s="3" t="s">
        <v>1808</v>
      </c>
      <c r="G144" s="3" t="s">
        <v>1913</v>
      </c>
      <c r="H144" s="5">
        <f t="shared" si="99"/>
        <v>45743</v>
      </c>
      <c r="I144" t="str">
        <f t="shared" si="100"/>
        <v>АРТ-144</v>
      </c>
      <c r="J144" s="6">
        <f t="shared" si="101"/>
        <v>3</v>
      </c>
      <c r="K144" s="4">
        <f>VALUE(SUBSTITUTE(SUBSTITUTE(SUBSTITUTE(SUBSTITUTE(D144,"$",""),"€",""),"₽","")," ",""))*IF(ISNUMBER(FIND("$",D144)),Справочники!$H$3,IF(ISNUMBER(FIND("€",D144)),Справочники!$H$4,1))</f>
        <v>9000</v>
      </c>
      <c r="L144" t="str">
        <f>IFERROR(VLOOKUP(TRIM(G144),Справочники!$D$3:$E$13,2,0),"Нет в справочнике")</f>
        <v>Завершен</v>
      </c>
      <c r="M144" t="str">
        <f t="shared" si="102"/>
        <v/>
      </c>
      <c r="N144" t="str">
        <f>IFERROR(VLOOKUP(I144,Товары_очищенные!$H$2:$J$502,3,0),"Нет в каталоге")</f>
        <v>Аксессуары</v>
      </c>
      <c r="O144" s="4">
        <f>IFERROR(VLOOKUP(I144,Товары_очищенные!$H$2:$M$502,6,0),"")</f>
        <v>8500</v>
      </c>
      <c r="P144" t="str">
        <f t="shared" si="103"/>
        <v>ОК</v>
      </c>
    </row>
    <row r="145">
      <c r="A145" s="3" t="s">
        <v>2278</v>
      </c>
      <c r="B145" s="3" t="s">
        <v>2281</v>
      </c>
      <c r="C145" s="3" t="s">
        <v>1900</v>
      </c>
      <c r="D145" s="3" t="s">
        <v>1925</v>
      </c>
      <c r="E145" s="3" t="s">
        <v>2282</v>
      </c>
      <c r="F145" s="3" t="s">
        <v>1670</v>
      </c>
      <c r="G145" s="3" t="s">
        <v>1918</v>
      </c>
      <c r="H145" s="5">
        <f t="shared" si="99"/>
        <v>45743</v>
      </c>
      <c r="I145" t="str">
        <f t="shared" si="100"/>
        <v>АРТ-112</v>
      </c>
      <c r="J145" s="6">
        <f t="shared" si="101"/>
        <v>2</v>
      </c>
      <c r="K145" s="4">
        <f>VALUE(SUBSTITUTE(SUBSTITUTE(SUBSTITUTE(SUBSTITUTE(D145,"$",""),"€",""),"₽","")," ",""))*IF(ISNUMBER(FIND("$",D145)),Справочники!$H$3,IF(ISNUMBER(FIND("€",D145)),Справочники!$H$4,1))</f>
        <v>8000</v>
      </c>
      <c r="L145" t="str">
        <f>IFERROR(VLOOKUP(TRIM(G145),Справочники!$D$3:$E$13,2,0),"Нет в справочнике")</f>
        <v>Отменен</v>
      </c>
      <c r="M145" t="str">
        <f t="shared" si="102"/>
        <v/>
      </c>
      <c r="N145" t="str">
        <f>IFERROR(VLOOKUP(I145,Товары_очищенные!$H$2:$J$502,3,0),"Нет в каталоге")</f>
        <v>Наушники</v>
      </c>
      <c r="O145" s="4">
        <f>IFERROR(VLOOKUP(I145,Товары_очищенные!$H$2:$M$502,6,0),"")</f>
        <v>34990</v>
      </c>
      <c r="P145" t="str">
        <f t="shared" si="103"/>
        <v xml:space="preserve">Цена отличается от каталога</v>
      </c>
    </row>
    <row r="146">
      <c r="A146" s="3" t="s">
        <v>2283</v>
      </c>
      <c r="B146" s="3" t="s">
        <v>2284</v>
      </c>
      <c r="C146" s="3" t="s">
        <v>1905</v>
      </c>
      <c r="D146" s="3" t="s">
        <v>1901</v>
      </c>
      <c r="E146" s="3" t="s">
        <v>2285</v>
      </c>
      <c r="F146" s="3" t="s">
        <v>1752</v>
      </c>
      <c r="G146" s="3" t="s">
        <v>1924</v>
      </c>
      <c r="H146" s="5">
        <f t="shared" si="99"/>
        <v>45744</v>
      </c>
      <c r="I146" t="str">
        <f t="shared" si="100"/>
        <v>АРТ-099</v>
      </c>
      <c r="J146" s="6">
        <f t="shared" si="101"/>
        <v>1</v>
      </c>
      <c r="K146" s="4">
        <f>VALUE(SUBSTITUTE(SUBSTITUTE(SUBSTITUTE(SUBSTITUTE(D146,"$",""),"€",""),"₽","")," ",""))*IF(ISNUMBER(FIND("$",D146)),Справочники!$H$3,IF(ISNUMBER(FIND("€",D146)),Справочники!$H$4,1))</f>
        <v>9500</v>
      </c>
      <c r="L146" t="str">
        <f>IFERROR(VLOOKUP(TRIM(G146),Справочники!$D$3:$E$13,2,0),"Нет в справочнике")</f>
        <v>Отменен</v>
      </c>
      <c r="M146" t="str">
        <f t="shared" si="102"/>
        <v/>
      </c>
      <c r="N146" t="str">
        <f>IFERROR(VLOOKUP(I146,Товары_очищенные!$H$2:$J$502,3,0),"Нет в каталоге")</f>
        <v>Аксессуары</v>
      </c>
      <c r="O146" s="4">
        <f>IFERROR(VLOOKUP(I146,Товары_очищенные!$H$2:$M$502,6,0),"")</f>
        <v>7500</v>
      </c>
      <c r="P146" t="str">
        <f t="shared" si="103"/>
        <v xml:space="preserve">Цена отличается от каталога</v>
      </c>
    </row>
    <row r="147">
      <c r="A147" s="3" t="s">
        <v>2283</v>
      </c>
      <c r="B147" s="3" t="s">
        <v>2286</v>
      </c>
      <c r="C147" s="3" t="s">
        <v>1900</v>
      </c>
      <c r="D147" s="3" t="s">
        <v>1948</v>
      </c>
      <c r="E147" s="3" t="s">
        <v>2287</v>
      </c>
      <c r="F147" s="3" t="s">
        <v>1790</v>
      </c>
      <c r="G147" s="3" t="s">
        <v>1903</v>
      </c>
      <c r="H147" s="5">
        <f t="shared" si="99"/>
        <v>45744</v>
      </c>
      <c r="I147" t="str">
        <f t="shared" si="100"/>
        <v>АРТ-337</v>
      </c>
      <c r="J147" s="6">
        <f t="shared" si="101"/>
        <v>2</v>
      </c>
      <c r="K147" s="4">
        <f>VALUE(SUBSTITUTE(SUBSTITUTE(SUBSTITUTE(SUBSTITUTE(D147,"$",""),"€",""),"₽","")," ",""))*IF(ISNUMBER(FIND("$",D147)),Справочники!$H$3,IF(ISNUMBER(FIND("€",D147)),Справочники!$H$4,1))</f>
        <v>8000</v>
      </c>
      <c r="L147" t="str">
        <f>IFERROR(VLOOKUP(TRIM(G147),Справочники!$D$3:$E$13,2,0),"Нет в справочнике")</f>
        <v>Завершен</v>
      </c>
      <c r="M147" t="str">
        <f t="shared" si="102"/>
        <v/>
      </c>
      <c r="N147" t="str">
        <f>IFERROR(VLOOKUP(I147,Товары_очищенные!$H$2:$J$502,3,0),"Нет в каталоге")</f>
        <v>Смартфоны</v>
      </c>
      <c r="O147" s="4">
        <f>IFERROR(VLOOKUP(I147,Товары_очищенные!$H$2:$M$502,6,0),"")</f>
        <v>64990</v>
      </c>
      <c r="P147" t="str">
        <f t="shared" si="103"/>
        <v xml:space="preserve">Цена отличается от каталога</v>
      </c>
    </row>
    <row r="148">
      <c r="A148" s="3" t="s">
        <v>2288</v>
      </c>
      <c r="B148" s="3" t="s">
        <v>903</v>
      </c>
      <c r="C148" s="3" t="s">
        <v>1910</v>
      </c>
      <c r="D148" s="3" t="s">
        <v>1911</v>
      </c>
      <c r="E148" s="3" t="s">
        <v>2289</v>
      </c>
      <c r="F148" s="3" t="s">
        <v>1856</v>
      </c>
      <c r="G148" s="3" t="s">
        <v>1927</v>
      </c>
      <c r="H148" s="5">
        <f t="shared" si="99"/>
        <v>45745</v>
      </c>
      <c r="I148" t="str">
        <f t="shared" si="100"/>
        <v>АРТ-231</v>
      </c>
      <c r="J148" s="6">
        <f t="shared" si="101"/>
        <v>3</v>
      </c>
      <c r="K148" s="4">
        <f>VALUE(SUBSTITUTE(SUBSTITUTE(SUBSTITUTE(SUBSTITUTE(D148,"$",""),"€",""),"₽","")," ",""))*IF(ISNUMBER(FIND("$",D148)),Справочники!$H$3,IF(ISNUMBER(FIND("€",D148)),Справочники!$H$4,1))</f>
        <v>7500</v>
      </c>
      <c r="L148" t="str">
        <f>IFERROR(VLOOKUP(TRIM(G148),Справочники!$D$3:$E$13,2,0),"Нет в справочнике")</f>
        <v>Возврат</v>
      </c>
      <c r="M148" t="str">
        <f t="shared" si="102"/>
        <v/>
      </c>
      <c r="N148" t="str">
        <f>IFERROR(VLOOKUP(I148,Товары_очищенные!$H$2:$J$502,3,0),"Нет в каталоге")</f>
        <v>Ноутбуки</v>
      </c>
      <c r="O148" s="4">
        <f>IFERROR(VLOOKUP(I148,Товары_очищенные!$H$2:$M$502,6,0),"")</f>
        <v>122500</v>
      </c>
      <c r="P148" t="str">
        <f t="shared" si="103"/>
        <v xml:space="preserve">Цена отличается от каталога</v>
      </c>
    </row>
    <row r="149">
      <c r="A149" s="3" t="s">
        <v>2288</v>
      </c>
      <c r="B149" s="3" t="s">
        <v>2290</v>
      </c>
      <c r="C149" s="3" t="s">
        <v>1942</v>
      </c>
      <c r="D149" s="3" t="s">
        <v>1943</v>
      </c>
      <c r="E149" s="3" t="s">
        <v>2291</v>
      </c>
      <c r="F149" s="3" t="s">
        <v>1708</v>
      </c>
      <c r="G149" s="3" t="s">
        <v>1908</v>
      </c>
      <c r="H149" s="5">
        <f t="shared" si="99"/>
        <v>45745</v>
      </c>
      <c r="I149" t="str">
        <f t="shared" si="100"/>
        <v>АРТ-165</v>
      </c>
      <c r="J149" s="6">
        <f t="shared" si="101"/>
        <v>-2</v>
      </c>
      <c r="K149" s="4">
        <f>VALUE(SUBSTITUTE(SUBSTITUTE(SUBSTITUTE(SUBSTITUTE(D149,"$",""),"€",""),"₽","")," ",""))*IF(ISNUMBER(FIND("$",D149)),Справочники!$H$3,IF(ISNUMBER(FIND("€",D149)),Справочники!$H$4,1))</f>
        <v>10925</v>
      </c>
      <c r="L149" t="str">
        <f>IFERROR(VLOOKUP(TRIM(G149),Справочники!$D$3:$E$13,2,0),"Нет в справочнике")</f>
        <v>Завершен</v>
      </c>
      <c r="M149" t="str">
        <f t="shared" si="102"/>
        <v/>
      </c>
      <c r="N149" t="str">
        <f>IFERROR(VLOOKUP(I149,Товары_очищенные!$H$2:$J$502,3,0),"Нет в каталоге")</f>
        <v>Часы</v>
      </c>
      <c r="O149" s="4">
        <f>IFERROR(VLOOKUP(I149,Товары_очищенные!$H$2:$M$502,6,0),"")</f>
        <v>31000</v>
      </c>
      <c r="P149" t="str">
        <f t="shared" si="103"/>
        <v xml:space="preserve">Цена отличается от каталога</v>
      </c>
    </row>
    <row r="150">
      <c r="A150" s="3" t="s">
        <v>2292</v>
      </c>
      <c r="B150" s="3" t="s">
        <v>1346</v>
      </c>
      <c r="C150" s="3" t="s">
        <v>1905</v>
      </c>
      <c r="D150" s="3" t="s">
        <v>1934</v>
      </c>
      <c r="E150" s="3" t="s">
        <v>2293</v>
      </c>
      <c r="F150" s="3" t="s">
        <v>1838</v>
      </c>
      <c r="G150" s="3" t="s">
        <v>1913</v>
      </c>
      <c r="H150" s="5">
        <f t="shared" si="99"/>
        <v>45746</v>
      </c>
      <c r="I150" t="str">
        <f t="shared" si="100"/>
        <v>АРТ-407</v>
      </c>
      <c r="J150" s="6">
        <f t="shared" si="101"/>
        <v>1</v>
      </c>
      <c r="K150" s="4">
        <f>VALUE(SUBSTITUTE(SUBSTITUTE(SUBSTITUTE(SUBSTITUTE(D150,"$",""),"€",""),"₽","")," ",""))*IF(ISNUMBER(FIND("$",D150)),Справочники!$H$3,IF(ISNUMBER(FIND("€",D150)),Справочники!$H$4,1))</f>
        <v>9500</v>
      </c>
      <c r="L150" t="str">
        <f>IFERROR(VLOOKUP(TRIM(G150),Справочники!$D$3:$E$13,2,0),"Нет в справочнике")</f>
        <v>Завершен</v>
      </c>
      <c r="M150" t="str">
        <f t="shared" si="102"/>
        <v/>
      </c>
      <c r="N150" t="str">
        <f>IFERROR(VLOOKUP(I150,Товары_очищенные!$H$2:$J$502,3,0),"Нет в каталоге")</f>
        <v>Телевизоры</v>
      </c>
      <c r="O150" s="4">
        <f>IFERROR(VLOOKUP(I150,Товары_очищенные!$H$2:$M$502,6,0),"")</f>
        <v>102000</v>
      </c>
      <c r="P150" t="str">
        <f t="shared" si="103"/>
        <v xml:space="preserve">Цена отличается от каталога</v>
      </c>
    </row>
    <row r="151">
      <c r="A151" s="3" t="s">
        <v>2292</v>
      </c>
      <c r="B151" s="3" t="s">
        <v>2294</v>
      </c>
      <c r="C151" s="3" t="s">
        <v>1900</v>
      </c>
      <c r="D151" s="3" t="s">
        <v>1951</v>
      </c>
      <c r="E151" s="3" t="s">
        <v>2295</v>
      </c>
      <c r="F151" s="3" t="s">
        <v>1759</v>
      </c>
      <c r="G151" s="3" t="s">
        <v>1903</v>
      </c>
      <c r="H151" s="5">
        <f t="shared" si="99"/>
        <v>45746</v>
      </c>
      <c r="I151" t="str">
        <f t="shared" si="100"/>
        <v>АРТ-025</v>
      </c>
      <c r="J151" s="6">
        <f t="shared" si="101"/>
        <v>2</v>
      </c>
      <c r="K151" s="4">
        <f>VALUE(SUBSTITUTE(SUBSTITUTE(SUBSTITUTE(SUBSTITUTE(D151,"$",""),"€",""),"₽","")," ",""))*IF(ISNUMBER(FIND("$",D151)),Справочники!$H$3,IF(ISNUMBER(FIND("€",D151)),Справочники!$H$4,1))</f>
        <v>8500</v>
      </c>
      <c r="L151" t="str">
        <f>IFERROR(VLOOKUP(TRIM(G151),Справочники!$D$3:$E$13,2,0),"Нет в справочнике")</f>
        <v>Завершен</v>
      </c>
      <c r="M151" t="str">
        <f t="shared" si="102"/>
        <v/>
      </c>
      <c r="N151" t="str">
        <f>IFERROR(VLOOKUP(I151,Товары_очищенные!$H$2:$J$502,3,0),"Нет в каталоге")</f>
        <v>Мониторы</v>
      </c>
      <c r="O151" s="4">
        <f>IFERROR(VLOOKUP(I151,Товары_очищенные!$H$2:$M$502,6,0),"")</f>
        <v>99900</v>
      </c>
      <c r="P151" t="str">
        <f t="shared" si="103"/>
        <v xml:space="preserve">Цена отличается от каталога</v>
      </c>
    </row>
    <row r="152">
      <c r="A152" s="3" t="s">
        <v>2296</v>
      </c>
      <c r="B152" s="3" t="s">
        <v>2297</v>
      </c>
      <c r="C152" s="3" t="s">
        <v>1930</v>
      </c>
      <c r="D152" s="3" t="s">
        <v>1955</v>
      </c>
      <c r="E152" s="3" t="s">
        <v>2298</v>
      </c>
      <c r="F152" s="3" t="s">
        <v>1642</v>
      </c>
      <c r="G152" s="3" t="s">
        <v>1924</v>
      </c>
      <c r="H152" s="5">
        <f t="shared" si="99"/>
        <v>45747</v>
      </c>
      <c r="I152" t="str">
        <f t="shared" si="100"/>
        <v>АРТ-285</v>
      </c>
      <c r="J152" s="6">
        <f t="shared" si="101"/>
        <v>3</v>
      </c>
      <c r="K152" s="4">
        <f>VALUE(SUBSTITUTE(SUBSTITUTE(SUBSTITUTE(SUBSTITUTE(D152,"$",""),"€",""),"₽","")," ",""))*IF(ISNUMBER(FIND("$",D152)),Справочники!$H$3,IF(ISNUMBER(FIND("€",D152)),Справочники!$H$4,1))</f>
        <v>12350</v>
      </c>
      <c r="L152" t="str">
        <f>IFERROR(VLOOKUP(TRIM(G152),Справочники!$D$3:$E$13,2,0),"Нет в справочнике")</f>
        <v>Отменен</v>
      </c>
      <c r="M152" t="str">
        <f t="shared" si="102"/>
        <v/>
      </c>
      <c r="N152" t="str">
        <f>IFERROR(VLOOKUP(I152,Товары_очищенные!$H$2:$J$502,3,0),"Нет в каталоге")</f>
        <v>Мониторы</v>
      </c>
      <c r="O152" s="4">
        <f>IFERROR(VLOOKUP(I152,Товары_очищенные!$H$2:$M$502,6,0),"")</f>
        <v>87500</v>
      </c>
      <c r="P152" t="str">
        <f t="shared" si="103"/>
        <v xml:space="preserve">Цена отличается от каталога</v>
      </c>
    </row>
    <row r="153">
      <c r="A153" s="3" t="s">
        <v>2296</v>
      </c>
      <c r="B153" s="3" t="s">
        <v>2299</v>
      </c>
      <c r="C153" s="3" t="s">
        <v>1900</v>
      </c>
      <c r="D153" s="3" t="s">
        <v>1958</v>
      </c>
      <c r="E153" s="3" t="s">
        <v>2300</v>
      </c>
      <c r="F153" s="3" t="s">
        <v>1608</v>
      </c>
      <c r="G153" s="3" t="s">
        <v>1918</v>
      </c>
      <c r="H153" s="5">
        <f t="shared" si="99"/>
        <v>45747</v>
      </c>
      <c r="I153" t="str">
        <f t="shared" si="100"/>
        <v>АРТ-472</v>
      </c>
      <c r="J153" s="6">
        <f t="shared" si="101"/>
        <v>2</v>
      </c>
      <c r="K153" s="4">
        <f>VALUE(SUBSTITUTE(SUBSTITUTE(SUBSTITUTE(SUBSTITUTE(D153,"$",""),"€",""),"₽","")," ",""))*IF(ISNUMBER(FIND("$",D153)),Справочники!$H$3,IF(ISNUMBER(FIND("€",D153)),Справочники!$H$4,1))</f>
        <v>11000</v>
      </c>
      <c r="L153" t="str">
        <f>IFERROR(VLOOKUP(TRIM(G153),Справочники!$D$3:$E$13,2,0),"Нет в справочнике")</f>
        <v>Отменен</v>
      </c>
      <c r="M153" t="str">
        <f t="shared" si="102"/>
        <v/>
      </c>
      <c r="N153" t="str">
        <f>IFERROR(VLOOKUP(I153,Товары_очищенные!$H$2:$J$502,3,0),"Нет в каталоге")</f>
        <v>Наушники</v>
      </c>
      <c r="O153" s="4">
        <f>IFERROR(VLOOKUP(I153,Товары_очищенные!$H$2:$M$502,6,0),"")</f>
        <v>8990</v>
      </c>
      <c r="P153" t="str">
        <f t="shared" si="103"/>
        <v xml:space="preserve">Цена отличается от каталога</v>
      </c>
    </row>
    <row r="154">
      <c r="A154" s="3" t="s">
        <v>2301</v>
      </c>
      <c r="B154" s="3" t="s">
        <v>2302</v>
      </c>
      <c r="C154" s="3" t="s">
        <v>1938</v>
      </c>
      <c r="D154" s="3" t="s">
        <v>2110</v>
      </c>
      <c r="E154" s="3" t="s">
        <v>2303</v>
      </c>
      <c r="F154" s="3" t="s">
        <v>1715</v>
      </c>
      <c r="G154" s="3" t="s">
        <v>1927</v>
      </c>
      <c r="H154" s="5">
        <f t="shared" si="99"/>
        <v>45748</v>
      </c>
      <c r="I154" t="str">
        <f t="shared" si="100"/>
        <v>АРТ-157</v>
      </c>
      <c r="J154" s="6">
        <f t="shared" si="101"/>
        <v>1</v>
      </c>
      <c r="K154" s="4">
        <f>VALUE(SUBSTITUTE(SUBSTITUTE(SUBSTITUTE(SUBSTITUTE(D154,"$",""),"€",""),"₽","")," ",""))*IF(ISNUMBER(FIND("$",D154)),Справочники!$H$3,IF(ISNUMBER(FIND("€",D154)),Справочники!$H$4,1))</f>
        <v>10500</v>
      </c>
      <c r="L154" t="str">
        <f>IFERROR(VLOOKUP(TRIM(G154),Справочники!$D$3:$E$13,2,0),"Нет в справочнике")</f>
        <v>Возврат</v>
      </c>
      <c r="M154" t="str">
        <f t="shared" si="102"/>
        <v/>
      </c>
      <c r="N154" t="str">
        <f>IFERROR(VLOOKUP(I154,Товары_очищенные!$H$2:$J$502,3,0),"Нет в каталоге")</f>
        <v>Мониторы</v>
      </c>
      <c r="O154" s="4">
        <f>IFERROR(VLOOKUP(I154,Товары_очищенные!$H$2:$M$502,6,0),"")</f>
        <v>92900</v>
      </c>
      <c r="P154" t="str">
        <f t="shared" si="103"/>
        <v xml:space="preserve">Цена отличается от каталога</v>
      </c>
    </row>
    <row r="155">
      <c r="A155" s="3" t="s">
        <v>2301</v>
      </c>
      <c r="B155" s="3" t="s">
        <v>2304</v>
      </c>
      <c r="C155" s="3" t="s">
        <v>1985</v>
      </c>
      <c r="D155" s="3" t="s">
        <v>1964</v>
      </c>
      <c r="E155" s="3" t="s">
        <v>2305</v>
      </c>
      <c r="F155" s="3" t="s">
        <v>1850</v>
      </c>
      <c r="G155" s="3" t="s">
        <v>1903</v>
      </c>
      <c r="H155" s="5">
        <f t="shared" si="99"/>
        <v>45748</v>
      </c>
      <c r="I155" t="str">
        <f t="shared" si="100"/>
        <v>АРТ-042</v>
      </c>
      <c r="J155" s="6">
        <f t="shared" si="101"/>
        <v>-3</v>
      </c>
      <c r="K155" s="4">
        <f>VALUE(SUBSTITUTE(SUBSTITUTE(SUBSTITUTE(SUBSTITUTE(D155,"$",""),"€",""),"₽","")," ",""))*IF(ISNUMBER(FIND("$",D155)),Справочники!$H$3,IF(ISNUMBER(FIND("€",D155)),Справочники!$H$4,1))</f>
        <v>9025</v>
      </c>
      <c r="L155" t="str">
        <f>IFERROR(VLOOKUP(TRIM(G155),Справочники!$D$3:$E$13,2,0),"Нет в справочнике")</f>
        <v>Завершен</v>
      </c>
      <c r="M155" t="str">
        <f t="shared" si="102"/>
        <v/>
      </c>
      <c r="N155" t="str">
        <f>IFERROR(VLOOKUP(I155,Товары_очищенные!$H$2:$J$502,3,0),"Нет в каталоге")</f>
        <v>Ноутбуки</v>
      </c>
      <c r="O155" s="4">
        <f>IFERROR(VLOOKUP(I155,Товары_очищенные!$H$2:$M$502,6,0),"")</f>
        <v>144000</v>
      </c>
      <c r="P155" t="str">
        <f t="shared" si="103"/>
        <v xml:space="preserve">Цена отличается от каталога</v>
      </c>
    </row>
    <row r="156">
      <c r="A156" s="3" t="s">
        <v>2306</v>
      </c>
      <c r="B156" s="3" t="s">
        <v>2307</v>
      </c>
      <c r="C156" s="3" t="s">
        <v>1905</v>
      </c>
      <c r="D156" s="3" t="s">
        <v>1968</v>
      </c>
      <c r="E156" s="3" t="s">
        <v>2308</v>
      </c>
      <c r="F156" s="3" t="s">
        <v>1615</v>
      </c>
      <c r="G156" s="3" t="s">
        <v>1908</v>
      </c>
      <c r="H156" s="5">
        <f t="shared" si="99"/>
        <v>45749</v>
      </c>
      <c r="I156" t="str">
        <f t="shared" si="100"/>
        <v>АРТ-397</v>
      </c>
      <c r="J156" s="6">
        <f t="shared" si="101"/>
        <v>1</v>
      </c>
      <c r="K156" s="4">
        <f>VALUE(SUBSTITUTE(SUBSTITUTE(SUBSTITUTE(SUBSTITUTE(D156,"$",""),"€",""),"₽","")," ",""))*IF(ISNUMBER(FIND("$",D156)),Справочники!$H$3,IF(ISNUMBER(FIND("€",D156)),Справочники!$H$4,1))</f>
        <v>7500</v>
      </c>
      <c r="L156" t="str">
        <f>IFERROR(VLOOKUP(TRIM(G156),Справочники!$D$3:$E$13,2,0),"Нет в справочнике")</f>
        <v>Завершен</v>
      </c>
      <c r="M156" t="str">
        <f t="shared" si="102"/>
        <v/>
      </c>
      <c r="N156" t="str">
        <f>IFERROR(VLOOKUP(I156,Товары_очищенные!$H$2:$J$502,3,0),"Нет в каталоге")</f>
        <v>Аксессуары</v>
      </c>
      <c r="O156" s="4">
        <f>IFERROR(VLOOKUP(I156,Товары_очищенные!$H$2:$M$502,6,0),"")</f>
        <v>7990</v>
      </c>
      <c r="P156" t="str">
        <f t="shared" si="103"/>
        <v>ОК</v>
      </c>
    </row>
    <row r="157">
      <c r="A157" s="3" t="s">
        <v>2306</v>
      </c>
      <c r="B157" s="3" t="s">
        <v>2309</v>
      </c>
      <c r="C157" s="3" t="s">
        <v>1900</v>
      </c>
      <c r="D157" s="3" t="s">
        <v>1971</v>
      </c>
      <c r="E157" s="3" t="s">
        <v>2310</v>
      </c>
      <c r="F157" s="3" t="s">
        <v>1765</v>
      </c>
      <c r="G157" s="3" t="s">
        <v>1913</v>
      </c>
      <c r="H157" s="5">
        <f t="shared" si="99"/>
        <v>45749</v>
      </c>
      <c r="I157" t="str">
        <f t="shared" si="100"/>
        <v>АРТ-203</v>
      </c>
      <c r="J157" s="6">
        <f t="shared" si="101"/>
        <v>2</v>
      </c>
      <c r="K157" s="4">
        <f>VALUE(SUBSTITUTE(SUBSTITUTE(SUBSTITUTE(SUBSTITUTE(D157,"$",""),"€",""),"₽","")," ",""))*IF(ISNUMBER(FIND("$",D157)),Справочники!$H$3,IF(ISNUMBER(FIND("€",D157)),Справочники!$H$4,1))</f>
        <v>7000</v>
      </c>
      <c r="L157" t="str">
        <f>IFERROR(VLOOKUP(TRIM(G157),Справочники!$D$3:$E$13,2,0),"Нет в справочнике")</f>
        <v>Завершен</v>
      </c>
      <c r="M157" t="str">
        <f t="shared" si="102"/>
        <v/>
      </c>
      <c r="N157" t="str">
        <f>IFERROR(VLOOKUP(I157,Товары_очищенные!$H$2:$J$502,3,0),"Нет в каталоге")</f>
        <v>Наушники</v>
      </c>
      <c r="O157" s="4">
        <f>IFERROR(VLOOKUP(I157,Товары_очищенные!$H$2:$M$502,6,0),"")</f>
        <v>9200</v>
      </c>
      <c r="P157" t="str">
        <f t="shared" si="103"/>
        <v xml:space="preserve">Цена отличается от каталога</v>
      </c>
    </row>
    <row r="158">
      <c r="A158" s="3" t="s">
        <v>2311</v>
      </c>
      <c r="B158" s="3" t="s">
        <v>2312</v>
      </c>
      <c r="C158" s="3" t="s">
        <v>1930</v>
      </c>
      <c r="D158" s="3" t="s">
        <v>2044</v>
      </c>
      <c r="E158" s="3" t="s">
        <v>2313</v>
      </c>
      <c r="F158" s="3" t="s">
        <v>1688</v>
      </c>
      <c r="G158" s="3" t="s">
        <v>1918</v>
      </c>
      <c r="H158" s="5">
        <f t="shared" si="99"/>
        <v>45750</v>
      </c>
      <c r="I158" t="str">
        <f t="shared" si="100"/>
        <v>АРТ-315</v>
      </c>
      <c r="J158" s="6">
        <f t="shared" si="101"/>
        <v>3</v>
      </c>
      <c r="K158" s="4">
        <f>VALUE(SUBSTITUTE(SUBSTITUTE(SUBSTITUTE(SUBSTITUTE(D158,"$",""),"€",""),"₽","")," ",""))*IF(ISNUMBER(FIND("$",D158)),Справочники!$H$3,IF(ISNUMBER(FIND("€",D158)),Справочники!$H$4,1))</f>
        <v>11400</v>
      </c>
      <c r="L158" t="str">
        <f>IFERROR(VLOOKUP(TRIM(G158),Справочники!$D$3:$E$13,2,0),"Нет в справочнике")</f>
        <v>Отменен</v>
      </c>
      <c r="M158" t="str">
        <f t="shared" si="102"/>
        <v/>
      </c>
      <c r="N158" t="str">
        <f>IFERROR(VLOOKUP(I158,Товары_очищенные!$H$2:$J$502,3,0),"Нет в каталоге")</f>
        <v>Смартфоны</v>
      </c>
      <c r="O158" s="4">
        <f>IFERROR(VLOOKUP(I158,Товары_очищенные!$H$2:$M$502,6,0),"")</f>
        <v>72000</v>
      </c>
      <c r="P158" t="str">
        <f t="shared" si="103"/>
        <v xml:space="preserve">Цена отличается от каталога</v>
      </c>
    </row>
    <row r="159">
      <c r="A159" s="3" t="s">
        <v>2311</v>
      </c>
      <c r="B159" s="3" t="s">
        <v>2314</v>
      </c>
      <c r="C159" s="3" t="s">
        <v>1900</v>
      </c>
      <c r="D159" s="3" t="s">
        <v>2046</v>
      </c>
      <c r="E159" s="3" t="s">
        <v>2315</v>
      </c>
      <c r="F159" s="3" t="s">
        <v>1832</v>
      </c>
      <c r="G159" s="3" t="s">
        <v>1924</v>
      </c>
      <c r="H159" s="5">
        <f t="shared" si="99"/>
        <v>45750</v>
      </c>
      <c r="I159" t="str">
        <f t="shared" si="100"/>
        <v>АРТ-109</v>
      </c>
      <c r="J159" s="6">
        <f t="shared" si="101"/>
        <v>2</v>
      </c>
      <c r="K159" s="4">
        <f>VALUE(SUBSTITUTE(SUBSTITUTE(SUBSTITUTE(SUBSTITUTE(D159,"$",""),"€",""),"₽","")," ",""))*IF(ISNUMBER(FIND("$",D159)),Справочники!$H$3,IF(ISNUMBER(FIND("€",D159)),Справочники!$H$4,1))</f>
        <v>10000</v>
      </c>
      <c r="L159" t="str">
        <f>IFERROR(VLOOKUP(TRIM(G159),Справочники!$D$3:$E$13,2,0),"Нет в справочнике")</f>
        <v>Отменен</v>
      </c>
      <c r="M159" t="str">
        <f t="shared" si="102"/>
        <v/>
      </c>
      <c r="N159" t="str">
        <f>IFERROR(VLOOKUP(I159,Товары_очищенные!$H$2:$J$502,3,0),"Нет в каталоге")</f>
        <v>Телевизоры</v>
      </c>
      <c r="O159" s="4">
        <f>IFERROR(VLOOKUP(I159,Товары_очищенные!$H$2:$M$502,6,0),"")</f>
        <v>119999</v>
      </c>
      <c r="P159" t="str">
        <f t="shared" si="103"/>
        <v xml:space="preserve">Цена отличается от каталога</v>
      </c>
    </row>
    <row r="160">
      <c r="A160" s="3" t="s">
        <v>2316</v>
      </c>
      <c r="B160" s="3" t="s">
        <v>2317</v>
      </c>
      <c r="C160" s="3" t="s">
        <v>1938</v>
      </c>
      <c r="D160" s="3" t="s">
        <v>2050</v>
      </c>
      <c r="E160" s="3" t="s">
        <v>2318</v>
      </c>
      <c r="F160" s="3" t="s">
        <v>1594</v>
      </c>
      <c r="G160" s="3" t="s">
        <v>1903</v>
      </c>
      <c r="H160" s="5">
        <f t="shared" si="99"/>
        <v>45751</v>
      </c>
      <c r="I160" t="str">
        <f t="shared" si="100"/>
        <v>АРТ-278</v>
      </c>
      <c r="J160" s="6">
        <f t="shared" si="101"/>
        <v>1</v>
      </c>
      <c r="K160" s="4">
        <f>VALUE(SUBSTITUTE(SUBSTITUTE(SUBSTITUTE(SUBSTITUTE(D160,"$",""),"€",""),"₽","")," ",""))*IF(ISNUMBER(FIND("$",D160)),Справочники!$H$3,IF(ISNUMBER(FIND("€",D160)),Справочники!$H$4,1))</f>
        <v>8800</v>
      </c>
      <c r="L160" t="str">
        <f>IFERROR(VLOOKUP(TRIM(G160),Справочники!$D$3:$E$13,2,0),"Нет в справочнике")</f>
        <v>Завершен</v>
      </c>
      <c r="M160" t="str">
        <f t="shared" si="102"/>
        <v/>
      </c>
      <c r="N160" t="str">
        <f>IFERROR(VLOOKUP(I160,Товары_очищенные!$H$2:$J$502,3,0),"Нет в каталоге")</f>
        <v>Телевизоры</v>
      </c>
      <c r="O160" s="4">
        <f>IFERROR(VLOOKUP(I160,Товары_очищенные!$H$2:$M$502,6,0),"")</f>
        <v>112000</v>
      </c>
      <c r="P160" t="str">
        <f t="shared" si="103"/>
        <v xml:space="preserve">Цена отличается от каталога</v>
      </c>
    </row>
    <row r="161">
      <c r="A161" s="3" t="s">
        <v>2316</v>
      </c>
      <c r="B161" s="3" t="s">
        <v>2319</v>
      </c>
      <c r="C161" s="3" t="s">
        <v>1915</v>
      </c>
      <c r="D161" s="3" t="s">
        <v>2004</v>
      </c>
      <c r="E161" s="3" t="s">
        <v>2320</v>
      </c>
      <c r="F161" s="3" t="s">
        <v>1796</v>
      </c>
      <c r="G161" s="3" t="s">
        <v>1927</v>
      </c>
      <c r="H161" s="5">
        <f t="shared" si="99"/>
        <v>45751</v>
      </c>
      <c r="I161" t="str">
        <f t="shared" si="100"/>
        <v>АРТ-129</v>
      </c>
      <c r="J161" s="6">
        <f t="shared" si="101"/>
        <v>-1</v>
      </c>
      <c r="K161" s="4">
        <f>VALUE(SUBSTITUTE(SUBSTITUTE(SUBSTITUTE(SUBSTITUTE(D161,"$",""),"€",""),"₽","")," ",""))*IF(ISNUMBER(FIND("$",D161)),Справочники!$H$3,IF(ISNUMBER(FIND("€",D161)),Справочники!$H$4,1))</f>
        <v>8075</v>
      </c>
      <c r="L161" t="str">
        <f>IFERROR(VLOOKUP(TRIM(G161),Справочники!$D$3:$E$13,2,0),"Нет в справочнике")</f>
        <v>Возврат</v>
      </c>
      <c r="M161" t="str">
        <f t="shared" si="102"/>
        <v/>
      </c>
      <c r="N161" t="str">
        <f>IFERROR(VLOOKUP(I161,Товары_очищенные!$H$2:$J$502,3,0),"Нет в каталоге")</f>
        <v>Смартфоны</v>
      </c>
      <c r="O161" s="4">
        <f>IFERROR(VLOOKUP(I161,Товары_очищенные!$H$2:$M$502,6,0),"")</f>
        <v>53500</v>
      </c>
      <c r="P161" t="str">
        <f t="shared" si="103"/>
        <v xml:space="preserve">Цена отличается от каталога</v>
      </c>
    </row>
    <row r="162">
      <c r="A162" s="3" t="s">
        <v>2321</v>
      </c>
      <c r="B162" s="3" t="s">
        <v>2322</v>
      </c>
      <c r="C162" s="3" t="s">
        <v>1930</v>
      </c>
      <c r="D162" s="3" t="s">
        <v>2008</v>
      </c>
      <c r="E162" s="3" t="s">
        <v>2323</v>
      </c>
      <c r="F162" s="3" t="s">
        <v>1656</v>
      </c>
      <c r="G162" s="3" t="s">
        <v>1908</v>
      </c>
      <c r="H162" s="5">
        <f t="shared" si="99"/>
        <v>45752</v>
      </c>
      <c r="I162" t="str">
        <f t="shared" si="100"/>
        <v>АРТ-424</v>
      </c>
      <c r="J162" s="6">
        <f t="shared" si="101"/>
        <v>3</v>
      </c>
      <c r="K162" s="4">
        <f>VALUE(SUBSTITUTE(SUBSTITUTE(SUBSTITUTE(SUBSTITUTE(D162,"$",""),"€",""),"₽","")," ",""))*IF(ISNUMBER(FIND("$",D162)),Справочники!$H$3,IF(ISNUMBER(FIND("€",D162)),Справочники!$H$4,1))</f>
        <v>6500</v>
      </c>
      <c r="L162" t="str">
        <f>IFERROR(VLOOKUP(TRIM(G162),Справочники!$D$3:$E$13,2,0),"Нет в справочнике")</f>
        <v>Завершен</v>
      </c>
      <c r="M162" t="str">
        <f t="shared" si="102"/>
        <v/>
      </c>
      <c r="N162" t="str">
        <f>IFERROR(VLOOKUP(I162,Товары_очищенные!$H$2:$J$502,3,0),"Нет в каталоге")</f>
        <v>Смартфоны</v>
      </c>
      <c r="O162" s="4">
        <f>IFERROR(VLOOKUP(I162,Товары_очищенные!$H$2:$M$502,6,0),"")</f>
        <v>48990</v>
      </c>
      <c r="P162" t="str">
        <f t="shared" si="103"/>
        <v xml:space="preserve">Цена отличается от каталога</v>
      </c>
    </row>
    <row r="163">
      <c r="A163" s="3" t="s">
        <v>2321</v>
      </c>
      <c r="B163" s="3" t="s">
        <v>2324</v>
      </c>
      <c r="C163" s="3" t="s">
        <v>1900</v>
      </c>
      <c r="D163" s="3" t="s">
        <v>1939</v>
      </c>
      <c r="E163" s="3" t="s">
        <v>2325</v>
      </c>
      <c r="F163" s="3" t="s">
        <v>1746</v>
      </c>
      <c r="G163" s="3" t="s">
        <v>1913</v>
      </c>
      <c r="H163" s="5">
        <f t="shared" si="99"/>
        <v>45752</v>
      </c>
      <c r="I163" t="str">
        <f t="shared" si="100"/>
        <v>АРТ-046</v>
      </c>
      <c r="J163" s="6">
        <f t="shared" si="101"/>
        <v>2</v>
      </c>
      <c r="K163" s="4">
        <f>VALUE(SUBSTITUTE(SUBSTITUTE(SUBSTITUTE(SUBSTITUTE(D163,"$",""),"€",""),"₽","")," ",""))*IF(ISNUMBER(FIND("$",D163)),Справочники!$H$3,IF(ISNUMBER(FIND("€",D163)),Справочники!$H$4,1))</f>
        <v>6500</v>
      </c>
      <c r="L163" t="str">
        <f>IFERROR(VLOOKUP(TRIM(G163),Справочники!$D$3:$E$13,2,0),"Нет в справочнике")</f>
        <v>Завершен</v>
      </c>
      <c r="M163" t="str">
        <f t="shared" si="102"/>
        <v/>
      </c>
      <c r="N163" t="str">
        <f>IFERROR(VLOOKUP(I163,Товары_очищенные!$H$2:$J$502,3,0),"Нет в каталоге")</f>
        <v>Наушники</v>
      </c>
      <c r="O163" s="4">
        <f>IFERROR(VLOOKUP(I163,Товары_очищенные!$H$2:$M$502,6,0),"")</f>
        <v>24990</v>
      </c>
      <c r="P163" t="str">
        <f t="shared" si="103"/>
        <v xml:space="preserve">Цена отличается от каталога</v>
      </c>
    </row>
    <row r="164">
      <c r="A164" s="3" t="s">
        <v>2326</v>
      </c>
      <c r="B164" s="3" t="s">
        <v>2327</v>
      </c>
      <c r="C164" s="3" t="s">
        <v>1905</v>
      </c>
      <c r="D164" s="3" t="s">
        <v>1943</v>
      </c>
      <c r="E164" s="3" t="s">
        <v>2328</v>
      </c>
      <c r="F164" s="3" t="s">
        <v>1622</v>
      </c>
      <c r="G164" s="3" t="s">
        <v>1903</v>
      </c>
      <c r="H164" s="5">
        <f t="shared" ref="H164:H227" si="104">DATE(VALUE(RIGHT(A164,4)),VALUE(LEFT(A164,2)),VALUE(MID(A164,4,2)))</f>
        <v>45753</v>
      </c>
      <c r="I164" t="str">
        <f t="shared" ref="I164:I227" si="105">"АРТ-"&amp;TEXT(VALUE(LEFT(SUBSTITUTE(SUBSTITUTE(SUBSTITUTE(SUBSTITUTE(TRIM(B164),"№",""),"АРТ-",""),"АРТ_",""),"АРТ",""),3)),"000")</f>
        <v>АРТ-353</v>
      </c>
      <c r="J164" s="6">
        <f t="shared" ref="J164:J227" si="106">VALUE(TRIM(SUBSTITUTE(SUBSTITUTE(TRIM(C164),"шт.",""),"шт","")))</f>
        <v>1</v>
      </c>
      <c r="K164" s="4">
        <f>VALUE(SUBSTITUTE(SUBSTITUTE(SUBSTITUTE(SUBSTITUTE(D164,"$",""),"€",""),"₽","")," ",""))*IF(ISNUMBER(FIND("$",D164)),Справочники!$H$3,IF(ISNUMBER(FIND("€",D164)),Справочники!$H$4,1))</f>
        <v>10925</v>
      </c>
      <c r="L164" t="str">
        <f>IFERROR(VLOOKUP(TRIM(G164),Справочники!$D$3:$E$13,2,0),"Нет в справочнике")</f>
        <v>Завершен</v>
      </c>
      <c r="M164" t="str">
        <f t="shared" ref="M164:M227" si="107">IF(COUNTIFS($H$2:H164,H164,$I$2:I164,I164,$E$2:E164,E164)&gt;1,"Дубликат","")</f>
        <v/>
      </c>
      <c r="N164" t="str">
        <f>IFERROR(VLOOKUP(I164,Товары_очищенные!$H$2:$J$502,3,0),"Нет в каталоге")</f>
        <v>Аксессуары</v>
      </c>
      <c r="O164" s="4">
        <f>IFERROR(VLOOKUP(I164,Товары_очищенные!$H$2:$M$502,6,0),"")</f>
        <v>6500</v>
      </c>
      <c r="P164" t="str">
        <f t="shared" ref="P164:P227" si="108">IF(O164="","Нет в каталоге",IF(ABS(K164/O164-1)&lt;=0.2,"ОК","Цена отличается от каталога"))</f>
        <v xml:space="preserve">Цена отличается от каталога</v>
      </c>
    </row>
    <row r="165">
      <c r="A165" s="3" t="s">
        <v>2326</v>
      </c>
      <c r="B165" s="3" t="s">
        <v>2329</v>
      </c>
      <c r="C165" s="3" t="s">
        <v>1900</v>
      </c>
      <c r="D165" s="3" t="s">
        <v>1934</v>
      </c>
      <c r="E165" s="3" t="s">
        <v>2330</v>
      </c>
      <c r="F165" s="3" t="s">
        <v>1826</v>
      </c>
      <c r="G165" s="3" t="s">
        <v>1924</v>
      </c>
      <c r="H165" s="5">
        <f t="shared" si="104"/>
        <v>45753</v>
      </c>
      <c r="I165" t="str">
        <f t="shared" si="105"/>
        <v>АРТ-244</v>
      </c>
      <c r="J165" s="6">
        <f t="shared" si="106"/>
        <v>2</v>
      </c>
      <c r="K165" s="4">
        <f>VALUE(SUBSTITUTE(SUBSTITUTE(SUBSTITUTE(SUBSTITUTE(D165,"$",""),"€",""),"₽","")," ",""))*IF(ISNUMBER(FIND("$",D165)),Справочники!$H$3,IF(ISNUMBER(FIND("€",D165)),Справочники!$H$4,1))</f>
        <v>9500</v>
      </c>
      <c r="L165" t="str">
        <f>IFERROR(VLOOKUP(TRIM(G165),Справочники!$D$3:$E$13,2,0),"Нет в справочнике")</f>
        <v>Отменен</v>
      </c>
      <c r="M165" t="str">
        <f t="shared" si="107"/>
        <v/>
      </c>
      <c r="N165" t="str">
        <f>IFERROR(VLOOKUP(I165,Товары_очищенные!$H$2:$J$502,3,0),"Нет в каталоге")</f>
        <v>Мониторы</v>
      </c>
      <c r="O165" s="4">
        <f>IFERROR(VLOOKUP(I165,Товары_очищенные!$H$2:$M$502,6,0),"")</f>
        <v>77990</v>
      </c>
      <c r="P165" t="str">
        <f t="shared" si="108"/>
        <v xml:space="preserve">Цена отличается от каталога</v>
      </c>
    </row>
    <row r="166">
      <c r="A166" s="3" t="s">
        <v>2331</v>
      </c>
      <c r="B166" s="3" t="s">
        <v>2332</v>
      </c>
      <c r="C166" s="3" t="s">
        <v>1910</v>
      </c>
      <c r="D166" s="3" t="s">
        <v>1951</v>
      </c>
      <c r="E166" s="3" t="s">
        <v>2333</v>
      </c>
      <c r="F166" s="3" t="s">
        <v>1676</v>
      </c>
      <c r="G166" s="3" t="s">
        <v>1918</v>
      </c>
      <c r="H166" s="5">
        <f t="shared" si="104"/>
        <v>45754</v>
      </c>
      <c r="I166" t="str">
        <f t="shared" si="105"/>
        <v>АРТ-193</v>
      </c>
      <c r="J166" s="6">
        <f t="shared" si="106"/>
        <v>3</v>
      </c>
      <c r="K166" s="4">
        <f>VALUE(SUBSTITUTE(SUBSTITUTE(SUBSTITUTE(SUBSTITUTE(D166,"$",""),"€",""),"₽","")," ",""))*IF(ISNUMBER(FIND("$",D166)),Справочники!$H$3,IF(ISNUMBER(FIND("€",D166)),Справочники!$H$4,1))</f>
        <v>8500</v>
      </c>
      <c r="L166" t="str">
        <f>IFERROR(VLOOKUP(TRIM(G166),Справочники!$D$3:$E$13,2,0),"Нет в справочнике")</f>
        <v>Отменен</v>
      </c>
      <c r="M166" t="str">
        <f t="shared" si="107"/>
        <v/>
      </c>
      <c r="N166" t="str">
        <f>IFERROR(VLOOKUP(I166,Товары_очищенные!$H$2:$J$502,3,0),"Нет в каталоге")</f>
        <v>Ноутбуки</v>
      </c>
      <c r="O166" s="4">
        <f>IFERROR(VLOOKUP(I166,Товары_очищенные!$H$2:$M$502,6,0),"")</f>
        <v>129990</v>
      </c>
      <c r="P166" t="str">
        <f t="shared" si="108"/>
        <v xml:space="preserve">Цена отличается от каталога</v>
      </c>
    </row>
    <row r="167">
      <c r="A167" s="3" t="s">
        <v>2331</v>
      </c>
      <c r="B167" s="3" t="s">
        <v>389</v>
      </c>
      <c r="C167" s="3" t="s">
        <v>1942</v>
      </c>
      <c r="D167" s="3" t="s">
        <v>1901</v>
      </c>
      <c r="E167" s="3" t="s">
        <v>2334</v>
      </c>
      <c r="F167" s="3" t="s">
        <v>1772</v>
      </c>
      <c r="G167" s="3" t="s">
        <v>1927</v>
      </c>
      <c r="H167" s="5">
        <f t="shared" si="104"/>
        <v>45754</v>
      </c>
      <c r="I167" t="str">
        <f t="shared" si="105"/>
        <v>АРТ-082</v>
      </c>
      <c r="J167" s="6">
        <f t="shared" si="106"/>
        <v>-2</v>
      </c>
      <c r="K167" s="4">
        <f>VALUE(SUBSTITUTE(SUBSTITUTE(SUBSTITUTE(SUBSTITUTE(D167,"$",""),"€",""),"₽","")," ",""))*IF(ISNUMBER(FIND("$",D167)),Справочники!$H$3,IF(ISNUMBER(FIND("€",D167)),Справочники!$H$4,1))</f>
        <v>9500</v>
      </c>
      <c r="L167" t="str">
        <f>IFERROR(VLOOKUP(TRIM(G167),Справочники!$D$3:$E$13,2,0),"Нет в справочнике")</f>
        <v>Возврат</v>
      </c>
      <c r="M167" t="str">
        <f t="shared" si="107"/>
        <v/>
      </c>
      <c r="N167" t="str">
        <f>IFERROR(VLOOKUP(I167,Товары_очищенные!$H$2:$J$502,3,0),"Нет в каталоге")</f>
        <v>Часы</v>
      </c>
      <c r="O167" s="4">
        <f>IFERROR(VLOOKUP(I167,Товары_очищенные!$H$2:$M$502,6,0),"")</f>
        <v>39990</v>
      </c>
      <c r="P167" t="str">
        <f t="shared" si="108"/>
        <v xml:space="preserve">Цена отличается от каталога</v>
      </c>
    </row>
    <row r="168">
      <c r="A168" s="3" t="s">
        <v>2335</v>
      </c>
      <c r="B168" s="3" t="s">
        <v>1548</v>
      </c>
      <c r="C168" s="3" t="s">
        <v>1905</v>
      </c>
      <c r="D168" s="3" t="s">
        <v>1948</v>
      </c>
      <c r="E168" s="3" t="s">
        <v>2336</v>
      </c>
      <c r="F168" s="3" t="s">
        <v>1874</v>
      </c>
      <c r="G168" s="3" t="s">
        <v>1903</v>
      </c>
      <c r="H168" s="5">
        <f t="shared" si="104"/>
        <v>45755</v>
      </c>
      <c r="I168" t="str">
        <f t="shared" si="105"/>
        <v>АРТ-500</v>
      </c>
      <c r="J168" s="6">
        <f t="shared" si="106"/>
        <v>1</v>
      </c>
      <c r="K168" s="4">
        <f>VALUE(SUBSTITUTE(SUBSTITUTE(SUBSTITUTE(SUBSTITUTE(D168,"$",""),"€",""),"₽","")," ",""))*IF(ISNUMBER(FIND("$",D168)),Справочники!$H$3,IF(ISNUMBER(FIND("€",D168)),Справочники!$H$4,1))</f>
        <v>8000</v>
      </c>
      <c r="L168" t="str">
        <f>IFERROR(VLOOKUP(TRIM(G168),Справочники!$D$3:$E$13,2,0),"Нет в справочнике")</f>
        <v>Завершен</v>
      </c>
      <c r="M168" t="str">
        <f t="shared" si="107"/>
        <v/>
      </c>
      <c r="N168" t="str">
        <f>IFERROR(VLOOKUP(I168,Товары_очищенные!$H$2:$J$502,3,0),"Нет в каталоге")</f>
        <v>Аксессуары</v>
      </c>
      <c r="O168" s="4">
        <f>IFERROR(VLOOKUP(I168,Товары_очищенные!$H$2:$M$502,6,0),"")</f>
        <v>5500</v>
      </c>
      <c r="P168" t="str">
        <f t="shared" si="108"/>
        <v xml:space="preserve">Цена отличается от каталога</v>
      </c>
    </row>
    <row r="169">
      <c r="A169" s="3" t="s">
        <v>2335</v>
      </c>
      <c r="B169" s="3" t="s">
        <v>2337</v>
      </c>
      <c r="C169" s="3" t="s">
        <v>1900</v>
      </c>
      <c r="D169" s="3" t="s">
        <v>1911</v>
      </c>
      <c r="E169" s="3" t="s">
        <v>2338</v>
      </c>
      <c r="F169" s="3" t="s">
        <v>1601</v>
      </c>
      <c r="G169" s="3" t="s">
        <v>1908</v>
      </c>
      <c r="H169" s="5">
        <f t="shared" si="104"/>
        <v>45755</v>
      </c>
      <c r="I169" t="str">
        <f t="shared" si="105"/>
        <v>АРТ-321</v>
      </c>
      <c r="J169" s="6">
        <f t="shared" si="106"/>
        <v>2</v>
      </c>
      <c r="K169" s="4">
        <f>VALUE(SUBSTITUTE(SUBSTITUTE(SUBSTITUTE(SUBSTITUTE(D169,"$",""),"€",""),"₽","")," ",""))*IF(ISNUMBER(FIND("$",D169)),Справочники!$H$3,IF(ISNUMBER(FIND("€",D169)),Справочники!$H$4,1))</f>
        <v>7500</v>
      </c>
      <c r="L169" t="str">
        <f>IFERROR(VLOOKUP(TRIM(G169),Справочники!$D$3:$E$13,2,0),"Нет в справочнике")</f>
        <v>Завершен</v>
      </c>
      <c r="M169" t="str">
        <f t="shared" si="107"/>
        <v/>
      </c>
      <c r="N169" t="str">
        <f>IFERROR(VLOOKUP(I169,Товары_очищенные!$H$2:$J$502,3,0),"Нет в каталоге")</f>
        <v>Телевизоры</v>
      </c>
      <c r="O169" s="4">
        <f>IFERROR(VLOOKUP(I169,Товары_очищенные!$H$2:$M$502,6,0),"")</f>
        <v>188000</v>
      </c>
      <c r="P169" t="str">
        <f t="shared" si="108"/>
        <v xml:space="preserve">Цена отличается от каталога</v>
      </c>
    </row>
    <row r="170">
      <c r="A170" s="3" t="s">
        <v>2339</v>
      </c>
      <c r="B170" s="3" t="s">
        <v>2340</v>
      </c>
      <c r="C170" s="3" t="s">
        <v>1930</v>
      </c>
      <c r="D170" s="3" t="s">
        <v>1931</v>
      </c>
      <c r="E170" s="3" t="s">
        <v>2341</v>
      </c>
      <c r="F170" s="3" t="s">
        <v>1721</v>
      </c>
      <c r="G170" s="3" t="s">
        <v>1913</v>
      </c>
      <c r="H170" s="5">
        <f t="shared" si="104"/>
        <v>45756</v>
      </c>
      <c r="I170" t="str">
        <f t="shared" si="105"/>
        <v>АРТ-263</v>
      </c>
      <c r="J170" s="6">
        <f t="shared" si="106"/>
        <v>3</v>
      </c>
      <c r="K170" s="4">
        <f>VALUE(SUBSTITUTE(SUBSTITUTE(SUBSTITUTE(SUBSTITUTE(D170,"$",""),"€",""),"₽","")," ",""))*IF(ISNUMBER(FIND("$",D170)),Справочники!$H$3,IF(ISNUMBER(FIND("€",D170)),Справочники!$H$4,1))</f>
        <v>9975</v>
      </c>
      <c r="L170" t="str">
        <f>IFERROR(VLOOKUP(TRIM(G170),Справочники!$D$3:$E$13,2,0),"Нет в справочнике")</f>
        <v>Завершен</v>
      </c>
      <c r="M170" t="str">
        <f t="shared" si="107"/>
        <v/>
      </c>
      <c r="N170" t="str">
        <f>IFERROR(VLOOKUP(I170,Товары_очищенные!$H$2:$J$502,3,0),"Нет в каталоге")</f>
        <v>Наушники</v>
      </c>
      <c r="O170" s="4">
        <f>IFERROR(VLOOKUP(I170,Товары_очищенные!$H$2:$M$502,6,0),"")</f>
        <v>11000</v>
      </c>
      <c r="P170" t="str">
        <f t="shared" si="108"/>
        <v>ОК</v>
      </c>
    </row>
    <row r="171">
      <c r="A171" s="3" t="s">
        <v>2339</v>
      </c>
      <c r="B171" s="3" t="s">
        <v>2264</v>
      </c>
      <c r="C171" s="3" t="s">
        <v>1900</v>
      </c>
      <c r="D171" s="3" t="s">
        <v>1906</v>
      </c>
      <c r="E171" s="3" t="s">
        <v>2342</v>
      </c>
      <c r="F171" s="3" t="s">
        <v>1663</v>
      </c>
      <c r="G171" s="3" t="s">
        <v>1918</v>
      </c>
      <c r="H171" s="5">
        <f t="shared" si="104"/>
        <v>45756</v>
      </c>
      <c r="I171" t="str">
        <f t="shared" si="105"/>
        <v>АРТ-184</v>
      </c>
      <c r="J171" s="6">
        <f t="shared" si="106"/>
        <v>2</v>
      </c>
      <c r="K171" s="4">
        <f>VALUE(SUBSTITUTE(SUBSTITUTE(SUBSTITUTE(SUBSTITUTE(D171,"$",""),"€",""),"₽","")," ",""))*IF(ISNUMBER(FIND("$",D171)),Справочники!$H$3,IF(ISNUMBER(FIND("€",D171)),Справочники!$H$4,1))</f>
        <v>8500</v>
      </c>
      <c r="L171" t="str">
        <f>IFERROR(VLOOKUP(TRIM(G171),Справочники!$D$3:$E$13,2,0),"Нет в справочнике")</f>
        <v>Отменен</v>
      </c>
      <c r="M171" t="str">
        <f t="shared" si="107"/>
        <v/>
      </c>
      <c r="N171" t="str">
        <f>IFERROR(VLOOKUP(I171,Товары_очищенные!$H$2:$J$502,3,0),"Нет в каталоге")</f>
        <v>Аксессуары</v>
      </c>
      <c r="O171" s="4">
        <f>IFERROR(VLOOKUP(I171,Товары_очищенные!$H$2:$M$502,6,0),"")</f>
        <v>19990</v>
      </c>
      <c r="P171" t="str">
        <f t="shared" si="108"/>
        <v xml:space="preserve">Цена отличается от каталога</v>
      </c>
    </row>
    <row r="172">
      <c r="A172" s="3" t="s">
        <v>2343</v>
      </c>
      <c r="B172" s="3" t="s">
        <v>2344</v>
      </c>
      <c r="C172" s="3" t="s">
        <v>1938</v>
      </c>
      <c r="D172" s="3" t="s">
        <v>2166</v>
      </c>
      <c r="E172" s="3" t="s">
        <v>2345</v>
      </c>
      <c r="F172" s="3" t="s">
        <v>1802</v>
      </c>
      <c r="G172" s="3" t="s">
        <v>1924</v>
      </c>
      <c r="H172" s="5">
        <f t="shared" si="104"/>
        <v>45757</v>
      </c>
      <c r="I172" t="str">
        <f t="shared" si="105"/>
        <v>АРТ-014</v>
      </c>
      <c r="J172" s="6">
        <f t="shared" si="106"/>
        <v>1</v>
      </c>
      <c r="K172" s="4">
        <f>VALUE(SUBSTITUTE(SUBSTITUTE(SUBSTITUTE(SUBSTITUTE(D172,"$",""),"€",""),"₽","")," ",""))*IF(ISNUMBER(FIND("$",D172)),Справочники!$H$3,IF(ISNUMBER(FIND("€",D172)),Справочники!$H$4,1))</f>
        <v>7800</v>
      </c>
      <c r="L172" t="str">
        <f>IFERROR(VLOOKUP(TRIM(G172),Справочники!$D$3:$E$13,2,0),"Нет в справочнике")</f>
        <v>Отменен</v>
      </c>
      <c r="M172" t="str">
        <f t="shared" si="107"/>
        <v/>
      </c>
      <c r="N172" t="str">
        <f>IFERROR(VLOOKUP(I172,Товары_очищенные!$H$2:$J$502,3,0),"Нет в каталоге")</f>
        <v>Телевизоры</v>
      </c>
      <c r="O172" s="4">
        <f>IFERROR(VLOOKUP(I172,Товары_очищенные!$H$2:$M$502,6,0),"")</f>
        <v>147500</v>
      </c>
      <c r="P172" t="str">
        <f t="shared" si="108"/>
        <v xml:space="preserve">Цена отличается от каталога</v>
      </c>
    </row>
    <row r="173">
      <c r="A173" s="3" t="s">
        <v>2343</v>
      </c>
      <c r="B173" s="3" t="s">
        <v>2346</v>
      </c>
      <c r="C173" s="3" t="s">
        <v>1985</v>
      </c>
      <c r="D173" s="3" t="s">
        <v>2044</v>
      </c>
      <c r="E173" s="3" t="s">
        <v>2347</v>
      </c>
      <c r="F173" s="3" t="s">
        <v>1868</v>
      </c>
      <c r="G173" s="3" t="s">
        <v>1903</v>
      </c>
      <c r="H173" s="5">
        <f t="shared" si="104"/>
        <v>45757</v>
      </c>
      <c r="I173" t="str">
        <f t="shared" si="105"/>
        <v>АРТ-396</v>
      </c>
      <c r="J173" s="6">
        <f t="shared" si="106"/>
        <v>-3</v>
      </c>
      <c r="K173" s="4">
        <f>VALUE(SUBSTITUTE(SUBSTITUTE(SUBSTITUTE(SUBSTITUTE(D173,"$",""),"€",""),"₽","")," ",""))*IF(ISNUMBER(FIND("$",D173)),Справочники!$H$3,IF(ISNUMBER(FIND("€",D173)),Справочники!$H$4,1))</f>
        <v>11400</v>
      </c>
      <c r="L173" t="str">
        <f>IFERROR(VLOOKUP(TRIM(G173),Справочники!$D$3:$E$13,2,0),"Нет в справочнике")</f>
        <v>Завершен</v>
      </c>
      <c r="M173" t="str">
        <f t="shared" si="107"/>
        <v/>
      </c>
      <c r="N173" t="str">
        <f>IFERROR(VLOOKUP(I173,Товары_очищенные!$H$2:$J$502,3,0),"Нет в каталоге")</f>
        <v>Мониторы</v>
      </c>
      <c r="O173" s="4">
        <f>IFERROR(VLOOKUP(I173,Товары_очищенные!$H$2:$M$502,6,0),"")</f>
        <v>67000</v>
      </c>
      <c r="P173" t="str">
        <f t="shared" si="108"/>
        <v xml:space="preserve">Цена отличается от каталога</v>
      </c>
    </row>
    <row r="174">
      <c r="A174" s="3" t="s">
        <v>2348</v>
      </c>
      <c r="B174" s="3" t="s">
        <v>2349</v>
      </c>
      <c r="C174" s="3" t="s">
        <v>1900</v>
      </c>
      <c r="D174" s="3" t="s">
        <v>2046</v>
      </c>
      <c r="E174" s="3" t="s">
        <v>2350</v>
      </c>
      <c r="F174" s="3" t="s">
        <v>1587</v>
      </c>
      <c r="G174" s="3" t="s">
        <v>1927</v>
      </c>
      <c r="H174" s="5">
        <f t="shared" si="104"/>
        <v>45758</v>
      </c>
      <c r="I174" t="str">
        <f t="shared" si="105"/>
        <v>АРТ-078</v>
      </c>
      <c r="J174" s="6">
        <f t="shared" si="106"/>
        <v>2</v>
      </c>
      <c r="K174" s="4">
        <f>VALUE(SUBSTITUTE(SUBSTITUTE(SUBSTITUTE(SUBSTITUTE(D174,"$",""),"€",""),"₽","")," ",""))*IF(ISNUMBER(FIND("$",D174)),Справочники!$H$3,IF(ISNUMBER(FIND("€",D174)),Справочники!$H$4,1))</f>
        <v>10000</v>
      </c>
      <c r="L174" t="str">
        <f>IFERROR(VLOOKUP(TRIM(G174),Справочники!$D$3:$E$13,2,0),"Нет в справочнике")</f>
        <v>Возврат</v>
      </c>
      <c r="M174" t="str">
        <f t="shared" si="107"/>
        <v/>
      </c>
      <c r="N174" t="str">
        <f>IFERROR(VLOOKUP(I174,Товары_очищенные!$H$2:$J$502,3,0),"Нет в каталоге")</f>
        <v>Аксессуары</v>
      </c>
      <c r="O174" s="4">
        <f>IFERROR(VLOOKUP(I174,Товары_очищенные!$H$2:$M$502,6,0),"")</f>
        <v>13500</v>
      </c>
      <c r="P174" t="str">
        <f t="shared" si="108"/>
        <v xml:space="preserve">Цена отличается от каталога</v>
      </c>
    </row>
    <row r="175">
      <c r="A175" s="3" t="s">
        <v>2348</v>
      </c>
      <c r="B175" s="3" t="s">
        <v>909</v>
      </c>
      <c r="C175" s="3" t="s">
        <v>1905</v>
      </c>
      <c r="D175" s="3" t="s">
        <v>2087</v>
      </c>
      <c r="E175" s="3" t="s">
        <v>2351</v>
      </c>
      <c r="F175" s="3" t="s">
        <v>1734</v>
      </c>
      <c r="G175" s="3" t="s">
        <v>1908</v>
      </c>
      <c r="H175" s="5">
        <f t="shared" si="104"/>
        <v>45758</v>
      </c>
      <c r="I175" t="str">
        <f t="shared" si="105"/>
        <v>АРТ-234</v>
      </c>
      <c r="J175" s="6">
        <f t="shared" si="106"/>
        <v>1</v>
      </c>
      <c r="K175" s="4">
        <f>VALUE(SUBSTITUTE(SUBSTITUTE(SUBSTITUTE(SUBSTITUTE(D175,"$",""),"€",""),"₽","")," ",""))*IF(ISNUMBER(FIND("$",D175)),Справочники!$H$3,IF(ISNUMBER(FIND("€",D175)),Справочники!$H$4,1))</f>
        <v>9200</v>
      </c>
      <c r="L175" t="str">
        <f>IFERROR(VLOOKUP(TRIM(G175),Справочники!$D$3:$E$13,2,0),"Нет в справочнике")</f>
        <v>Завершен</v>
      </c>
      <c r="M175" t="str">
        <f t="shared" si="107"/>
        <v/>
      </c>
      <c r="N175" t="str">
        <f>IFERROR(VLOOKUP(I175,Товары_очищенные!$H$2:$J$502,3,0),"Нет в каталоге")</f>
        <v>Смартфоны</v>
      </c>
      <c r="O175" s="4">
        <f>IFERROR(VLOOKUP(I175,Товары_очищенные!$H$2:$M$502,6,0),"")</f>
        <v>44500</v>
      </c>
      <c r="P175" t="str">
        <f t="shared" si="108"/>
        <v xml:space="preserve">Цена отличается от каталога</v>
      </c>
    </row>
    <row r="176">
      <c r="A176" s="3" t="s">
        <v>2352</v>
      </c>
      <c r="B176" s="3" t="s">
        <v>617</v>
      </c>
      <c r="C176" s="3" t="s">
        <v>1930</v>
      </c>
      <c r="D176" s="3" t="s">
        <v>1986</v>
      </c>
      <c r="E176" s="3" t="s">
        <v>2353</v>
      </c>
      <c r="F176" s="3" t="s">
        <v>1649</v>
      </c>
      <c r="G176" s="3" t="s">
        <v>1913</v>
      </c>
      <c r="H176" s="5">
        <f t="shared" si="104"/>
        <v>45759</v>
      </c>
      <c r="I176" t="str">
        <f t="shared" si="105"/>
        <v>АРТ-145</v>
      </c>
      <c r="J176" s="6">
        <f t="shared" si="106"/>
        <v>3</v>
      </c>
      <c r="K176" s="4">
        <f>VALUE(SUBSTITUTE(SUBSTITUTE(SUBSTITUTE(SUBSTITUTE(D176,"$",""),"€",""),"₽","")," ",""))*IF(ISNUMBER(FIND("$",D176)),Справочники!$H$3,IF(ISNUMBER(FIND("€",D176)),Справочники!$H$4,1))</f>
        <v>8550</v>
      </c>
      <c r="L176" t="str">
        <f>IFERROR(VLOOKUP(TRIM(G176),Справочники!$D$3:$E$13,2,0),"Нет в справочнике")</f>
        <v>Завершен</v>
      </c>
      <c r="M176" t="str">
        <f t="shared" si="107"/>
        <v/>
      </c>
      <c r="N176" t="str">
        <f>IFERROR(VLOOKUP(I176,Товары_очищенные!$H$2:$J$502,3,0),"Нет в каталоге")</f>
        <v>Смартфоны</v>
      </c>
      <c r="O176" s="4">
        <f>IFERROR(VLOOKUP(I176,Товары_очищенные!$H$2:$M$502,6,0),"")</f>
        <v>45990</v>
      </c>
      <c r="P176" t="str">
        <f t="shared" si="108"/>
        <v xml:space="preserve">Цена отличается от каталога</v>
      </c>
    </row>
    <row r="177">
      <c r="A177" s="3" t="s">
        <v>2352</v>
      </c>
      <c r="B177" s="3" t="s">
        <v>1139</v>
      </c>
      <c r="C177" s="3" t="s">
        <v>1900</v>
      </c>
      <c r="D177" s="3" t="s">
        <v>1989</v>
      </c>
      <c r="E177" s="3" t="s">
        <v>2354</v>
      </c>
      <c r="F177" s="3" t="s">
        <v>1784</v>
      </c>
      <c r="G177" s="3" t="s">
        <v>1903</v>
      </c>
      <c r="H177" s="5">
        <f t="shared" si="104"/>
        <v>45759</v>
      </c>
      <c r="I177" t="str">
        <f t="shared" si="105"/>
        <v>АРТ-317</v>
      </c>
      <c r="J177" s="6">
        <f t="shared" si="106"/>
        <v>2</v>
      </c>
      <c r="K177" s="4">
        <f>VALUE(SUBSTITUTE(SUBSTITUTE(SUBSTITUTE(SUBSTITUTE(D177,"$",""),"€",""),"₽","")," ",""))*IF(ISNUMBER(FIND("$",D177)),Справочники!$H$3,IF(ISNUMBER(FIND("€",D177)),Справочники!$H$4,1))</f>
        <v>7000</v>
      </c>
      <c r="L177" t="str">
        <f>IFERROR(VLOOKUP(TRIM(G177),Справочники!$D$3:$E$13,2,0),"Нет в справочнике")</f>
        <v>Завершен</v>
      </c>
      <c r="M177" t="str">
        <f t="shared" si="107"/>
        <v/>
      </c>
      <c r="N177" t="str">
        <f>IFERROR(VLOOKUP(I177,Товары_очищенные!$H$2:$J$502,3,0),"Нет в каталоге")</f>
        <v>Ноутбуки</v>
      </c>
      <c r="O177" s="4">
        <f>IFERROR(VLOOKUP(I177,Товары_очищенные!$H$2:$M$502,6,0),"")</f>
        <v>107000</v>
      </c>
      <c r="P177" t="str">
        <f t="shared" si="108"/>
        <v xml:space="preserve">Цена отличается от каталога</v>
      </c>
    </row>
    <row r="178">
      <c r="A178" s="3" t="s">
        <v>2355</v>
      </c>
      <c r="B178" s="3" t="s">
        <v>2356</v>
      </c>
      <c r="C178" s="3" t="s">
        <v>1938</v>
      </c>
      <c r="D178" s="3" t="s">
        <v>1939</v>
      </c>
      <c r="E178" s="3" t="s">
        <v>2357</v>
      </c>
      <c r="F178" s="3" t="s">
        <v>1844</v>
      </c>
      <c r="G178" s="3" t="s">
        <v>1924</v>
      </c>
      <c r="H178" s="5">
        <f t="shared" si="104"/>
        <v>45760</v>
      </c>
      <c r="I178" t="str">
        <f t="shared" si="105"/>
        <v>АРТ-456</v>
      </c>
      <c r="J178" s="6">
        <f t="shared" si="106"/>
        <v>1</v>
      </c>
      <c r="K178" s="4">
        <f>VALUE(SUBSTITUTE(SUBSTITUTE(SUBSTITUTE(SUBSTITUTE(D178,"$",""),"€",""),"₽","")," ",""))*IF(ISNUMBER(FIND("$",D178)),Справочники!$H$3,IF(ISNUMBER(FIND("€",D178)),Справочники!$H$4,1))</f>
        <v>6500</v>
      </c>
      <c r="L178" t="str">
        <f>IFERROR(VLOOKUP(TRIM(G178),Справочники!$D$3:$E$13,2,0),"Нет в справочнике")</f>
        <v>Отменен</v>
      </c>
      <c r="M178" t="str">
        <f t="shared" si="107"/>
        <v/>
      </c>
      <c r="N178" t="str">
        <f>IFERROR(VLOOKUP(I178,Товары_очищенные!$H$2:$J$502,3,0),"Нет в каталоге")</f>
        <v>Мониторы</v>
      </c>
      <c r="O178" s="4">
        <f>IFERROR(VLOOKUP(I178,Товары_очищенные!$H$2:$M$502,6,0),"")</f>
        <v>77500</v>
      </c>
      <c r="P178" t="str">
        <f t="shared" si="108"/>
        <v xml:space="preserve">Цена отличается от каталога</v>
      </c>
    </row>
    <row r="179">
      <c r="A179" s="3" t="s">
        <v>2355</v>
      </c>
      <c r="B179" s="3" t="s">
        <v>832</v>
      </c>
      <c r="C179" s="3" t="s">
        <v>1915</v>
      </c>
      <c r="D179" s="3" t="s">
        <v>1916</v>
      </c>
      <c r="E179" s="3" t="s">
        <v>2358</v>
      </c>
      <c r="F179" s="3" t="s">
        <v>1566</v>
      </c>
      <c r="G179" s="3" t="s">
        <v>1918</v>
      </c>
      <c r="H179" s="5">
        <f t="shared" si="104"/>
        <v>45760</v>
      </c>
      <c r="I179" t="str">
        <f t="shared" si="105"/>
        <v>АРТ-208</v>
      </c>
      <c r="J179" s="6">
        <f t="shared" si="106"/>
        <v>-1</v>
      </c>
      <c r="K179" s="4">
        <f>VALUE(SUBSTITUTE(SUBSTITUTE(SUBSTITUTE(SUBSTITUTE(D179,"$",""),"€",""),"₽","")," ",""))*IF(ISNUMBER(FIND("$",D179)),Справочники!$H$3,IF(ISNUMBER(FIND("€",D179)),Справочники!$H$4,1))</f>
        <v>10450</v>
      </c>
      <c r="L179" t="str">
        <f>IFERROR(VLOOKUP(TRIM(G179),Справочники!$D$3:$E$13,2,0),"Нет в справочнике")</f>
        <v>Отменен</v>
      </c>
      <c r="M179" t="str">
        <f t="shared" si="107"/>
        <v/>
      </c>
      <c r="N179" t="str">
        <f>IFERROR(VLOOKUP(I179,Товары_очищенные!$H$2:$J$502,3,0),"Нет в каталоге")</f>
        <v>Аксессуары</v>
      </c>
      <c r="O179" s="4">
        <f>IFERROR(VLOOKUP(I179,Товары_очищенные!$H$2:$M$502,6,0),"")</f>
        <v>10990</v>
      </c>
      <c r="P179" t="str">
        <f t="shared" si="108"/>
        <v>ОК</v>
      </c>
    </row>
    <row r="180">
      <c r="A180" s="3" t="s">
        <v>2359</v>
      </c>
      <c r="B180" s="3" t="s">
        <v>1271</v>
      </c>
      <c r="C180" s="3" t="s">
        <v>1930</v>
      </c>
      <c r="D180" s="3" t="s">
        <v>1922</v>
      </c>
      <c r="E180" s="3" t="s">
        <v>2360</v>
      </c>
      <c r="F180" s="3" t="s">
        <v>1701</v>
      </c>
      <c r="G180" s="3" t="s">
        <v>1927</v>
      </c>
      <c r="H180" s="5">
        <f t="shared" si="104"/>
        <v>45761</v>
      </c>
      <c r="I180" t="str">
        <f t="shared" si="105"/>
        <v>АРТ-374</v>
      </c>
      <c r="J180" s="6">
        <f t="shared" si="106"/>
        <v>3</v>
      </c>
      <c r="K180" s="4">
        <f>VALUE(SUBSTITUTE(SUBSTITUTE(SUBSTITUTE(SUBSTITUTE(D180,"$",""),"€",""),"₽","")," ",""))*IF(ISNUMBER(FIND("$",D180)),Справочники!$H$3,IF(ISNUMBER(FIND("€",D180)),Справочники!$H$4,1))</f>
        <v>9000</v>
      </c>
      <c r="L180" t="str">
        <f>IFERROR(VLOOKUP(TRIM(G180),Справочники!$D$3:$E$13,2,0),"Нет в справочнике")</f>
        <v>Возврат</v>
      </c>
      <c r="M180" t="str">
        <f t="shared" si="107"/>
        <v/>
      </c>
      <c r="N180" t="str">
        <f>IFERROR(VLOOKUP(I180,Товары_очищенные!$H$2:$J$502,3,0),"Нет в каталоге")</f>
        <v>Аксессуары</v>
      </c>
      <c r="O180" s="4">
        <f>IFERROR(VLOOKUP(I180,Товары_очищенные!$H$2:$M$502,6,0),"")</f>
        <v>13500</v>
      </c>
      <c r="P180" t="str">
        <f t="shared" si="108"/>
        <v xml:space="preserve">Цена отличается от каталога</v>
      </c>
    </row>
    <row r="181">
      <c r="A181" s="3" t="s">
        <v>2359</v>
      </c>
      <c r="B181" s="3" t="s">
        <v>2361</v>
      </c>
      <c r="C181" s="3" t="s">
        <v>1900</v>
      </c>
      <c r="D181" s="3" t="s">
        <v>1925</v>
      </c>
      <c r="E181" s="3" t="s">
        <v>2362</v>
      </c>
      <c r="F181" s="3" t="s">
        <v>1814</v>
      </c>
      <c r="G181" s="3" t="s">
        <v>1903</v>
      </c>
      <c r="H181" s="5">
        <f t="shared" si="104"/>
        <v>45761</v>
      </c>
      <c r="I181" t="str">
        <f t="shared" si="105"/>
        <v>АРТ-091</v>
      </c>
      <c r="J181" s="6">
        <f t="shared" si="106"/>
        <v>2</v>
      </c>
      <c r="K181" s="4">
        <f>VALUE(SUBSTITUTE(SUBSTITUTE(SUBSTITUTE(SUBSTITUTE(D181,"$",""),"€",""),"₽","")," ",""))*IF(ISNUMBER(FIND("$",D181)),Справочники!$H$3,IF(ISNUMBER(FIND("€",D181)),Справочники!$H$4,1))</f>
        <v>8000</v>
      </c>
      <c r="L181" t="str">
        <f>IFERROR(VLOOKUP(TRIM(G181),Справочники!$D$3:$E$13,2,0),"Нет в справочнике")</f>
        <v>Завершен</v>
      </c>
      <c r="M181" t="str">
        <f t="shared" si="107"/>
        <v/>
      </c>
      <c r="N181" t="str">
        <f>IFERROR(VLOOKUP(I181,Товары_очищенные!$H$2:$J$502,3,0),"Нет в каталоге")</f>
        <v>Наушники</v>
      </c>
      <c r="O181" s="4">
        <f>IFERROR(VLOOKUP(I181,Товары_очищенные!$H$2:$M$502,6,0),"")</f>
        <v>9990</v>
      </c>
      <c r="P181" t="str">
        <f t="shared" si="108"/>
        <v>ОК</v>
      </c>
    </row>
    <row r="182">
      <c r="A182" s="3" t="s">
        <v>2363</v>
      </c>
      <c r="B182" s="3" t="s">
        <v>2364</v>
      </c>
      <c r="C182" s="3" t="s">
        <v>1905</v>
      </c>
      <c r="D182" s="3" t="s">
        <v>1964</v>
      </c>
      <c r="E182" s="3" t="s">
        <v>2365</v>
      </c>
      <c r="F182" s="3" t="s">
        <v>1880</v>
      </c>
      <c r="G182" s="3" t="s">
        <v>1908</v>
      </c>
      <c r="H182" s="5">
        <f t="shared" si="104"/>
        <v>45762</v>
      </c>
      <c r="I182" t="str">
        <f t="shared" si="105"/>
        <v>АРТ-323</v>
      </c>
      <c r="J182" s="6">
        <f t="shared" si="106"/>
        <v>1</v>
      </c>
      <c r="K182" s="4">
        <f>VALUE(SUBSTITUTE(SUBSTITUTE(SUBSTITUTE(SUBSTITUTE(D182,"$",""),"€",""),"₽","")," ",""))*IF(ISNUMBER(FIND("$",D182)),Справочники!$H$3,IF(ISNUMBER(FIND("€",D182)),Справочники!$H$4,1))</f>
        <v>9025</v>
      </c>
      <c r="L182" t="str">
        <f>IFERROR(VLOOKUP(TRIM(G182),Справочники!$D$3:$E$13,2,0),"Нет в справочнике")</f>
        <v>Завершен</v>
      </c>
      <c r="M182" t="str">
        <f t="shared" si="107"/>
        <v/>
      </c>
      <c r="N182" t="str">
        <f>IFERROR(VLOOKUP(I182,Товары_очищенные!$H$2:$J$502,3,0),"Нет в каталоге")</f>
        <v>Наушники</v>
      </c>
      <c r="O182" s="4">
        <f>IFERROR(VLOOKUP(I182,Товары_очищенные!$H$2:$M$502,6,0),"")</f>
        <v>12500</v>
      </c>
      <c r="P182" t="str">
        <f t="shared" si="108"/>
        <v xml:space="preserve">Цена отличается от каталога</v>
      </c>
    </row>
    <row r="183">
      <c r="A183" s="3" t="s">
        <v>2363</v>
      </c>
      <c r="B183" s="3" t="s">
        <v>2366</v>
      </c>
      <c r="C183" s="3" t="s">
        <v>1900</v>
      </c>
      <c r="D183" s="3" t="s">
        <v>1968</v>
      </c>
      <c r="E183" s="3" t="s">
        <v>2367</v>
      </c>
      <c r="F183" s="3" t="s">
        <v>1636</v>
      </c>
      <c r="G183" s="3" t="s">
        <v>1913</v>
      </c>
      <c r="H183" s="5">
        <f t="shared" si="104"/>
        <v>45762</v>
      </c>
      <c r="I183" t="str">
        <f t="shared" si="105"/>
        <v>АРТ-468</v>
      </c>
      <c r="J183" s="6">
        <f t="shared" si="106"/>
        <v>2</v>
      </c>
      <c r="K183" s="4">
        <f>VALUE(SUBSTITUTE(SUBSTITUTE(SUBSTITUTE(SUBSTITUTE(D183,"$",""),"€",""),"₽","")," ",""))*IF(ISNUMBER(FIND("$",D183)),Справочники!$H$3,IF(ISNUMBER(FIND("€",D183)),Справочники!$H$4,1))</f>
        <v>7500</v>
      </c>
      <c r="L183" t="str">
        <f>IFERROR(VLOOKUP(TRIM(G183),Справочники!$D$3:$E$13,2,0),"Нет в справочнике")</f>
        <v>Завершен</v>
      </c>
      <c r="M183" t="str">
        <f t="shared" si="107"/>
        <v/>
      </c>
      <c r="N183" t="str">
        <f>IFERROR(VLOOKUP(I183,Товары_очищенные!$H$2:$J$502,3,0),"Нет в каталоге")</f>
        <v>Смартфоны</v>
      </c>
      <c r="O183" s="4">
        <f>IFERROR(VLOOKUP(I183,Товары_очищенные!$H$2:$M$502,6,0),"")</f>
        <v>24500</v>
      </c>
      <c r="P183" t="str">
        <f t="shared" si="108"/>
        <v xml:space="preserve">Цена отличается от каталога</v>
      </c>
    </row>
    <row r="184">
      <c r="A184" s="3" t="s">
        <v>2368</v>
      </c>
      <c r="B184" s="3" t="s">
        <v>2369</v>
      </c>
      <c r="C184" s="3" t="s">
        <v>1910</v>
      </c>
      <c r="D184" s="3" t="s">
        <v>1971</v>
      </c>
      <c r="E184" s="3" t="s">
        <v>2370</v>
      </c>
      <c r="F184" s="3" t="s">
        <v>1740</v>
      </c>
      <c r="G184" s="3" t="s">
        <v>1918</v>
      </c>
      <c r="H184" s="5">
        <f t="shared" si="104"/>
        <v>45763</v>
      </c>
      <c r="I184" t="str">
        <f t="shared" si="105"/>
        <v>АРТ-358</v>
      </c>
      <c r="J184" s="6">
        <f t="shared" si="106"/>
        <v>3</v>
      </c>
      <c r="K184" s="4">
        <f>VALUE(SUBSTITUTE(SUBSTITUTE(SUBSTITUTE(SUBSTITUTE(D184,"$",""),"€",""),"₽","")," ",""))*IF(ISNUMBER(FIND("$",D184)),Справочники!$H$3,IF(ISNUMBER(FIND("€",D184)),Справочники!$H$4,1))</f>
        <v>7000</v>
      </c>
      <c r="L184" t="str">
        <f>IFERROR(VLOOKUP(TRIM(G184),Справочники!$D$3:$E$13,2,0),"Нет в справочнике")</f>
        <v>Отменен</v>
      </c>
      <c r="M184" t="str">
        <f t="shared" si="107"/>
        <v/>
      </c>
      <c r="N184" t="str">
        <f>IFERROR(VLOOKUP(I184,Товары_очищенные!$H$2:$J$502,3,0),"Нет в каталоге")</f>
        <v>Планшеты</v>
      </c>
      <c r="O184" s="4">
        <f>IFERROR(VLOOKUP(I184,Товары_очищенные!$H$2:$M$502,6,0),"")</f>
        <v>59990</v>
      </c>
      <c r="P184" t="str">
        <f t="shared" si="108"/>
        <v xml:space="preserve">Цена отличается от каталога</v>
      </c>
    </row>
    <row r="185">
      <c r="A185" s="3" t="s">
        <v>2368</v>
      </c>
      <c r="B185" s="3" t="s">
        <v>716</v>
      </c>
      <c r="C185" s="3" t="s">
        <v>1942</v>
      </c>
      <c r="D185" s="3" t="s">
        <v>1943</v>
      </c>
      <c r="E185" s="3" t="s">
        <v>2371</v>
      </c>
      <c r="F185" s="3" t="s">
        <v>1682</v>
      </c>
      <c r="G185" s="3" t="s">
        <v>1924</v>
      </c>
      <c r="H185" s="5">
        <f t="shared" si="104"/>
        <v>45763</v>
      </c>
      <c r="I185" t="str">
        <f t="shared" si="105"/>
        <v>АРТ-172</v>
      </c>
      <c r="J185" s="6">
        <f t="shared" si="106"/>
        <v>-2</v>
      </c>
      <c r="K185" s="4">
        <f>VALUE(SUBSTITUTE(SUBSTITUTE(SUBSTITUTE(SUBSTITUTE(D185,"$",""),"€",""),"₽","")," ",""))*IF(ISNUMBER(FIND("$",D185)),Справочники!$H$3,IF(ISNUMBER(FIND("€",D185)),Справочники!$H$4,1))</f>
        <v>10925</v>
      </c>
      <c r="L185" t="str">
        <f>IFERROR(VLOOKUP(TRIM(G185),Справочники!$D$3:$E$13,2,0),"Нет в справочнике")</f>
        <v>Отменен</v>
      </c>
      <c r="M185" t="str">
        <f t="shared" si="107"/>
        <v/>
      </c>
      <c r="N185" t="str">
        <f>IFERROR(VLOOKUP(I185,Товары_очищенные!$H$2:$J$502,3,0),"Нет в каталоге")</f>
        <v>Ноутбуки</v>
      </c>
      <c r="O185" s="4">
        <f>IFERROR(VLOOKUP(I185,Товары_очищенные!$H$2:$M$502,6,0),"")</f>
        <v>104990</v>
      </c>
      <c r="P185" t="str">
        <f t="shared" si="108"/>
        <v xml:space="preserve">Цена отличается от каталога</v>
      </c>
    </row>
    <row r="186">
      <c r="A186" s="3" t="s">
        <v>2372</v>
      </c>
      <c r="B186" s="3" t="s">
        <v>979</v>
      </c>
      <c r="C186" s="3" t="s">
        <v>1905</v>
      </c>
      <c r="D186" s="3" t="s">
        <v>1934</v>
      </c>
      <c r="E186" s="3" t="s">
        <v>2373</v>
      </c>
      <c r="F186" s="3" t="s">
        <v>1820</v>
      </c>
      <c r="G186" s="3" t="s">
        <v>1903</v>
      </c>
      <c r="H186" s="5">
        <f t="shared" si="104"/>
        <v>45764</v>
      </c>
      <c r="I186" t="str">
        <f t="shared" si="105"/>
        <v>АРТ-260</v>
      </c>
      <c r="J186" s="6">
        <f t="shared" si="106"/>
        <v>1</v>
      </c>
      <c r="K186" s="4">
        <f>VALUE(SUBSTITUTE(SUBSTITUTE(SUBSTITUTE(SUBSTITUTE(D186,"$",""),"€",""),"₽","")," ",""))*IF(ISNUMBER(FIND("$",D186)),Справочники!$H$3,IF(ISNUMBER(FIND("€",D186)),Справочники!$H$4,1))</f>
        <v>9500</v>
      </c>
      <c r="L186" t="str">
        <f>IFERROR(VLOOKUP(TRIM(G186),Справочники!$D$3:$E$13,2,0),"Нет в справочнике")</f>
        <v>Завершен</v>
      </c>
      <c r="M186" t="str">
        <f t="shared" si="107"/>
        <v/>
      </c>
      <c r="N186" t="str">
        <f>IFERROR(VLOOKUP(I186,Товары_очищенные!$H$2:$J$502,3,0),"Нет в каталоге")</f>
        <v>Телевизоры</v>
      </c>
      <c r="O186" s="4">
        <f>IFERROR(VLOOKUP(I186,Товары_очищенные!$H$2:$M$502,6,0),"")</f>
        <v>90000</v>
      </c>
      <c r="P186" t="str">
        <f t="shared" si="108"/>
        <v xml:space="preserve">Цена отличается от каталога</v>
      </c>
    </row>
    <row r="187">
      <c r="A187" s="3" t="s">
        <v>2372</v>
      </c>
      <c r="B187" s="3" t="s">
        <v>2374</v>
      </c>
      <c r="C187" s="3" t="s">
        <v>1900</v>
      </c>
      <c r="D187" s="3" t="s">
        <v>1951</v>
      </c>
      <c r="E187" s="3" t="s">
        <v>2375</v>
      </c>
      <c r="F187" s="3" t="s">
        <v>1580</v>
      </c>
      <c r="G187" s="3" t="s">
        <v>1927</v>
      </c>
      <c r="H187" s="5">
        <f t="shared" si="104"/>
        <v>45764</v>
      </c>
      <c r="I187" t="str">
        <f t="shared" si="105"/>
        <v>АРТ-110</v>
      </c>
      <c r="J187" s="6">
        <f t="shared" si="106"/>
        <v>2</v>
      </c>
      <c r="K187" s="4">
        <f>VALUE(SUBSTITUTE(SUBSTITUTE(SUBSTITUTE(SUBSTITUTE(D187,"$",""),"€",""),"₽","")," ",""))*IF(ISNUMBER(FIND("$",D187)),Справочники!$H$3,IF(ISNUMBER(FIND("€",D187)),Справочники!$H$4,1))</f>
        <v>8500</v>
      </c>
      <c r="L187" t="str">
        <f>IFERROR(VLOOKUP(TRIM(G187),Справочники!$D$3:$E$13,2,0),"Нет в справочнике")</f>
        <v>Возврат</v>
      </c>
      <c r="M187" t="str">
        <f t="shared" si="107"/>
        <v/>
      </c>
      <c r="N187" t="str">
        <f>IFERROR(VLOOKUP(I187,Товары_очищенные!$H$2:$J$502,3,0),"Нет в каталоге")</f>
        <v>Телевизоры</v>
      </c>
      <c r="O187" s="4">
        <f>IFERROR(VLOOKUP(I187,Товары_очищенные!$H$2:$M$502,6,0),"")</f>
        <v>117000</v>
      </c>
      <c r="P187" t="str">
        <f t="shared" si="108"/>
        <v xml:space="preserve">Цена отличается от каталога</v>
      </c>
    </row>
    <row r="188">
      <c r="A188" s="3" t="s">
        <v>2376</v>
      </c>
      <c r="B188" s="3" t="s">
        <v>2377</v>
      </c>
      <c r="C188" s="3" t="s">
        <v>1930</v>
      </c>
      <c r="D188" s="3" t="s">
        <v>1931</v>
      </c>
      <c r="E188" s="3" t="s">
        <v>2378</v>
      </c>
      <c r="F188" s="3" t="s">
        <v>1727</v>
      </c>
      <c r="G188" s="3" t="s">
        <v>1908</v>
      </c>
      <c r="H188" s="5">
        <f t="shared" si="104"/>
        <v>45765</v>
      </c>
      <c r="I188" t="str">
        <f t="shared" si="105"/>
        <v>АРТ-029</v>
      </c>
      <c r="J188" s="6">
        <f t="shared" si="106"/>
        <v>3</v>
      </c>
      <c r="K188" s="4">
        <f>VALUE(SUBSTITUTE(SUBSTITUTE(SUBSTITUTE(SUBSTITUTE(D188,"$",""),"€",""),"₽","")," ",""))*IF(ISNUMBER(FIND("$",D188)),Справочники!$H$3,IF(ISNUMBER(FIND("€",D188)),Справочники!$H$4,1))</f>
        <v>9975</v>
      </c>
      <c r="L188" t="str">
        <f>IFERROR(VLOOKUP(TRIM(G188),Справочники!$D$3:$E$13,2,0),"Нет в справочнике")</f>
        <v>Завершен</v>
      </c>
      <c r="M188" t="str">
        <f t="shared" si="107"/>
        <v/>
      </c>
      <c r="N188" t="str">
        <f>IFERROR(VLOOKUP(I188,Товары_очищенные!$H$2:$J$502,3,0),"Нет в каталоге")</f>
        <v>Аксессуары</v>
      </c>
      <c r="O188" s="4">
        <f>IFERROR(VLOOKUP(I188,Товары_очищенные!$H$2:$M$502,6,0),"")</f>
        <v>9500</v>
      </c>
      <c r="P188" t="str">
        <f t="shared" si="108"/>
        <v>ОК</v>
      </c>
    </row>
    <row r="189">
      <c r="A189" s="3" t="s">
        <v>2376</v>
      </c>
      <c r="B189" s="3" t="s">
        <v>2379</v>
      </c>
      <c r="C189" s="3" t="s">
        <v>1900</v>
      </c>
      <c r="D189" s="3" t="s">
        <v>1906</v>
      </c>
      <c r="E189" s="3" t="s">
        <v>2380</v>
      </c>
      <c r="F189" s="3" t="s">
        <v>1629</v>
      </c>
      <c r="G189" s="3" t="s">
        <v>1913</v>
      </c>
      <c r="H189" s="5">
        <f t="shared" si="104"/>
        <v>45765</v>
      </c>
      <c r="I189" t="str">
        <f t="shared" si="105"/>
        <v>АРТ-415</v>
      </c>
      <c r="J189" s="6">
        <f t="shared" si="106"/>
        <v>2</v>
      </c>
      <c r="K189" s="4">
        <f>VALUE(SUBSTITUTE(SUBSTITUTE(SUBSTITUTE(SUBSTITUTE(D189,"$",""),"€",""),"₽","")," ",""))*IF(ISNUMBER(FIND("$",D189)),Справочники!$H$3,IF(ISNUMBER(FIND("€",D189)),Справочники!$H$4,1))</f>
        <v>8500</v>
      </c>
      <c r="L189" t="str">
        <f>IFERROR(VLOOKUP(TRIM(G189),Справочники!$D$3:$E$13,2,0),"Нет в справочнике")</f>
        <v>Завершен</v>
      </c>
      <c r="M189" t="str">
        <f t="shared" si="107"/>
        <v/>
      </c>
      <c r="N189" t="str">
        <f>IFERROR(VLOOKUP(I189,Товары_очищенные!$H$2:$J$502,3,0),"Нет в каталоге")</f>
        <v>Аксессуары</v>
      </c>
      <c r="O189" s="4">
        <f>IFERROR(VLOOKUP(I189,Товары_очищенные!$H$2:$M$502,6,0),"")</f>
        <v>14990</v>
      </c>
      <c r="P189" t="str">
        <f t="shared" si="108"/>
        <v xml:space="preserve">Цена отличается от каталога</v>
      </c>
    </row>
    <row r="190">
      <c r="A190" s="3" t="s">
        <v>2381</v>
      </c>
      <c r="B190" s="3" t="s">
        <v>2382</v>
      </c>
      <c r="C190" s="3" t="s">
        <v>1938</v>
      </c>
      <c r="D190" s="3" t="s">
        <v>2166</v>
      </c>
      <c r="E190" s="3" t="s">
        <v>2383</v>
      </c>
      <c r="F190" s="3" t="s">
        <v>1778</v>
      </c>
      <c r="G190" s="3" t="s">
        <v>1903</v>
      </c>
      <c r="H190" s="5">
        <f t="shared" si="104"/>
        <v>45766</v>
      </c>
      <c r="I190" t="str">
        <f t="shared" si="105"/>
        <v>АРТ-223</v>
      </c>
      <c r="J190" s="6">
        <f t="shared" si="106"/>
        <v>1</v>
      </c>
      <c r="K190" s="4">
        <f>VALUE(SUBSTITUTE(SUBSTITUTE(SUBSTITUTE(SUBSTITUTE(D190,"$",""),"€",""),"₽","")," ",""))*IF(ISNUMBER(FIND("$",D190)),Справочники!$H$3,IF(ISNUMBER(FIND("€",D190)),Справочники!$H$4,1))</f>
        <v>7800</v>
      </c>
      <c r="L190" t="str">
        <f>IFERROR(VLOOKUP(TRIM(G190),Справочники!$D$3:$E$13,2,0),"Нет в справочнике")</f>
        <v>Завершен</v>
      </c>
      <c r="M190" t="str">
        <f t="shared" si="107"/>
        <v/>
      </c>
      <c r="N190" t="str">
        <f>IFERROR(VLOOKUP(I190,Товары_очищенные!$H$2:$J$502,3,0),"Нет в каталоге")</f>
        <v>Мониторы</v>
      </c>
      <c r="O190" s="4">
        <f>IFERROR(VLOOKUP(I190,Товары_очищенные!$H$2:$M$502,6,0),"")</f>
        <v>54990</v>
      </c>
      <c r="P190" t="str">
        <f t="shared" si="108"/>
        <v xml:space="preserve">Цена отличается от каталога</v>
      </c>
    </row>
    <row r="191">
      <c r="A191" s="3" t="s">
        <v>2381</v>
      </c>
      <c r="B191" s="3" t="s">
        <v>1237</v>
      </c>
      <c r="C191" s="3" t="s">
        <v>1985</v>
      </c>
      <c r="D191" s="3" t="s">
        <v>2044</v>
      </c>
      <c r="E191" s="3" t="s">
        <v>2384</v>
      </c>
      <c r="F191" s="3" t="s">
        <v>1862</v>
      </c>
      <c r="G191" s="3" t="s">
        <v>1924</v>
      </c>
      <c r="H191" s="5">
        <f t="shared" si="104"/>
        <v>45766</v>
      </c>
      <c r="I191" t="str">
        <f t="shared" si="105"/>
        <v>АРТ-358</v>
      </c>
      <c r="J191" s="6">
        <f t="shared" si="106"/>
        <v>-3</v>
      </c>
      <c r="K191" s="4">
        <f>VALUE(SUBSTITUTE(SUBSTITUTE(SUBSTITUTE(SUBSTITUTE(D191,"$",""),"€",""),"₽","")," ",""))*IF(ISNUMBER(FIND("$",D191)),Справочники!$H$3,IF(ISNUMBER(FIND("€",D191)),Справочники!$H$4,1))</f>
        <v>11400</v>
      </c>
      <c r="L191" t="str">
        <f>IFERROR(VLOOKUP(TRIM(G191),Справочники!$D$3:$E$13,2,0),"Нет в справочнике")</f>
        <v>Отменен</v>
      </c>
      <c r="M191" t="str">
        <f t="shared" si="107"/>
        <v/>
      </c>
      <c r="N191" t="str">
        <f>IFERROR(VLOOKUP(I191,Товары_очищенные!$H$2:$J$502,3,0),"Нет в каталоге")</f>
        <v>Планшеты</v>
      </c>
      <c r="O191" s="4">
        <f>IFERROR(VLOOKUP(I191,Товары_очищенные!$H$2:$M$502,6,0),"")</f>
        <v>59990</v>
      </c>
      <c r="P191" t="str">
        <f t="shared" si="108"/>
        <v xml:space="preserve">Цена отличается от каталога</v>
      </c>
    </row>
    <row r="192">
      <c r="A192" s="3" t="s">
        <v>2385</v>
      </c>
      <c r="B192" s="3" t="s">
        <v>2386</v>
      </c>
      <c r="C192" s="3" t="s">
        <v>1900</v>
      </c>
      <c r="D192" s="3" t="s">
        <v>2046</v>
      </c>
      <c r="E192" s="3" t="s">
        <v>2387</v>
      </c>
      <c r="F192" s="3" t="s">
        <v>1695</v>
      </c>
      <c r="G192" s="3" t="s">
        <v>1918</v>
      </c>
      <c r="H192" s="5">
        <f t="shared" si="104"/>
        <v>45767</v>
      </c>
      <c r="I192" t="str">
        <f t="shared" si="105"/>
        <v>АРТ-196</v>
      </c>
      <c r="J192" s="6">
        <f t="shared" si="106"/>
        <v>2</v>
      </c>
      <c r="K192" s="4">
        <f>VALUE(SUBSTITUTE(SUBSTITUTE(SUBSTITUTE(SUBSTITUTE(D192,"$",""),"€",""),"₽","")," ",""))*IF(ISNUMBER(FIND("$",D192)),Справочники!$H$3,IF(ISNUMBER(FIND("€",D192)),Справочники!$H$4,1))</f>
        <v>10000</v>
      </c>
      <c r="L192" t="str">
        <f>IFERROR(VLOOKUP(TRIM(G192),Справочники!$D$3:$E$13,2,0),"Нет в справочнике")</f>
        <v>Отменен</v>
      </c>
      <c r="M192" t="str">
        <f t="shared" si="107"/>
        <v/>
      </c>
      <c r="N192" t="str">
        <f>IFERROR(VLOOKUP(I192,Товары_очищенные!$H$2:$J$502,3,0),"Нет в каталоге")</f>
        <v>Смартфоны</v>
      </c>
      <c r="O192" s="4">
        <f>IFERROR(VLOOKUP(I192,Товары_очищенные!$H$2:$M$502,6,0),"")</f>
        <v>53990</v>
      </c>
      <c r="P192" t="str">
        <f t="shared" si="108"/>
        <v xml:space="preserve">Цена отличается от каталога</v>
      </c>
    </row>
    <row r="193">
      <c r="A193" s="3" t="s">
        <v>2385</v>
      </c>
      <c r="B193" s="3" t="s">
        <v>2388</v>
      </c>
      <c r="C193" s="3" t="s">
        <v>1905</v>
      </c>
      <c r="D193" s="3" t="s">
        <v>2087</v>
      </c>
      <c r="E193" s="3" t="s">
        <v>2389</v>
      </c>
      <c r="F193" s="3" t="s">
        <v>1573</v>
      </c>
      <c r="G193" s="3" t="s">
        <v>1927</v>
      </c>
      <c r="H193" s="5">
        <f t="shared" si="104"/>
        <v>45767</v>
      </c>
      <c r="I193" t="str">
        <f t="shared" si="105"/>
        <v>АРТ-289</v>
      </c>
      <c r="J193" s="6">
        <f t="shared" si="106"/>
        <v>1</v>
      </c>
      <c r="K193" s="4">
        <f>VALUE(SUBSTITUTE(SUBSTITUTE(SUBSTITUTE(SUBSTITUTE(D193,"$",""),"€",""),"₽","")," ",""))*IF(ISNUMBER(FIND("$",D193)),Справочники!$H$3,IF(ISNUMBER(FIND("€",D193)),Справочники!$H$4,1))</f>
        <v>9200</v>
      </c>
      <c r="L193" t="str">
        <f>IFERROR(VLOOKUP(TRIM(G193),Справочники!$D$3:$E$13,2,0),"Нет в справочнике")</f>
        <v>Возврат</v>
      </c>
      <c r="M193" t="str">
        <f t="shared" si="107"/>
        <v/>
      </c>
      <c r="N193" t="str">
        <f>IFERROR(VLOOKUP(I193,Товары_очищенные!$H$2:$J$502,3,0),"Нет в каталоге")</f>
        <v>Часы</v>
      </c>
      <c r="O193" s="4">
        <f>IFERROR(VLOOKUP(I193,Товары_очищенные!$H$2:$M$502,6,0),"")</f>
        <v>62990</v>
      </c>
      <c r="P193" t="str">
        <f t="shared" si="108"/>
        <v xml:space="preserve">Цена отличается от каталога</v>
      </c>
    </row>
    <row r="194">
      <c r="A194" s="3" t="s">
        <v>2390</v>
      </c>
      <c r="B194" s="3" t="s">
        <v>2391</v>
      </c>
      <c r="C194" s="3" t="s">
        <v>1930</v>
      </c>
      <c r="D194" s="3" t="s">
        <v>1986</v>
      </c>
      <c r="E194" s="3" t="s">
        <v>2392</v>
      </c>
      <c r="F194" s="3" t="s">
        <v>1808</v>
      </c>
      <c r="G194" s="3" t="s">
        <v>1903</v>
      </c>
      <c r="H194" s="5">
        <f t="shared" si="104"/>
        <v>45768</v>
      </c>
      <c r="I194" t="str">
        <f t="shared" si="105"/>
        <v>АРТ-105</v>
      </c>
      <c r="J194" s="6">
        <f t="shared" si="106"/>
        <v>3</v>
      </c>
      <c r="K194" s="4">
        <f>VALUE(SUBSTITUTE(SUBSTITUTE(SUBSTITUTE(SUBSTITUTE(D194,"$",""),"€",""),"₽","")," ",""))*IF(ISNUMBER(FIND("$",D194)),Справочники!$H$3,IF(ISNUMBER(FIND("€",D194)),Справочники!$H$4,1))</f>
        <v>8550</v>
      </c>
      <c r="L194" t="str">
        <f>IFERROR(VLOOKUP(TRIM(G194),Справочники!$D$3:$E$13,2,0),"Нет в справочнике")</f>
        <v>Завершен</v>
      </c>
      <c r="M194" t="str">
        <f t="shared" si="107"/>
        <v/>
      </c>
      <c r="N194" t="str">
        <f>IFERROR(VLOOKUP(I194,Товары_очищенные!$H$2:$J$502,3,0),"Нет в каталоге")</f>
        <v>Ноутбуки</v>
      </c>
      <c r="O194" s="4">
        <f>IFERROR(VLOOKUP(I194,Товары_очищенные!$H$2:$M$502,6,0),"")</f>
        <v>152000</v>
      </c>
      <c r="P194" t="str">
        <f t="shared" si="108"/>
        <v xml:space="preserve">Цена отличается от каталога</v>
      </c>
    </row>
    <row r="195">
      <c r="A195" s="3" t="s">
        <v>2390</v>
      </c>
      <c r="B195" s="3" t="s">
        <v>1412</v>
      </c>
      <c r="C195" s="3" t="s">
        <v>1900</v>
      </c>
      <c r="D195" s="3" t="s">
        <v>1989</v>
      </c>
      <c r="E195" s="3" t="s">
        <v>2393</v>
      </c>
      <c r="F195" s="3" t="s">
        <v>1670</v>
      </c>
      <c r="G195" s="3" t="s">
        <v>1908</v>
      </c>
      <c r="H195" s="5">
        <f t="shared" si="104"/>
        <v>45768</v>
      </c>
      <c r="I195" t="str">
        <f t="shared" si="105"/>
        <v>АРТ-437</v>
      </c>
      <c r="J195" s="6">
        <f t="shared" si="106"/>
        <v>2</v>
      </c>
      <c r="K195" s="4">
        <f>VALUE(SUBSTITUTE(SUBSTITUTE(SUBSTITUTE(SUBSTITUTE(D195,"$",""),"€",""),"₽","")," ",""))*IF(ISNUMBER(FIND("$",D195)),Справочники!$H$3,IF(ISNUMBER(FIND("€",D195)),Справочники!$H$4,1))</f>
        <v>7000</v>
      </c>
      <c r="L195" t="str">
        <f>IFERROR(VLOOKUP(TRIM(G195),Справочники!$D$3:$E$13,2,0),"Нет в справочнике")</f>
        <v>Завершен</v>
      </c>
      <c r="M195" t="str">
        <f t="shared" si="107"/>
        <v/>
      </c>
      <c r="N195" t="str">
        <f>IFERROR(VLOOKUP(I195,Товары_очищенные!$H$2:$J$502,3,0),"Нет в каталоге")</f>
        <v>Аксессуары</v>
      </c>
      <c r="O195" s="4">
        <f>IFERROR(VLOOKUP(I195,Товары_очищенные!$H$2:$M$502,6,0),"")</f>
        <v>5500</v>
      </c>
      <c r="P195" t="str">
        <f t="shared" si="108"/>
        <v xml:space="preserve">Цена отличается от каталога</v>
      </c>
    </row>
    <row r="196">
      <c r="A196" s="3" t="s">
        <v>2394</v>
      </c>
      <c r="B196" s="3" t="s">
        <v>2395</v>
      </c>
      <c r="C196" s="3" t="s">
        <v>1938</v>
      </c>
      <c r="D196" s="3" t="s">
        <v>1939</v>
      </c>
      <c r="E196" s="3" t="s">
        <v>2396</v>
      </c>
      <c r="F196" s="3" t="s">
        <v>1752</v>
      </c>
      <c r="G196" s="3" t="s">
        <v>1913</v>
      </c>
      <c r="H196" s="5">
        <f t="shared" si="104"/>
        <v>45769</v>
      </c>
      <c r="I196" t="str">
        <f t="shared" si="105"/>
        <v>АРТ-371</v>
      </c>
      <c r="J196" s="6">
        <f t="shared" si="106"/>
        <v>1</v>
      </c>
      <c r="K196" s="4">
        <f>VALUE(SUBSTITUTE(SUBSTITUTE(SUBSTITUTE(SUBSTITUTE(D196,"$",""),"€",""),"₽","")," ",""))*IF(ISNUMBER(FIND("$",D196)),Справочники!$H$3,IF(ISNUMBER(FIND("€",D196)),Справочники!$H$4,1))</f>
        <v>6500</v>
      </c>
      <c r="L196" t="str">
        <f>IFERROR(VLOOKUP(TRIM(G196),Справочники!$D$3:$E$13,2,0),"Нет в справочнике")</f>
        <v>Завершен</v>
      </c>
      <c r="M196" t="str">
        <f t="shared" si="107"/>
        <v/>
      </c>
      <c r="N196" t="str">
        <f>IFERROR(VLOOKUP(I196,Товары_очищенные!$H$2:$J$502,3,0),"Нет в каталоге")</f>
        <v>Мониторы</v>
      </c>
      <c r="O196" s="4">
        <f>IFERROR(VLOOKUP(I196,Товары_очищенные!$H$2:$M$502,6,0),"")</f>
        <v>48000</v>
      </c>
      <c r="P196" t="str">
        <f t="shared" si="108"/>
        <v xml:space="preserve">Цена отличается от каталога</v>
      </c>
    </row>
    <row r="197">
      <c r="A197" s="3" t="s">
        <v>2394</v>
      </c>
      <c r="B197" s="3" t="s">
        <v>943</v>
      </c>
      <c r="C197" s="3" t="s">
        <v>1915</v>
      </c>
      <c r="D197" s="3" t="s">
        <v>1916</v>
      </c>
      <c r="E197" s="3" t="s">
        <v>2397</v>
      </c>
      <c r="F197" s="3" t="s">
        <v>1790</v>
      </c>
      <c r="G197" s="3" t="s">
        <v>1918</v>
      </c>
      <c r="H197" s="5">
        <f t="shared" si="104"/>
        <v>45769</v>
      </c>
      <c r="I197" t="str">
        <f t="shared" si="105"/>
        <v>АРТ-247</v>
      </c>
      <c r="J197" s="6">
        <f t="shared" si="106"/>
        <v>-1</v>
      </c>
      <c r="K197" s="4">
        <f>VALUE(SUBSTITUTE(SUBSTITUTE(SUBSTITUTE(SUBSTITUTE(D197,"$",""),"€",""),"₽","")," ",""))*IF(ISNUMBER(FIND("$",D197)),Справочники!$H$3,IF(ISNUMBER(FIND("€",D197)),Справочники!$H$4,1))</f>
        <v>10450</v>
      </c>
      <c r="L197" t="str">
        <f>IFERROR(VLOOKUP(TRIM(G197),Справочники!$D$3:$E$13,2,0),"Нет в справочнике")</f>
        <v>Отменен</v>
      </c>
      <c r="M197" t="str">
        <f t="shared" si="107"/>
        <v/>
      </c>
      <c r="N197" t="str">
        <f>IFERROR(VLOOKUP(I197,Товары_очищенные!$H$2:$J$502,3,0),"Нет в каталоге")</f>
        <v>Аксессуары</v>
      </c>
      <c r="O197" s="4">
        <f>IFERROR(VLOOKUP(I197,Товары_очищенные!$H$2:$M$502,6,0),"")</f>
        <v>9990</v>
      </c>
      <c r="P197" t="str">
        <f t="shared" si="108"/>
        <v>ОК</v>
      </c>
    </row>
    <row r="198">
      <c r="A198" s="3" t="s">
        <v>2398</v>
      </c>
      <c r="B198" s="3" t="s">
        <v>1127</v>
      </c>
      <c r="C198" s="3" t="s">
        <v>1930</v>
      </c>
      <c r="D198" s="3" t="s">
        <v>1922</v>
      </c>
      <c r="E198" s="3" t="s">
        <v>2399</v>
      </c>
      <c r="F198" s="3" t="s">
        <v>1856</v>
      </c>
      <c r="G198" s="3" t="s">
        <v>1924</v>
      </c>
      <c r="H198" s="5">
        <f t="shared" si="104"/>
        <v>45770</v>
      </c>
      <c r="I198" t="str">
        <f t="shared" si="105"/>
        <v>АРТ-311</v>
      </c>
      <c r="J198" s="6">
        <f t="shared" si="106"/>
        <v>3</v>
      </c>
      <c r="K198" s="4">
        <f>VALUE(SUBSTITUTE(SUBSTITUTE(SUBSTITUTE(SUBSTITUTE(D198,"$",""),"€",""),"₽","")," ",""))*IF(ISNUMBER(FIND("$",D198)),Справочники!$H$3,IF(ISNUMBER(FIND("€",D198)),Справочники!$H$4,1))</f>
        <v>9000</v>
      </c>
      <c r="L198" t="str">
        <f>IFERROR(VLOOKUP(TRIM(G198),Справочники!$D$3:$E$13,2,0),"Нет в справочнике")</f>
        <v>Отменен</v>
      </c>
      <c r="M198" t="str">
        <f t="shared" si="107"/>
        <v/>
      </c>
      <c r="N198" t="str">
        <f>IFERROR(VLOOKUP(I198,Товары_очищенные!$H$2:$J$502,3,0),"Нет в каталоге")</f>
        <v>Планшеты</v>
      </c>
      <c r="O198" s="4">
        <f>IFERROR(VLOOKUP(I198,Товары_очищенные!$H$2:$M$502,6,0),"")</f>
        <v>62500</v>
      </c>
      <c r="P198" t="str">
        <f t="shared" si="108"/>
        <v xml:space="preserve">Цена отличается от каталога</v>
      </c>
    </row>
    <row r="199">
      <c r="A199" s="3" t="s">
        <v>2398</v>
      </c>
      <c r="B199" s="3" t="s">
        <v>2400</v>
      </c>
      <c r="C199" s="3" t="s">
        <v>1900</v>
      </c>
      <c r="D199" s="3" t="s">
        <v>1925</v>
      </c>
      <c r="E199" s="3" t="s">
        <v>2401</v>
      </c>
      <c r="F199" s="3" t="s">
        <v>1708</v>
      </c>
      <c r="G199" s="3" t="s">
        <v>1903</v>
      </c>
      <c r="H199" s="5">
        <f t="shared" si="104"/>
        <v>45770</v>
      </c>
      <c r="I199" t="str">
        <f t="shared" si="105"/>
        <v>АРТ-062</v>
      </c>
      <c r="J199" s="6">
        <f t="shared" si="106"/>
        <v>2</v>
      </c>
      <c r="K199" s="4">
        <f>VALUE(SUBSTITUTE(SUBSTITUTE(SUBSTITUTE(SUBSTITUTE(D199,"$",""),"€",""),"₽","")," ",""))*IF(ISNUMBER(FIND("$",D199)),Справочники!$H$3,IF(ISNUMBER(FIND("€",D199)),Справочники!$H$4,1))</f>
        <v>8000</v>
      </c>
      <c r="L199" t="str">
        <f>IFERROR(VLOOKUP(TRIM(G199),Справочники!$D$3:$E$13,2,0),"Нет в справочнике")</f>
        <v>Завершен</v>
      </c>
      <c r="M199" t="str">
        <f t="shared" si="107"/>
        <v/>
      </c>
      <c r="N199" t="str">
        <f>IFERROR(VLOOKUP(I199,Товары_очищенные!$H$2:$J$502,3,0),"Нет в каталоге")</f>
        <v>Ноутбуки</v>
      </c>
      <c r="O199" s="4">
        <f>IFERROR(VLOOKUP(I199,Товары_очищенные!$H$2:$M$502,6,0),"")</f>
        <v>122500</v>
      </c>
      <c r="P199" t="str">
        <f t="shared" si="108"/>
        <v xml:space="preserve">Цена отличается от каталога</v>
      </c>
    </row>
    <row r="200">
      <c r="A200" s="3" t="s">
        <v>2402</v>
      </c>
      <c r="B200" s="3" t="s">
        <v>2403</v>
      </c>
      <c r="C200" s="3" t="s">
        <v>1905</v>
      </c>
      <c r="D200" s="3" t="s">
        <v>1964</v>
      </c>
      <c r="E200" s="3" t="s">
        <v>2404</v>
      </c>
      <c r="F200" s="3" t="s">
        <v>1838</v>
      </c>
      <c r="G200" s="3" t="s">
        <v>1927</v>
      </c>
      <c r="H200" s="5">
        <f t="shared" si="104"/>
        <v>45771</v>
      </c>
      <c r="I200" t="str">
        <f t="shared" si="105"/>
        <v>АРТ-134</v>
      </c>
      <c r="J200" s="6">
        <f t="shared" si="106"/>
        <v>1</v>
      </c>
      <c r="K200" s="4">
        <f>VALUE(SUBSTITUTE(SUBSTITUTE(SUBSTITUTE(SUBSTITUTE(D200,"$",""),"€",""),"₽","")," ",""))*IF(ISNUMBER(FIND("$",D200)),Справочники!$H$3,IF(ISNUMBER(FIND("€",D200)),Справочники!$H$4,1))</f>
        <v>9025</v>
      </c>
      <c r="L200" t="str">
        <f>IFERROR(VLOOKUP(TRIM(G200),Справочники!$D$3:$E$13,2,0),"Нет в справочнике")</f>
        <v>Возврат</v>
      </c>
      <c r="M200" t="str">
        <f t="shared" si="107"/>
        <v/>
      </c>
      <c r="N200" t="str">
        <f>IFERROR(VLOOKUP(I200,Товары_очищенные!$H$2:$J$502,3,0),"Нет в каталоге")</f>
        <v>Телевизоры</v>
      </c>
      <c r="O200" s="4">
        <f>IFERROR(VLOOKUP(I200,Товары_очищенные!$H$2:$M$502,6,0),"")</f>
        <v>124000</v>
      </c>
      <c r="P200" t="str">
        <f t="shared" si="108"/>
        <v xml:space="preserve">Цена отличается от каталога</v>
      </c>
    </row>
    <row r="201">
      <c r="A201" s="3" t="s">
        <v>2402</v>
      </c>
      <c r="B201" s="3" t="s">
        <v>1446</v>
      </c>
      <c r="C201" s="3" t="s">
        <v>1900</v>
      </c>
      <c r="D201" s="3" t="s">
        <v>1968</v>
      </c>
      <c r="E201" s="3" t="s">
        <v>2405</v>
      </c>
      <c r="F201" s="3" t="s">
        <v>1759</v>
      </c>
      <c r="G201" s="3" t="s">
        <v>1908</v>
      </c>
      <c r="H201" s="5">
        <f t="shared" si="104"/>
        <v>45771</v>
      </c>
      <c r="I201" t="str">
        <f t="shared" si="105"/>
        <v>АРТ-452</v>
      </c>
      <c r="J201" s="6">
        <f t="shared" si="106"/>
        <v>2</v>
      </c>
      <c r="K201" s="4">
        <f>VALUE(SUBSTITUTE(SUBSTITUTE(SUBSTITUTE(SUBSTITUTE(D201,"$",""),"€",""),"₽","")," ",""))*IF(ISNUMBER(FIND("$",D201)),Справочники!$H$3,IF(ISNUMBER(FIND("€",D201)),Справочники!$H$4,1))</f>
        <v>7500</v>
      </c>
      <c r="L201" t="str">
        <f>IFERROR(VLOOKUP(TRIM(G201),Справочники!$D$3:$E$13,2,0),"Нет в справочнике")</f>
        <v>Завершен</v>
      </c>
      <c r="M201" t="str">
        <f t="shared" si="107"/>
        <v/>
      </c>
      <c r="N201" t="str">
        <f>IFERROR(VLOOKUP(I201,Товары_очищенные!$H$2:$J$502,3,0),"Нет в каталоге")</f>
        <v>Наушники</v>
      </c>
      <c r="O201" s="4">
        <f>IFERROR(VLOOKUP(I201,Товары_очищенные!$H$2:$M$502,6,0),"")</f>
        <v>38500</v>
      </c>
      <c r="P201" t="str">
        <f t="shared" si="108"/>
        <v xml:space="preserve">Цена отличается от каталога</v>
      </c>
    </row>
    <row r="202">
      <c r="A202" s="3" t="s">
        <v>2406</v>
      </c>
      <c r="B202" s="3" t="s">
        <v>1185</v>
      </c>
      <c r="C202" s="3" t="s">
        <v>1910</v>
      </c>
      <c r="D202" s="3" t="s">
        <v>1971</v>
      </c>
      <c r="E202" s="3" t="s">
        <v>2407</v>
      </c>
      <c r="F202" s="3" t="s">
        <v>1642</v>
      </c>
      <c r="G202" s="3" t="s">
        <v>1913</v>
      </c>
      <c r="H202" s="5">
        <f t="shared" si="104"/>
        <v>45772</v>
      </c>
      <c r="I202" t="str">
        <f t="shared" si="105"/>
        <v>АРТ-333</v>
      </c>
      <c r="J202" s="6">
        <f t="shared" si="106"/>
        <v>3</v>
      </c>
      <c r="K202" s="4">
        <f>VALUE(SUBSTITUTE(SUBSTITUTE(SUBSTITUTE(SUBSTITUTE(D202,"$",""),"€",""),"₽","")," ",""))*IF(ISNUMBER(FIND("$",D202)),Справочники!$H$3,IF(ISNUMBER(FIND("€",D202)),Справочники!$H$4,1))</f>
        <v>7000</v>
      </c>
      <c r="L202" t="str">
        <f>IFERROR(VLOOKUP(TRIM(G202),Справочники!$D$3:$E$13,2,0),"Нет в справочнике")</f>
        <v>Завершен</v>
      </c>
      <c r="M202" t="str">
        <f t="shared" si="107"/>
        <v/>
      </c>
      <c r="N202" t="str">
        <f>IFERROR(VLOOKUP(I202,Товары_очищенные!$H$2:$J$502,3,0),"Нет в каталоге")</f>
        <v>Часы</v>
      </c>
      <c r="O202" s="4">
        <f>IFERROR(VLOOKUP(I202,Товары_очищенные!$H$2:$M$502,6,0),"")</f>
        <v>72000</v>
      </c>
      <c r="P202" t="str">
        <f t="shared" si="108"/>
        <v xml:space="preserve">Цена отличается от каталога</v>
      </c>
    </row>
    <row r="203">
      <c r="A203" s="3" t="s">
        <v>2406</v>
      </c>
      <c r="B203" s="3" t="s">
        <v>2408</v>
      </c>
      <c r="C203" s="3" t="s">
        <v>1942</v>
      </c>
      <c r="D203" s="3" t="s">
        <v>1943</v>
      </c>
      <c r="E203" s="3" t="s">
        <v>2409</v>
      </c>
      <c r="F203" s="3" t="s">
        <v>1608</v>
      </c>
      <c r="G203" s="3" t="s">
        <v>1903</v>
      </c>
      <c r="H203" s="5">
        <f t="shared" si="104"/>
        <v>45772</v>
      </c>
      <c r="I203" t="str">
        <f t="shared" si="105"/>
        <v>АРТ-291</v>
      </c>
      <c r="J203" s="6">
        <f t="shared" si="106"/>
        <v>-2</v>
      </c>
      <c r="K203" s="4">
        <f>VALUE(SUBSTITUTE(SUBSTITUTE(SUBSTITUTE(SUBSTITUTE(D203,"$",""),"€",""),"₽","")," ",""))*IF(ISNUMBER(FIND("$",D203)),Справочники!$H$3,IF(ISNUMBER(FIND("€",D203)),Справочники!$H$4,1))</f>
        <v>10925</v>
      </c>
      <c r="L203" t="str">
        <f>IFERROR(VLOOKUP(TRIM(G203),Справочники!$D$3:$E$13,2,0),"Нет в справочнике")</f>
        <v>Завершен</v>
      </c>
      <c r="M203" t="str">
        <f t="shared" si="107"/>
        <v/>
      </c>
      <c r="N203" t="str">
        <f>IFERROR(VLOOKUP(I203,Товары_очищенные!$H$2:$J$502,3,0),"Нет в каталоге")</f>
        <v>Часы</v>
      </c>
      <c r="O203" s="4">
        <f>IFERROR(VLOOKUP(I203,Товары_очищенные!$H$2:$M$502,6,0),"")</f>
        <v>65000</v>
      </c>
      <c r="P203" t="str">
        <f t="shared" si="108"/>
        <v xml:space="preserve">Цена отличается от каталога</v>
      </c>
    </row>
    <row r="204">
      <c r="A204" s="3" t="s">
        <v>2410</v>
      </c>
      <c r="B204" s="3" t="s">
        <v>2411</v>
      </c>
      <c r="C204" s="3" t="s">
        <v>1905</v>
      </c>
      <c r="D204" s="3" t="s">
        <v>1934</v>
      </c>
      <c r="E204" s="3" t="s">
        <v>2412</v>
      </c>
      <c r="F204" s="3" t="s">
        <v>1715</v>
      </c>
      <c r="G204" s="3" t="s">
        <v>1924</v>
      </c>
      <c r="H204" s="5">
        <f t="shared" si="104"/>
        <v>45773</v>
      </c>
      <c r="I204" t="str">
        <f t="shared" si="105"/>
        <v>АРТ-180</v>
      </c>
      <c r="J204" s="6">
        <f t="shared" si="106"/>
        <v>1</v>
      </c>
      <c r="K204" s="4">
        <f>VALUE(SUBSTITUTE(SUBSTITUTE(SUBSTITUTE(SUBSTITUTE(D204,"$",""),"€",""),"₽","")," ",""))*IF(ISNUMBER(FIND("$",D204)),Справочники!$H$3,IF(ISNUMBER(FIND("€",D204)),Справочники!$H$4,1))</f>
        <v>9500</v>
      </c>
      <c r="L204" t="str">
        <f>IFERROR(VLOOKUP(TRIM(G204),Справочники!$D$3:$E$13,2,0),"Нет в справочнике")</f>
        <v>Отменен</v>
      </c>
      <c r="M204" t="str">
        <f t="shared" si="107"/>
        <v/>
      </c>
      <c r="N204" t="str">
        <f>IFERROR(VLOOKUP(I204,Товары_очищенные!$H$2:$J$502,3,0),"Нет в каталоге")</f>
        <v>Наушники</v>
      </c>
      <c r="O204" s="4">
        <f>IFERROR(VLOOKUP(I204,Товары_очищенные!$H$2:$M$502,6,0),"")</f>
        <v>14800</v>
      </c>
      <c r="P204" t="str">
        <f t="shared" si="108"/>
        <v xml:space="preserve">Цена отличается от каталога</v>
      </c>
    </row>
    <row r="205">
      <c r="A205" s="3" t="s">
        <v>2410</v>
      </c>
      <c r="B205" s="3" t="s">
        <v>2413</v>
      </c>
      <c r="C205" s="3" t="s">
        <v>1900</v>
      </c>
      <c r="D205" s="3" t="s">
        <v>1951</v>
      </c>
      <c r="E205" s="3" t="s">
        <v>2414</v>
      </c>
      <c r="F205" s="3" t="s">
        <v>1850</v>
      </c>
      <c r="G205" s="3" t="s">
        <v>1918</v>
      </c>
      <c r="H205" s="5">
        <f t="shared" si="104"/>
        <v>45773</v>
      </c>
      <c r="I205" t="str">
        <f t="shared" si="105"/>
        <v>АРТ-166</v>
      </c>
      <c r="J205" s="6">
        <f t="shared" si="106"/>
        <v>2</v>
      </c>
      <c r="K205" s="4">
        <f>VALUE(SUBSTITUTE(SUBSTITUTE(SUBSTITUTE(SUBSTITUTE(D205,"$",""),"€",""),"₽","")," ",""))*IF(ISNUMBER(FIND("$",D205)),Справочники!$H$3,IF(ISNUMBER(FIND("€",D205)),Справочники!$H$4,1))</f>
        <v>8500</v>
      </c>
      <c r="L205" t="str">
        <f>IFERROR(VLOOKUP(TRIM(G205),Справочники!$D$3:$E$13,2,0),"Нет в справочнике")</f>
        <v>Отменен</v>
      </c>
      <c r="M205" t="str">
        <f t="shared" si="107"/>
        <v/>
      </c>
      <c r="N205" t="str">
        <f>IFERROR(VLOOKUP(I205,Товары_очищенные!$H$2:$J$502,3,0),"Нет в каталоге")</f>
        <v>Планшеты</v>
      </c>
      <c r="O205" s="4">
        <f>IFERROR(VLOOKUP(I205,Товары_очищенные!$H$2:$M$502,6,0),"")</f>
        <v>82990</v>
      </c>
      <c r="P205" t="str">
        <f t="shared" si="108"/>
        <v xml:space="preserve">Цена отличается от каталога</v>
      </c>
    </row>
    <row r="206">
      <c r="A206" s="3" t="s">
        <v>2415</v>
      </c>
      <c r="B206" s="3" t="s">
        <v>2416</v>
      </c>
      <c r="C206" s="3" t="s">
        <v>1930</v>
      </c>
      <c r="D206" s="3" t="s">
        <v>1931</v>
      </c>
      <c r="E206" s="3" t="s">
        <v>2417</v>
      </c>
      <c r="F206" s="3" t="s">
        <v>1615</v>
      </c>
      <c r="G206" s="3" t="s">
        <v>1927</v>
      </c>
      <c r="H206" s="5">
        <f t="shared" si="104"/>
        <v>45774</v>
      </c>
      <c r="I206" t="str">
        <f t="shared" si="105"/>
        <v>АРТ-060</v>
      </c>
      <c r="J206" s="6">
        <f t="shared" si="106"/>
        <v>3</v>
      </c>
      <c r="K206" s="4">
        <f>VALUE(SUBSTITUTE(SUBSTITUTE(SUBSTITUTE(SUBSTITUTE(D206,"$",""),"€",""),"₽","")," ",""))*IF(ISNUMBER(FIND("$",D206)),Справочники!$H$3,IF(ISNUMBER(FIND("€",D206)),Справочники!$H$4,1))</f>
        <v>9975</v>
      </c>
      <c r="L206" t="str">
        <f>IFERROR(VLOOKUP(TRIM(G206),Справочники!$D$3:$E$13,2,0),"Нет в справочнике")</f>
        <v>Возврат</v>
      </c>
      <c r="M206" t="str">
        <f t="shared" si="107"/>
        <v/>
      </c>
      <c r="N206" t="str">
        <f>IFERROR(VLOOKUP(I206,Товары_очищенные!$H$2:$J$502,3,0),"Нет в каталоге")</f>
        <v>Планшеты</v>
      </c>
      <c r="O206" s="4">
        <f>IFERROR(VLOOKUP(I206,Товары_очищенные!$H$2:$M$502,6,0),"")</f>
        <v>69500</v>
      </c>
      <c r="P206" t="str">
        <f t="shared" si="108"/>
        <v xml:space="preserve">Цена отличается от каталога</v>
      </c>
    </row>
    <row r="207">
      <c r="A207" s="3" t="s">
        <v>2415</v>
      </c>
      <c r="B207" s="3" t="s">
        <v>2307</v>
      </c>
      <c r="C207" s="3" t="s">
        <v>1900</v>
      </c>
      <c r="D207" s="3" t="s">
        <v>1906</v>
      </c>
      <c r="E207" s="3" t="s">
        <v>2418</v>
      </c>
      <c r="F207" s="3" t="s">
        <v>1765</v>
      </c>
      <c r="G207" s="3" t="s">
        <v>1903</v>
      </c>
      <c r="H207" s="5">
        <f t="shared" si="104"/>
        <v>45774</v>
      </c>
      <c r="I207" t="str">
        <f t="shared" si="105"/>
        <v>АРТ-397</v>
      </c>
      <c r="J207" s="6">
        <f t="shared" si="106"/>
        <v>2</v>
      </c>
      <c r="K207" s="4">
        <f>VALUE(SUBSTITUTE(SUBSTITUTE(SUBSTITUTE(SUBSTITUTE(D207,"$",""),"€",""),"₽","")," ",""))*IF(ISNUMBER(FIND("$",D207)),Справочники!$H$3,IF(ISNUMBER(FIND("€",D207)),Справочники!$H$4,1))</f>
        <v>8500</v>
      </c>
      <c r="L207" t="str">
        <f>IFERROR(VLOOKUP(TRIM(G207),Справочники!$D$3:$E$13,2,0),"Нет в справочнике")</f>
        <v>Завершен</v>
      </c>
      <c r="M207" t="str">
        <f t="shared" si="107"/>
        <v/>
      </c>
      <c r="N207" t="str">
        <f>IFERROR(VLOOKUP(I207,Товары_очищенные!$H$2:$J$502,3,0),"Нет в каталоге")</f>
        <v>Аксессуары</v>
      </c>
      <c r="O207" s="4">
        <f>IFERROR(VLOOKUP(I207,Товары_очищенные!$H$2:$M$502,6,0),"")</f>
        <v>7990</v>
      </c>
      <c r="P207" t="str">
        <f t="shared" si="108"/>
        <v>ОК</v>
      </c>
    </row>
    <row r="208">
      <c r="A208" s="3" t="s">
        <v>2419</v>
      </c>
      <c r="B208" s="3" t="s">
        <v>2420</v>
      </c>
      <c r="C208" s="3" t="s">
        <v>1938</v>
      </c>
      <c r="D208" s="3" t="s">
        <v>2166</v>
      </c>
      <c r="E208" s="3" t="s">
        <v>2421</v>
      </c>
      <c r="F208" s="3" t="s">
        <v>1688</v>
      </c>
      <c r="G208" s="3" t="s">
        <v>1908</v>
      </c>
      <c r="H208" s="5">
        <f t="shared" si="104"/>
        <v>45775</v>
      </c>
      <c r="I208" t="str">
        <f t="shared" si="105"/>
        <v>АРТ-248</v>
      </c>
      <c r="J208" s="6">
        <f t="shared" si="106"/>
        <v>1</v>
      </c>
      <c r="K208" s="4">
        <f>VALUE(SUBSTITUTE(SUBSTITUTE(SUBSTITUTE(SUBSTITUTE(D208,"$",""),"€",""),"₽","")," ",""))*IF(ISNUMBER(FIND("$",D208)),Справочники!$H$3,IF(ISNUMBER(FIND("€",D208)),Справочники!$H$4,1))</f>
        <v>7800</v>
      </c>
      <c r="L208" t="str">
        <f>IFERROR(VLOOKUP(TRIM(G208),Справочники!$D$3:$E$13,2,0),"Нет в справочнике")</f>
        <v>Завершен</v>
      </c>
      <c r="M208" t="str">
        <f t="shared" si="107"/>
        <v/>
      </c>
      <c r="N208" t="str">
        <f>IFERROR(VLOOKUP(I208,Товары_очищенные!$H$2:$J$502,3,0),"Нет в каталоге")</f>
        <v>Аксессуары</v>
      </c>
      <c r="O208" s="4">
        <f>IFERROR(VLOOKUP(I208,Товары_очищенные!$H$2:$M$502,6,0),"")</f>
        <v>9500</v>
      </c>
      <c r="P208" t="str">
        <f t="shared" si="108"/>
        <v>ОК</v>
      </c>
    </row>
    <row r="209">
      <c r="A209" s="3" t="s">
        <v>2419</v>
      </c>
      <c r="B209" s="3" t="s">
        <v>2422</v>
      </c>
      <c r="C209" s="3" t="s">
        <v>1985</v>
      </c>
      <c r="D209" s="3" t="s">
        <v>2044</v>
      </c>
      <c r="E209" s="3" t="s">
        <v>2423</v>
      </c>
      <c r="F209" s="3" t="s">
        <v>1832</v>
      </c>
      <c r="G209" s="3" t="s">
        <v>1913</v>
      </c>
      <c r="H209" s="5">
        <f t="shared" si="104"/>
        <v>45775</v>
      </c>
      <c r="I209" t="str">
        <f t="shared" si="105"/>
        <v>АРТ-383</v>
      </c>
      <c r="J209" s="6">
        <f t="shared" si="106"/>
        <v>-3</v>
      </c>
      <c r="K209" s="4">
        <f>VALUE(SUBSTITUTE(SUBSTITUTE(SUBSTITUTE(SUBSTITUTE(D209,"$",""),"€",""),"₽","")," ",""))*IF(ISNUMBER(FIND("$",D209)),Справочники!$H$3,IF(ISNUMBER(FIND("€",D209)),Справочники!$H$4,1))</f>
        <v>11400</v>
      </c>
      <c r="L209" t="str">
        <f>IFERROR(VLOOKUP(TRIM(G209),Справочники!$D$3:$E$13,2,0),"Нет в справочнике")</f>
        <v>Завершен</v>
      </c>
      <c r="M209" t="str">
        <f t="shared" si="107"/>
        <v/>
      </c>
      <c r="N209" t="str">
        <f>IFERROR(VLOOKUP(I209,Товары_очищенные!$H$2:$J$502,3,0),"Нет в каталоге")</f>
        <v>Смартфоны</v>
      </c>
      <c r="O209" s="4">
        <f>IFERROR(VLOOKUP(I209,Товары_очищенные!$H$2:$M$502,6,0),"")</f>
        <v>41500</v>
      </c>
      <c r="P209" t="str">
        <f t="shared" si="108"/>
        <v xml:space="preserve">Цена отличается от каталога</v>
      </c>
    </row>
    <row r="210">
      <c r="A210" s="3" t="s">
        <v>2424</v>
      </c>
      <c r="B210" s="3" t="s">
        <v>2425</v>
      </c>
      <c r="C210" s="3" t="s">
        <v>1900</v>
      </c>
      <c r="D210" s="3" t="s">
        <v>2046</v>
      </c>
      <c r="E210" s="3" t="s">
        <v>2426</v>
      </c>
      <c r="F210" s="3" t="s">
        <v>1594</v>
      </c>
      <c r="G210" s="3" t="s">
        <v>1918</v>
      </c>
      <c r="H210" s="5">
        <f t="shared" si="104"/>
        <v>45776</v>
      </c>
      <c r="I210" t="str">
        <f t="shared" si="105"/>
        <v>АРТ-229</v>
      </c>
      <c r="J210" s="6">
        <f t="shared" si="106"/>
        <v>2</v>
      </c>
      <c r="K210" s="4">
        <f>VALUE(SUBSTITUTE(SUBSTITUTE(SUBSTITUTE(SUBSTITUTE(D210,"$",""),"€",""),"₽","")," ",""))*IF(ISNUMBER(FIND("$",D210)),Справочники!$H$3,IF(ISNUMBER(FIND("€",D210)),Справочники!$H$4,1))</f>
        <v>10000</v>
      </c>
      <c r="L210" t="str">
        <f>IFERROR(VLOOKUP(TRIM(G210),Справочники!$D$3:$E$13,2,0),"Нет в справочнике")</f>
        <v>Отменен</v>
      </c>
      <c r="M210" t="str">
        <f t="shared" si="107"/>
        <v/>
      </c>
      <c r="N210" t="str">
        <f>IFERROR(VLOOKUP(I210,Товары_очищенные!$H$2:$J$502,3,0),"Нет в каталоге")</f>
        <v>Ноутбуки</v>
      </c>
      <c r="O210" s="4">
        <f>IFERROR(VLOOKUP(I210,Товары_очищенные!$H$2:$M$502,6,0),"")</f>
        <v>119990</v>
      </c>
      <c r="P210" t="str">
        <f t="shared" si="108"/>
        <v xml:space="preserve">Цена отличается от каталога</v>
      </c>
    </row>
    <row r="211">
      <c r="A211" s="3" t="s">
        <v>2424</v>
      </c>
      <c r="B211" s="3" t="s">
        <v>2427</v>
      </c>
      <c r="C211" s="3" t="s">
        <v>1905</v>
      </c>
      <c r="D211" s="3" t="s">
        <v>2087</v>
      </c>
      <c r="E211" s="3" t="s">
        <v>2428</v>
      </c>
      <c r="F211" s="3" t="s">
        <v>1796</v>
      </c>
      <c r="G211" s="3" t="s">
        <v>1924</v>
      </c>
      <c r="H211" s="5">
        <f t="shared" si="104"/>
        <v>45776</v>
      </c>
      <c r="I211" t="str">
        <f t="shared" si="105"/>
        <v>АРТ-034</v>
      </c>
      <c r="J211" s="6">
        <f t="shared" si="106"/>
        <v>1</v>
      </c>
      <c r="K211" s="4">
        <f>VALUE(SUBSTITUTE(SUBSTITUTE(SUBSTITUTE(SUBSTITUTE(D211,"$",""),"€",""),"₽","")," ",""))*IF(ISNUMBER(FIND("$",D211)),Справочники!$H$3,IF(ISNUMBER(FIND("€",D211)),Справочники!$H$4,1))</f>
        <v>9200</v>
      </c>
      <c r="L211" t="str">
        <f>IFERROR(VLOOKUP(TRIM(G211),Справочники!$D$3:$E$13,2,0),"Нет в справочнике")</f>
        <v>Отменен</v>
      </c>
      <c r="M211" t="str">
        <f t="shared" si="107"/>
        <v/>
      </c>
      <c r="N211" t="str">
        <f>IFERROR(VLOOKUP(I211,Товары_очищенные!$H$2:$J$502,3,0),"Нет в каталоге")</f>
        <v>Планшеты</v>
      </c>
      <c r="O211" s="4">
        <f>IFERROR(VLOOKUP(I211,Товары_очищенные!$H$2:$M$502,6,0),"")</f>
        <v>64999</v>
      </c>
      <c r="P211" t="str">
        <f t="shared" si="108"/>
        <v xml:space="preserve">Цена отличается от каталога</v>
      </c>
    </row>
    <row r="212">
      <c r="A212" s="3" t="s">
        <v>2429</v>
      </c>
      <c r="B212" s="3" t="s">
        <v>2194</v>
      </c>
      <c r="C212" s="3" t="s">
        <v>1930</v>
      </c>
      <c r="D212" s="3" t="s">
        <v>1986</v>
      </c>
      <c r="E212" s="3" t="s">
        <v>2430</v>
      </c>
      <c r="F212" s="3" t="s">
        <v>1656</v>
      </c>
      <c r="G212" s="3" t="s">
        <v>1903</v>
      </c>
      <c r="H212" s="5">
        <f t="shared" si="104"/>
        <v>45777</v>
      </c>
      <c r="I212" t="str">
        <f t="shared" si="105"/>
        <v>АРТ-159</v>
      </c>
      <c r="J212" s="6">
        <f t="shared" si="106"/>
        <v>3</v>
      </c>
      <c r="K212" s="4">
        <f>VALUE(SUBSTITUTE(SUBSTITUTE(SUBSTITUTE(SUBSTITUTE(D212,"$",""),"€",""),"₽","")," ",""))*IF(ISNUMBER(FIND("$",D212)),Справочники!$H$3,IF(ISNUMBER(FIND("€",D212)),Справочники!$H$4,1))</f>
        <v>8550</v>
      </c>
      <c r="L212" t="str">
        <f>IFERROR(VLOOKUP(TRIM(G212),Справочники!$D$3:$E$13,2,0),"Нет в справочнике")</f>
        <v>Завершен</v>
      </c>
      <c r="M212" t="str">
        <f t="shared" si="107"/>
        <v/>
      </c>
      <c r="N212" t="str">
        <f>IFERROR(VLOOKUP(I212,Товары_очищенные!$H$2:$J$502,3,0),"Нет в каталоге")</f>
        <v>Мониторы</v>
      </c>
      <c r="O212" s="4">
        <f>IFERROR(VLOOKUP(I212,Товары_очищенные!$H$2:$M$502,6,0),"")</f>
        <v>95500</v>
      </c>
      <c r="P212" t="str">
        <f t="shared" si="108"/>
        <v xml:space="preserve">Цена отличается от каталога</v>
      </c>
    </row>
    <row r="213">
      <c r="A213" s="3" t="s">
        <v>2429</v>
      </c>
      <c r="B213" s="3" t="s">
        <v>2431</v>
      </c>
      <c r="C213" s="3" t="s">
        <v>1900</v>
      </c>
      <c r="D213" s="3" t="s">
        <v>1989</v>
      </c>
      <c r="E213" s="3" t="s">
        <v>2432</v>
      </c>
      <c r="F213" s="3" t="s">
        <v>1746</v>
      </c>
      <c r="G213" s="3" t="s">
        <v>1927</v>
      </c>
      <c r="H213" s="5">
        <f t="shared" si="104"/>
        <v>45777</v>
      </c>
      <c r="I213" t="str">
        <f t="shared" si="105"/>
        <v>АРТ-459</v>
      </c>
      <c r="J213" s="6">
        <f t="shared" si="106"/>
        <v>2</v>
      </c>
      <c r="K213" s="4">
        <f>VALUE(SUBSTITUTE(SUBSTITUTE(SUBSTITUTE(SUBSTITUTE(D213,"$",""),"€",""),"₽","")," ",""))*IF(ISNUMBER(FIND("$",D213)),Справочники!$H$3,IF(ISNUMBER(FIND("€",D213)),Справочники!$H$4,1))</f>
        <v>7000</v>
      </c>
      <c r="L213" t="str">
        <f>IFERROR(VLOOKUP(TRIM(G213),Справочники!$D$3:$E$13,2,0),"Нет в справочнике")</f>
        <v>Возврат</v>
      </c>
      <c r="M213" t="str">
        <f t="shared" si="107"/>
        <v/>
      </c>
      <c r="N213" t="str">
        <f>IFERROR(VLOOKUP(I213,Товары_очищенные!$H$2:$J$502,3,0),"Нет в каталоге")</f>
        <v>Аксессуары</v>
      </c>
      <c r="O213" s="4">
        <f>IFERROR(VLOOKUP(I213,Товары_очищенные!$H$2:$M$502,6,0),"")</f>
        <v>7800</v>
      </c>
      <c r="P213" t="str">
        <f t="shared" si="108"/>
        <v>ОК</v>
      </c>
    </row>
    <row r="214">
      <c r="A214" s="3" t="s">
        <v>2433</v>
      </c>
      <c r="B214" s="3" t="s">
        <v>2434</v>
      </c>
      <c r="C214" s="3" t="s">
        <v>1938</v>
      </c>
      <c r="D214" s="3" t="s">
        <v>1939</v>
      </c>
      <c r="E214" s="3" t="s">
        <v>2435</v>
      </c>
      <c r="F214" s="3" t="s">
        <v>1622</v>
      </c>
      <c r="G214" s="3" t="s">
        <v>1908</v>
      </c>
      <c r="H214" s="5">
        <f t="shared" si="104"/>
        <v>45778</v>
      </c>
      <c r="I214" t="str">
        <f t="shared" si="105"/>
        <v>АРТ-296</v>
      </c>
      <c r="J214" s="6">
        <f t="shared" si="106"/>
        <v>1</v>
      </c>
      <c r="K214" s="4">
        <f>VALUE(SUBSTITUTE(SUBSTITUTE(SUBSTITUTE(SUBSTITUTE(D214,"$",""),"€",""),"₽","")," ",""))*IF(ISNUMBER(FIND("$",D214)),Справочники!$H$3,IF(ISNUMBER(FIND("€",D214)),Справочники!$H$4,1))</f>
        <v>6500</v>
      </c>
      <c r="L214" t="str">
        <f>IFERROR(VLOOKUP(TRIM(G214),Справочники!$D$3:$E$13,2,0),"Нет в справочнике")</f>
        <v>Завершен</v>
      </c>
      <c r="M214" t="str">
        <f t="shared" si="107"/>
        <v/>
      </c>
      <c r="N214" t="str">
        <f>IFERROR(VLOOKUP(I214,Товары_очищенные!$H$2:$J$502,3,0),"Нет в каталоге")</f>
        <v>Смартфоны</v>
      </c>
      <c r="O214" s="4">
        <f>IFERROR(VLOOKUP(I214,Товары_очищенные!$H$2:$M$502,6,0),"")</f>
        <v>33500</v>
      </c>
      <c r="P214" t="str">
        <f t="shared" si="108"/>
        <v xml:space="preserve">Цена отличается от каталога</v>
      </c>
    </row>
    <row r="215">
      <c r="A215" s="3" t="s">
        <v>2433</v>
      </c>
      <c r="B215" s="3" t="s">
        <v>2436</v>
      </c>
      <c r="C215" s="3" t="s">
        <v>1915</v>
      </c>
      <c r="D215" s="3" t="s">
        <v>1916</v>
      </c>
      <c r="E215" s="3" t="s">
        <v>2437</v>
      </c>
      <c r="F215" s="3" t="s">
        <v>1826</v>
      </c>
      <c r="G215" s="3" t="s">
        <v>1913</v>
      </c>
      <c r="H215" s="5">
        <f t="shared" si="104"/>
        <v>45778</v>
      </c>
      <c r="I215" t="str">
        <f t="shared" si="105"/>
        <v>АРТ-267</v>
      </c>
      <c r="J215" s="6">
        <f t="shared" si="106"/>
        <v>-1</v>
      </c>
      <c r="K215" s="4">
        <f>VALUE(SUBSTITUTE(SUBSTITUTE(SUBSTITUTE(SUBSTITUTE(D215,"$",""),"€",""),"₽","")," ",""))*IF(ISNUMBER(FIND("$",D215)),Справочники!$H$3,IF(ISNUMBER(FIND("€",D215)),Справочники!$H$4,1))</f>
        <v>10450</v>
      </c>
      <c r="L215" t="str">
        <f>IFERROR(VLOOKUP(TRIM(G215),Справочники!$D$3:$E$13,2,0),"Нет в справочнике")</f>
        <v>Завершен</v>
      </c>
      <c r="M215" t="str">
        <f t="shared" si="107"/>
        <v/>
      </c>
      <c r="N215" t="str">
        <f>IFERROR(VLOOKUP(I215,Товары_очищенные!$H$2:$J$502,3,0),"Нет в каталоге")</f>
        <v>Мониторы</v>
      </c>
      <c r="O215" s="4">
        <f>IFERROR(VLOOKUP(I215,Товары_очищенные!$H$2:$M$502,6,0),"")</f>
        <v>70000</v>
      </c>
      <c r="P215" t="str">
        <f t="shared" si="108"/>
        <v xml:space="preserve">Цена отличается от каталога</v>
      </c>
    </row>
    <row r="216">
      <c r="A216" s="3" t="s">
        <v>2438</v>
      </c>
      <c r="B216" s="3" t="s">
        <v>2439</v>
      </c>
      <c r="C216" s="3" t="s">
        <v>1930</v>
      </c>
      <c r="D216" s="3" t="s">
        <v>1922</v>
      </c>
      <c r="E216" s="3" t="s">
        <v>2440</v>
      </c>
      <c r="F216" s="3" t="s">
        <v>1676</v>
      </c>
      <c r="G216" s="3" t="s">
        <v>1903</v>
      </c>
      <c r="H216" s="5">
        <f t="shared" si="104"/>
        <v>45779</v>
      </c>
      <c r="I216" t="str">
        <f t="shared" si="105"/>
        <v>АРТ-340</v>
      </c>
      <c r="J216" s="6">
        <f t="shared" si="106"/>
        <v>3</v>
      </c>
      <c r="K216" s="4">
        <f>VALUE(SUBSTITUTE(SUBSTITUTE(SUBSTITUTE(SUBSTITUTE(D216,"$",""),"€",""),"₽","")," ",""))*IF(ISNUMBER(FIND("$",D216)),Справочники!$H$3,IF(ISNUMBER(FIND("€",D216)),Справочники!$H$4,1))</f>
        <v>9000</v>
      </c>
      <c r="L216" t="str">
        <f>IFERROR(VLOOKUP(TRIM(G216),Справочники!$D$3:$E$13,2,0),"Нет в справочнике")</f>
        <v>Завершен</v>
      </c>
      <c r="M216" t="str">
        <f t="shared" si="107"/>
        <v/>
      </c>
      <c r="N216" t="str">
        <f>IFERROR(VLOOKUP(I216,Товары_очищенные!$H$2:$J$502,3,0),"Нет в каталоге")</f>
        <v>Ноутбуки</v>
      </c>
      <c r="O216" s="4">
        <f>IFERROR(VLOOKUP(I216,Товары_очищенные!$H$2:$M$502,6,0),"")</f>
        <v>134990</v>
      </c>
      <c r="P216" t="str">
        <f t="shared" si="108"/>
        <v xml:space="preserve">Цена отличается от каталога</v>
      </c>
    </row>
    <row r="217">
      <c r="A217" s="3" t="s">
        <v>2438</v>
      </c>
      <c r="B217" s="3" t="s">
        <v>397</v>
      </c>
      <c r="C217" s="3" t="s">
        <v>1900</v>
      </c>
      <c r="D217" s="3" t="s">
        <v>1925</v>
      </c>
      <c r="E217" s="3" t="s">
        <v>2441</v>
      </c>
      <c r="F217" s="3" t="s">
        <v>1772</v>
      </c>
      <c r="G217" s="3" t="s">
        <v>1924</v>
      </c>
      <c r="H217" s="5">
        <f t="shared" si="104"/>
        <v>45779</v>
      </c>
      <c r="I217" t="str">
        <f t="shared" si="105"/>
        <v>АРТ-084</v>
      </c>
      <c r="J217" s="6">
        <f t="shared" si="106"/>
        <v>2</v>
      </c>
      <c r="K217" s="4">
        <f>VALUE(SUBSTITUTE(SUBSTITUTE(SUBSTITUTE(SUBSTITUTE(D217,"$",""),"€",""),"₽","")," ",""))*IF(ISNUMBER(FIND("$",D217)),Справочники!$H$3,IF(ISNUMBER(FIND("€",D217)),Справочники!$H$4,1))</f>
        <v>8000</v>
      </c>
      <c r="L217" t="str">
        <f>IFERROR(VLOOKUP(TRIM(G217),Справочники!$D$3:$E$13,2,0),"Нет в справочнике")</f>
        <v>Отменен</v>
      </c>
      <c r="M217" t="str">
        <f t="shared" si="107"/>
        <v/>
      </c>
      <c r="N217" t="str">
        <f>IFERROR(VLOOKUP(I217,Товары_очищенные!$H$2:$J$502,3,0),"Нет в каталоге")</f>
        <v>Часы</v>
      </c>
      <c r="O217" s="4">
        <f>IFERROR(VLOOKUP(I217,Товары_очищенные!$H$2:$M$502,6,0),"")</f>
        <v>41000</v>
      </c>
      <c r="P217" t="str">
        <f t="shared" si="108"/>
        <v xml:space="preserve">Цена отличается от каталога</v>
      </c>
    </row>
    <row r="218">
      <c r="A218" s="3" t="s">
        <v>2442</v>
      </c>
      <c r="B218" s="3" t="s">
        <v>627</v>
      </c>
      <c r="C218" s="3" t="s">
        <v>1905</v>
      </c>
      <c r="D218" s="3" t="s">
        <v>1964</v>
      </c>
      <c r="E218" s="3" t="s">
        <v>2443</v>
      </c>
      <c r="F218" s="3" t="s">
        <v>1874</v>
      </c>
      <c r="G218" s="3" t="s">
        <v>1918</v>
      </c>
      <c r="H218" s="5">
        <f t="shared" si="104"/>
        <v>45780</v>
      </c>
      <c r="I218" t="str">
        <f t="shared" si="105"/>
        <v>АРТ-148</v>
      </c>
      <c r="J218" s="6">
        <f t="shared" si="106"/>
        <v>1</v>
      </c>
      <c r="K218" s="4">
        <f>VALUE(SUBSTITUTE(SUBSTITUTE(SUBSTITUTE(SUBSTITUTE(D218,"$",""),"€",""),"₽","")," ",""))*IF(ISNUMBER(FIND("$",D218)),Справочники!$H$3,IF(ISNUMBER(FIND("€",D218)),Справочники!$H$4,1))</f>
        <v>9025</v>
      </c>
      <c r="L218" t="str">
        <f>IFERROR(VLOOKUP(TRIM(G218),Справочники!$D$3:$E$13,2,0),"Нет в справочнике")</f>
        <v>Отменен</v>
      </c>
      <c r="M218" t="str">
        <f t="shared" si="107"/>
        <v/>
      </c>
      <c r="N218" t="str">
        <f>IFERROR(VLOOKUP(I218,Товары_очищенные!$H$2:$J$502,3,0),"Нет в каталоге")</f>
        <v>Ноутбуки</v>
      </c>
      <c r="O218" s="4">
        <f>IFERROR(VLOOKUP(I218,Товары_очищенные!$H$2:$M$502,6,0),"")</f>
        <v>139990</v>
      </c>
      <c r="P218" t="str">
        <f t="shared" si="108"/>
        <v xml:space="preserve">Цена отличается от каталога</v>
      </c>
    </row>
    <row r="219">
      <c r="A219" s="3" t="s">
        <v>2442</v>
      </c>
      <c r="B219" s="3" t="s">
        <v>2444</v>
      </c>
      <c r="C219" s="3" t="s">
        <v>1900</v>
      </c>
      <c r="D219" s="3" t="s">
        <v>1968</v>
      </c>
      <c r="E219" s="3" t="s">
        <v>2445</v>
      </c>
      <c r="F219" s="3" t="s">
        <v>1601</v>
      </c>
      <c r="G219" s="3" t="s">
        <v>1927</v>
      </c>
      <c r="H219" s="5">
        <f t="shared" si="104"/>
        <v>45780</v>
      </c>
      <c r="I219" t="str">
        <f t="shared" si="105"/>
        <v>АРТ-474</v>
      </c>
      <c r="J219" s="6">
        <f t="shared" si="106"/>
        <v>2</v>
      </c>
      <c r="K219" s="4">
        <f>VALUE(SUBSTITUTE(SUBSTITUTE(SUBSTITUTE(SUBSTITUTE(D219,"$",""),"€",""),"₽","")," ",""))*IF(ISNUMBER(FIND("$",D219)),Справочники!$H$3,IF(ISNUMBER(FIND("€",D219)),Справочники!$H$4,1))</f>
        <v>7500</v>
      </c>
      <c r="L219" t="str">
        <f>IFERROR(VLOOKUP(TRIM(G219),Справочники!$D$3:$E$13,2,0),"Нет в справочнике")</f>
        <v>Возврат</v>
      </c>
      <c r="M219" t="str">
        <f t="shared" si="107"/>
        <v/>
      </c>
      <c r="N219" t="str">
        <f>IFERROR(VLOOKUP(I219,Товары_очищенные!$H$2:$J$502,3,0),"Нет в каталоге")</f>
        <v>Наушники</v>
      </c>
      <c r="O219" s="4">
        <f>IFERROR(VLOOKUP(I219,Товары_очищенные!$H$2:$M$502,6,0),"")</f>
        <v>9800</v>
      </c>
      <c r="P219" t="str">
        <f t="shared" si="108"/>
        <v xml:space="preserve">Цена отличается от каталога</v>
      </c>
    </row>
    <row r="220">
      <c r="A220" s="3" t="s">
        <v>2446</v>
      </c>
      <c r="B220" s="3" t="s">
        <v>1235</v>
      </c>
      <c r="C220" s="3" t="s">
        <v>1910</v>
      </c>
      <c r="D220" s="3" t="s">
        <v>1971</v>
      </c>
      <c r="E220" s="3" t="s">
        <v>2447</v>
      </c>
      <c r="F220" s="3" t="s">
        <v>1721</v>
      </c>
      <c r="G220" s="3" t="s">
        <v>1903</v>
      </c>
      <c r="H220" s="5">
        <f t="shared" si="104"/>
        <v>45781</v>
      </c>
      <c r="I220" t="str">
        <f t="shared" si="105"/>
        <v>АРТ-357</v>
      </c>
      <c r="J220" s="6">
        <f t="shared" si="106"/>
        <v>3</v>
      </c>
      <c r="K220" s="4">
        <f>VALUE(SUBSTITUTE(SUBSTITUTE(SUBSTITUTE(SUBSTITUTE(D220,"$",""),"€",""),"₽","")," ",""))*IF(ISNUMBER(FIND("$",D220)),Справочники!$H$3,IF(ISNUMBER(FIND("€",D220)),Справочники!$H$4,1))</f>
        <v>7000</v>
      </c>
      <c r="L220" t="str">
        <f>IFERROR(VLOOKUP(TRIM(G220),Справочники!$D$3:$E$13,2,0),"Нет в справочнике")</f>
        <v>Завершен</v>
      </c>
      <c r="M220" t="str">
        <f t="shared" si="107"/>
        <v/>
      </c>
      <c r="N220" t="str">
        <f>IFERROR(VLOOKUP(I220,Товары_очищенные!$H$2:$J$502,3,0),"Нет в каталоге")</f>
        <v>Смартфоны</v>
      </c>
      <c r="O220" s="4">
        <f>IFERROR(VLOOKUP(I220,Товары_очищенные!$H$2:$M$502,6,0),"")</f>
        <v>88000</v>
      </c>
      <c r="P220" t="str">
        <f t="shared" si="108"/>
        <v xml:space="preserve">Цена отличается от каталога</v>
      </c>
    </row>
    <row r="221">
      <c r="A221" s="3" t="s">
        <v>2446</v>
      </c>
      <c r="B221" s="3" t="s">
        <v>2060</v>
      </c>
      <c r="C221" s="3" t="s">
        <v>1942</v>
      </c>
      <c r="D221" s="3" t="s">
        <v>1943</v>
      </c>
      <c r="E221" s="3" t="s">
        <v>2448</v>
      </c>
      <c r="F221" s="3" t="s">
        <v>1663</v>
      </c>
      <c r="G221" s="3" t="s">
        <v>1908</v>
      </c>
      <c r="H221" s="5">
        <f t="shared" si="104"/>
        <v>45781</v>
      </c>
      <c r="I221" t="str">
        <f t="shared" si="105"/>
        <v>АРТ-312</v>
      </c>
      <c r="J221" s="6">
        <f t="shared" si="106"/>
        <v>-2</v>
      </c>
      <c r="K221" s="4">
        <f>VALUE(SUBSTITUTE(SUBSTITUTE(SUBSTITUTE(SUBSTITUTE(D221,"$",""),"€",""),"₽","")," ",""))*IF(ISNUMBER(FIND("$",D221)),Справочники!$H$3,IF(ISNUMBER(FIND("€",D221)),Справочники!$H$4,1))</f>
        <v>10925</v>
      </c>
      <c r="L221" t="str">
        <f>IFERROR(VLOOKUP(TRIM(G221),Справочники!$D$3:$E$13,2,0),"Нет в справочнике")</f>
        <v>Завершен</v>
      </c>
      <c r="M221" t="str">
        <f t="shared" si="107"/>
        <v/>
      </c>
      <c r="N221" t="str">
        <f>IFERROR(VLOOKUP(I221,Товары_очищенные!$H$2:$J$502,3,0),"Нет в каталоге")</f>
        <v>Планшеты</v>
      </c>
      <c r="O221" s="4">
        <f>IFERROR(VLOOKUP(I221,Товары_очищенные!$H$2:$M$502,6,0),"")</f>
        <v>67000</v>
      </c>
      <c r="P221" t="str">
        <f t="shared" si="108"/>
        <v xml:space="preserve">Цена отличается от каталога</v>
      </c>
    </row>
    <row r="222">
      <c r="A222" s="3" t="s">
        <v>2449</v>
      </c>
      <c r="B222" s="3" t="s">
        <v>2450</v>
      </c>
      <c r="C222" s="3" t="s">
        <v>1905</v>
      </c>
      <c r="D222" s="3" t="s">
        <v>1934</v>
      </c>
      <c r="E222" s="3" t="s">
        <v>2451</v>
      </c>
      <c r="F222" s="3" t="s">
        <v>1802</v>
      </c>
      <c r="G222" s="3" t="s">
        <v>1913</v>
      </c>
      <c r="H222" s="5">
        <f t="shared" si="104"/>
        <v>45782</v>
      </c>
      <c r="I222" t="str">
        <f t="shared" si="105"/>
        <v>АРТ-202</v>
      </c>
      <c r="J222" s="6">
        <f t="shared" si="106"/>
        <v>1</v>
      </c>
      <c r="K222" s="4">
        <f>VALUE(SUBSTITUTE(SUBSTITUTE(SUBSTITUTE(SUBSTITUTE(D222,"$",""),"€",""),"₽","")," ",""))*IF(ISNUMBER(FIND("$",D222)),Справочники!$H$3,IF(ISNUMBER(FIND("€",D222)),Справочники!$H$4,1))</f>
        <v>9500</v>
      </c>
      <c r="L222" t="str">
        <f>IFERROR(VLOOKUP(TRIM(G222),Справочники!$D$3:$E$13,2,0),"Нет в справочнике")</f>
        <v>Завершен</v>
      </c>
      <c r="M222" t="str">
        <f t="shared" si="107"/>
        <v/>
      </c>
      <c r="N222" t="str">
        <f>IFERROR(VLOOKUP(I222,Товары_очищенные!$H$2:$J$502,3,0),"Нет в каталоге")</f>
        <v>Наушники</v>
      </c>
      <c r="O222" s="4">
        <f>IFERROR(VLOOKUP(I222,Товары_очищенные!$H$2:$M$502,6,0),"")</f>
        <v>9990</v>
      </c>
      <c r="P222" t="str">
        <f t="shared" si="108"/>
        <v>ОК</v>
      </c>
    </row>
    <row r="223">
      <c r="A223" s="3" t="s">
        <v>2449</v>
      </c>
      <c r="B223" s="3" t="s">
        <v>2238</v>
      </c>
      <c r="C223" s="3" t="s">
        <v>1900</v>
      </c>
      <c r="D223" s="3" t="s">
        <v>1951</v>
      </c>
      <c r="E223" s="3" t="s">
        <v>2452</v>
      </c>
      <c r="F223" s="3" t="s">
        <v>1868</v>
      </c>
      <c r="G223" s="3" t="s">
        <v>1918</v>
      </c>
      <c r="H223" s="5">
        <f t="shared" si="104"/>
        <v>45782</v>
      </c>
      <c r="I223" t="str">
        <f t="shared" si="105"/>
        <v>АРТ-133</v>
      </c>
      <c r="J223" s="6">
        <f t="shared" si="106"/>
        <v>2</v>
      </c>
      <c r="K223" s="4">
        <f>VALUE(SUBSTITUTE(SUBSTITUTE(SUBSTITUTE(SUBSTITUTE(D223,"$",""),"€",""),"₽","")," ",""))*IF(ISNUMBER(FIND("$",D223)),Справочники!$H$3,IF(ISNUMBER(FIND("€",D223)),Справочники!$H$4,1))</f>
        <v>8500</v>
      </c>
      <c r="L223" t="str">
        <f>IFERROR(VLOOKUP(TRIM(G223),Справочники!$D$3:$E$13,2,0),"Нет в справочнике")</f>
        <v>Отменен</v>
      </c>
      <c r="M223" t="str">
        <f t="shared" si="107"/>
        <v/>
      </c>
      <c r="N223" t="str">
        <f>IFERROR(VLOOKUP(I223,Товары_очищенные!$H$2:$J$502,3,0),"Нет в каталоге")</f>
        <v>Телевизоры</v>
      </c>
      <c r="O223" s="4">
        <f>IFERROR(VLOOKUP(I223,Товары_очищенные!$H$2:$M$502,6,0),"")</f>
        <v>126990</v>
      </c>
      <c r="P223" t="str">
        <f t="shared" si="108"/>
        <v xml:space="preserve">Цена отличается от каталога</v>
      </c>
    </row>
    <row r="224">
      <c r="A224" s="3" t="s">
        <v>2453</v>
      </c>
      <c r="B224" s="3" t="s">
        <v>2454</v>
      </c>
      <c r="C224" s="3" t="s">
        <v>1930</v>
      </c>
      <c r="D224" s="3" t="s">
        <v>1931</v>
      </c>
      <c r="E224" s="3" t="s">
        <v>2455</v>
      </c>
      <c r="F224" s="3" t="s">
        <v>1587</v>
      </c>
      <c r="G224" s="3" t="s">
        <v>1924</v>
      </c>
      <c r="H224" s="5">
        <f t="shared" si="104"/>
        <v>45783</v>
      </c>
      <c r="I224" t="str">
        <f t="shared" si="105"/>
        <v>АРТ-081</v>
      </c>
      <c r="J224" s="6">
        <f t="shared" si="106"/>
        <v>3</v>
      </c>
      <c r="K224" s="4">
        <f>VALUE(SUBSTITUTE(SUBSTITUTE(SUBSTITUTE(SUBSTITUTE(D224,"$",""),"€",""),"₽","")," ",""))*IF(ISNUMBER(FIND("$",D224)),Справочники!$H$3,IF(ISNUMBER(FIND("€",D224)),Справочники!$H$4,1))</f>
        <v>9975</v>
      </c>
      <c r="L224" t="str">
        <f>IFERROR(VLOOKUP(TRIM(G224),Справочники!$D$3:$E$13,2,0),"Нет в справочнике")</f>
        <v>Отменен</v>
      </c>
      <c r="M224" t="str">
        <f t="shared" si="107"/>
        <v/>
      </c>
      <c r="N224" t="str">
        <f>IFERROR(VLOOKUP(I224,Товары_очищенные!$H$2:$J$502,3,0),"Нет в каталоге")</f>
        <v>Планшеты</v>
      </c>
      <c r="O224" s="4">
        <f>IFERROR(VLOOKUP(I224,Товары_очищенные!$H$2:$M$502,6,0),"")</f>
        <v>47500</v>
      </c>
      <c r="P224" t="str">
        <f t="shared" si="108"/>
        <v xml:space="preserve">Цена отличается от каталога</v>
      </c>
    </row>
    <row r="225">
      <c r="A225" s="3" t="s">
        <v>2453</v>
      </c>
      <c r="B225" s="3" t="s">
        <v>2456</v>
      </c>
      <c r="C225" s="3" t="s">
        <v>1900</v>
      </c>
      <c r="D225" s="3" t="s">
        <v>1906</v>
      </c>
      <c r="E225" s="3" t="s">
        <v>2457</v>
      </c>
      <c r="F225" s="3" t="s">
        <v>1734</v>
      </c>
      <c r="G225" s="3" t="s">
        <v>1903</v>
      </c>
      <c r="H225" s="5">
        <f t="shared" si="104"/>
        <v>45783</v>
      </c>
      <c r="I225" t="str">
        <f t="shared" si="105"/>
        <v>АРТ-418</v>
      </c>
      <c r="J225" s="6">
        <f t="shared" si="106"/>
        <v>2</v>
      </c>
      <c r="K225" s="4">
        <f>VALUE(SUBSTITUTE(SUBSTITUTE(SUBSTITUTE(SUBSTITUTE(D225,"$",""),"€",""),"₽","")," ",""))*IF(ISNUMBER(FIND("$",D225)),Справочники!$H$3,IF(ISNUMBER(FIND("€",D225)),Справочники!$H$4,1))</f>
        <v>8500</v>
      </c>
      <c r="L225" t="str">
        <f>IFERROR(VLOOKUP(TRIM(G225),Справочники!$D$3:$E$13,2,0),"Нет в справочнике")</f>
        <v>Завершен</v>
      </c>
      <c r="M225" t="str">
        <f t="shared" si="107"/>
        <v/>
      </c>
      <c r="N225" t="str">
        <f>IFERROR(VLOOKUP(I225,Товары_очищенные!$H$2:$J$502,3,0),"Нет в каталоге")</f>
        <v>Часы</v>
      </c>
      <c r="O225" s="4">
        <f>IFERROR(VLOOKUP(I225,Товары_очищенные!$H$2:$M$502,6,0),"")</f>
        <v>29990</v>
      </c>
      <c r="P225" t="str">
        <f t="shared" si="108"/>
        <v xml:space="preserve">Цена отличается от каталога</v>
      </c>
    </row>
    <row r="226">
      <c r="A226" s="3" t="s">
        <v>2458</v>
      </c>
      <c r="B226" s="3" t="s">
        <v>2459</v>
      </c>
      <c r="C226" s="3" t="s">
        <v>1938</v>
      </c>
      <c r="D226" s="3" t="s">
        <v>2166</v>
      </c>
      <c r="E226" s="3" t="s">
        <v>2460</v>
      </c>
      <c r="F226" s="3" t="s">
        <v>1649</v>
      </c>
      <c r="G226" s="3" t="s">
        <v>1927</v>
      </c>
      <c r="H226" s="5">
        <f t="shared" si="104"/>
        <v>45784</v>
      </c>
      <c r="I226" t="str">
        <f t="shared" si="105"/>
        <v>АРТ-272</v>
      </c>
      <c r="J226" s="6">
        <f t="shared" si="106"/>
        <v>1</v>
      </c>
      <c r="K226" s="4">
        <f>VALUE(SUBSTITUTE(SUBSTITUTE(SUBSTITUTE(SUBSTITUTE(D226,"$",""),"€",""),"₽","")," ",""))*IF(ISNUMBER(FIND("$",D226)),Справочники!$H$3,IF(ISNUMBER(FIND("€",D226)),Справочники!$H$4,1))</f>
        <v>7800</v>
      </c>
      <c r="L226" t="str">
        <f>IFERROR(VLOOKUP(TRIM(G226),Справочники!$D$3:$E$13,2,0),"Нет в справочнике")</f>
        <v>Возврат</v>
      </c>
      <c r="M226" t="str">
        <f t="shared" si="107"/>
        <v/>
      </c>
      <c r="N226" t="str">
        <f>IFERROR(VLOOKUP(I226,Товары_очищенные!$H$2:$J$502,3,0),"Нет в каталоге")</f>
        <v>Смартфоны</v>
      </c>
      <c r="O226" s="4">
        <f>IFERROR(VLOOKUP(I226,Товары_очищенные!$H$2:$M$502,6,0),"")</f>
        <v>43500</v>
      </c>
      <c r="P226" t="str">
        <f t="shared" si="108"/>
        <v xml:space="preserve">Цена отличается от каталога</v>
      </c>
    </row>
    <row r="227">
      <c r="A227" s="3" t="s">
        <v>2458</v>
      </c>
      <c r="B227" s="3" t="s">
        <v>2461</v>
      </c>
      <c r="C227" s="3" t="s">
        <v>1985</v>
      </c>
      <c r="D227" s="3" t="s">
        <v>2044</v>
      </c>
      <c r="E227" s="3" t="s">
        <v>2462</v>
      </c>
      <c r="F227" s="3" t="s">
        <v>1784</v>
      </c>
      <c r="G227" s="3" t="s">
        <v>1908</v>
      </c>
      <c r="H227" s="5">
        <f t="shared" si="104"/>
        <v>45784</v>
      </c>
      <c r="I227" t="str">
        <f t="shared" si="105"/>
        <v>АРТ-407</v>
      </c>
      <c r="J227" s="6">
        <f t="shared" si="106"/>
        <v>-3</v>
      </c>
      <c r="K227" s="4">
        <f>VALUE(SUBSTITUTE(SUBSTITUTE(SUBSTITUTE(SUBSTITUTE(D227,"$",""),"€",""),"₽","")," ",""))*IF(ISNUMBER(FIND("$",D227)),Справочники!$H$3,IF(ISNUMBER(FIND("€",D227)),Справочники!$H$4,1))</f>
        <v>11400</v>
      </c>
      <c r="L227" t="str">
        <f>IFERROR(VLOOKUP(TRIM(G227),Справочники!$D$3:$E$13,2,0),"Нет в справочнике")</f>
        <v>Завершен</v>
      </c>
      <c r="M227" t="str">
        <f t="shared" si="107"/>
        <v/>
      </c>
      <c r="N227" t="str">
        <f>IFERROR(VLOOKUP(I227,Товары_очищенные!$H$2:$J$502,3,0),"Нет в каталоге")</f>
        <v>Телевизоры</v>
      </c>
      <c r="O227" s="4">
        <f>IFERROR(VLOOKUP(I227,Товары_очищенные!$H$2:$M$502,6,0),"")</f>
        <v>102000</v>
      </c>
      <c r="P227" t="str">
        <f t="shared" si="108"/>
        <v xml:space="preserve">Цена отличается от каталога</v>
      </c>
    </row>
    <row r="228">
      <c r="A228" s="3" t="s">
        <v>2463</v>
      </c>
      <c r="B228" s="3" t="s">
        <v>951</v>
      </c>
      <c r="C228" s="3" t="s">
        <v>1900</v>
      </c>
      <c r="D228" s="3" t="s">
        <v>2046</v>
      </c>
      <c r="E228" s="3" t="s">
        <v>2464</v>
      </c>
      <c r="F228" s="3" t="s">
        <v>1844</v>
      </c>
      <c r="G228" s="3" t="s">
        <v>1913</v>
      </c>
      <c r="H228" s="5">
        <f t="shared" ref="H228:H291" si="109">DATE(VALUE(RIGHT(A228,4)),VALUE(LEFT(A228,2)),VALUE(MID(A228,4,2)))</f>
        <v>45785</v>
      </c>
      <c r="I228" t="str">
        <f t="shared" ref="I228:I291" si="110">"АРТ-"&amp;TEXT(VALUE(LEFT(SUBSTITUTE(SUBSTITUTE(SUBSTITUTE(SUBSTITUTE(TRIM(B228),"№",""),"АРТ-",""),"АРТ_",""),"АРТ",""),3)),"000")</f>
        <v>АРТ-251</v>
      </c>
      <c r="J228" s="6">
        <f t="shared" ref="J228:J291" si="111">VALUE(TRIM(SUBSTITUTE(SUBSTITUTE(TRIM(C228),"шт.",""),"шт","")))</f>
        <v>2</v>
      </c>
      <c r="K228" s="4">
        <f>VALUE(SUBSTITUTE(SUBSTITUTE(SUBSTITUTE(SUBSTITUTE(D228,"$",""),"€",""),"₽","")," ",""))*IF(ISNUMBER(FIND("$",D228)),Справочники!$H$3,IF(ISNUMBER(FIND("€",D228)),Справочники!$H$4,1))</f>
        <v>10000</v>
      </c>
      <c r="L228" t="str">
        <f>IFERROR(VLOOKUP(TRIM(G228),Справочники!$D$3:$E$13,2,0),"Нет в справочнике")</f>
        <v>Завершен</v>
      </c>
      <c r="M228" t="str">
        <f t="shared" ref="M228:M291" si="112">IF(COUNTIFS($H$2:H228,H228,$I$2:I228,I228,$E$2:E228,E228)&gt;1,"Дубликат","")</f>
        <v/>
      </c>
      <c r="N228" t="str">
        <f>IFERROR(VLOOKUP(I228,Товары_очищенные!$H$2:$J$502,3,0),"Нет в каталоге")</f>
        <v>Часы</v>
      </c>
      <c r="O228" s="4">
        <f>IFERROR(VLOOKUP(I228,Товары_очищенные!$H$2:$M$502,6,0),"")</f>
        <v>53500</v>
      </c>
      <c r="P228" t="str">
        <f t="shared" ref="P228:P291" si="113">IF(O228="","Нет в каталоге",IF(ABS(K228/O228-1)&lt;=0.2,"ОК","Цена отличается от каталога"))</f>
        <v xml:space="preserve">Цена отличается от каталога</v>
      </c>
    </row>
    <row r="229">
      <c r="A229" s="3" t="s">
        <v>2463</v>
      </c>
      <c r="B229" s="3" t="s">
        <v>2465</v>
      </c>
      <c r="C229" s="3" t="s">
        <v>1905</v>
      </c>
      <c r="D229" s="3" t="s">
        <v>2087</v>
      </c>
      <c r="E229" s="3" t="s">
        <v>2466</v>
      </c>
      <c r="F229" s="3" t="s">
        <v>1566</v>
      </c>
      <c r="G229" s="3" t="s">
        <v>1903</v>
      </c>
      <c r="H229" s="5">
        <f t="shared" si="109"/>
        <v>45785</v>
      </c>
      <c r="I229" t="str">
        <f t="shared" si="110"/>
        <v>АРТ-057</v>
      </c>
      <c r="J229" s="6">
        <f t="shared" si="111"/>
        <v>1</v>
      </c>
      <c r="K229" s="4">
        <f>VALUE(SUBSTITUTE(SUBSTITUTE(SUBSTITUTE(SUBSTITUTE(D229,"$",""),"€",""),"₽","")," ",""))*IF(ISNUMBER(FIND("$",D229)),Справочники!$H$3,IF(ISNUMBER(FIND("€",D229)),Справочники!$H$4,1))</f>
        <v>9200</v>
      </c>
      <c r="L229" t="str">
        <f>IFERROR(VLOOKUP(TRIM(G229),Справочники!$D$3:$E$13,2,0),"Нет в справочнике")</f>
        <v>Завершен</v>
      </c>
      <c r="M229" t="str">
        <f t="shared" si="112"/>
        <v/>
      </c>
      <c r="N229" t="str">
        <f>IFERROR(VLOOKUP(I229,Товары_очищенные!$H$2:$J$502,3,0),"Нет в каталоге")</f>
        <v>Аксессуары</v>
      </c>
      <c r="O229" s="4">
        <f>IFERROR(VLOOKUP(I229,Товары_очищенные!$H$2:$M$502,6,0),"")</f>
        <v>11200</v>
      </c>
      <c r="P229" t="str">
        <f t="shared" si="113"/>
        <v>ОК</v>
      </c>
    </row>
    <row r="230">
      <c r="A230" s="3" t="s">
        <v>2467</v>
      </c>
      <c r="B230" s="3" t="s">
        <v>2468</v>
      </c>
      <c r="C230" s="3" t="s">
        <v>1930</v>
      </c>
      <c r="D230" s="3" t="s">
        <v>1986</v>
      </c>
      <c r="E230" s="3" t="s">
        <v>2469</v>
      </c>
      <c r="F230" s="3" t="s">
        <v>1701</v>
      </c>
      <c r="G230" s="3" t="s">
        <v>1924</v>
      </c>
      <c r="H230" s="5">
        <f t="shared" si="109"/>
        <v>45786</v>
      </c>
      <c r="I230" t="str">
        <f t="shared" si="110"/>
        <v>АРТ-183</v>
      </c>
      <c r="J230" s="6">
        <f t="shared" si="111"/>
        <v>3</v>
      </c>
      <c r="K230" s="4">
        <f>VALUE(SUBSTITUTE(SUBSTITUTE(SUBSTITUTE(SUBSTITUTE(D230,"$",""),"€",""),"₽","")," ",""))*IF(ISNUMBER(FIND("$",D230)),Справочники!$H$3,IF(ISNUMBER(FIND("€",D230)),Справочники!$H$4,1))</f>
        <v>8550</v>
      </c>
      <c r="L230" t="str">
        <f>IFERROR(VLOOKUP(TRIM(G230),Справочники!$D$3:$E$13,2,0),"Нет в справочнике")</f>
        <v>Отменен</v>
      </c>
      <c r="M230" t="str">
        <f t="shared" si="112"/>
        <v/>
      </c>
      <c r="N230" t="str">
        <f>IFERROR(VLOOKUP(I230,Товары_очищенные!$H$2:$J$502,3,0),"Нет в каталоге")</f>
        <v>Мониторы</v>
      </c>
      <c r="O230" s="4">
        <f>IFERROR(VLOOKUP(I230,Товары_очищенные!$H$2:$M$502,6,0),"")</f>
        <v>173000</v>
      </c>
      <c r="P230" t="str">
        <f t="shared" si="113"/>
        <v xml:space="preserve">Цена отличается от каталога</v>
      </c>
    </row>
    <row r="231">
      <c r="A231" s="3" t="s">
        <v>2467</v>
      </c>
      <c r="B231" s="3" t="s">
        <v>2470</v>
      </c>
      <c r="C231" s="3" t="s">
        <v>1900</v>
      </c>
      <c r="D231" s="3" t="s">
        <v>1989</v>
      </c>
      <c r="E231" s="3" t="s">
        <v>2471</v>
      </c>
      <c r="F231" s="3" t="s">
        <v>1814</v>
      </c>
      <c r="G231" s="3" t="s">
        <v>1918</v>
      </c>
      <c r="H231" s="5">
        <f t="shared" si="109"/>
        <v>45786</v>
      </c>
      <c r="I231" t="str">
        <f t="shared" si="110"/>
        <v>АРТ-481</v>
      </c>
      <c r="J231" s="6">
        <f t="shared" si="111"/>
        <v>2</v>
      </c>
      <c r="K231" s="4">
        <f>VALUE(SUBSTITUTE(SUBSTITUTE(SUBSTITUTE(SUBSTITUTE(D231,"$",""),"€",""),"₽","")," ",""))*IF(ISNUMBER(FIND("$",D231)),Справочники!$H$3,IF(ISNUMBER(FIND("€",D231)),Справочники!$H$4,1))</f>
        <v>7000</v>
      </c>
      <c r="L231" t="str">
        <f>IFERROR(VLOOKUP(TRIM(G231),Справочники!$D$3:$E$13,2,0),"Нет в справочнике")</f>
        <v>Отменен</v>
      </c>
      <c r="M231" t="str">
        <f t="shared" si="112"/>
        <v/>
      </c>
      <c r="N231" t="str">
        <f>IFERROR(VLOOKUP(I231,Товары_очищенные!$H$2:$J$502,3,0),"Нет в каталоге")</f>
        <v>Планшеты</v>
      </c>
      <c r="O231" s="4">
        <f>IFERROR(VLOOKUP(I231,Товары_очищенные!$H$2:$M$502,6,0),"")</f>
        <v>39990</v>
      </c>
      <c r="P231" t="str">
        <f t="shared" si="113"/>
        <v xml:space="preserve">Цена отличается от каталога</v>
      </c>
    </row>
    <row r="232">
      <c r="A232" s="3" t="s">
        <v>2472</v>
      </c>
      <c r="B232" s="3" t="s">
        <v>2473</v>
      </c>
      <c r="C232" s="3" t="s">
        <v>1938</v>
      </c>
      <c r="D232" s="3" t="s">
        <v>1939</v>
      </c>
      <c r="E232" s="3" t="s">
        <v>2474</v>
      </c>
      <c r="F232" s="3" t="s">
        <v>1880</v>
      </c>
      <c r="G232" s="3" t="s">
        <v>1927</v>
      </c>
      <c r="H232" s="5">
        <f t="shared" si="109"/>
        <v>45787</v>
      </c>
      <c r="I232" t="str">
        <f t="shared" si="110"/>
        <v>АРТ-335</v>
      </c>
      <c r="J232" s="6">
        <f t="shared" si="111"/>
        <v>1</v>
      </c>
      <c r="K232" s="4">
        <f>VALUE(SUBSTITUTE(SUBSTITUTE(SUBSTITUTE(SUBSTITUTE(D232,"$",""),"€",""),"₽","")," ",""))*IF(ISNUMBER(FIND("$",D232)),Справочники!$H$3,IF(ISNUMBER(FIND("€",D232)),Справочники!$H$4,1))</f>
        <v>6500</v>
      </c>
      <c r="L232" t="str">
        <f>IFERROR(VLOOKUP(TRIM(G232),Справочники!$D$3:$E$13,2,0),"Нет в справочнике")</f>
        <v>Возврат</v>
      </c>
      <c r="M232" t="str">
        <f t="shared" si="112"/>
        <v/>
      </c>
      <c r="N232" t="str">
        <f>IFERROR(VLOOKUP(I232,Товары_очищенные!$H$2:$J$502,3,0),"Нет в каталоге")</f>
        <v>Планшеты</v>
      </c>
      <c r="O232" s="4">
        <f>IFERROR(VLOOKUP(I232,Товары_очищенные!$H$2:$M$502,6,0),"")</f>
        <v>47000</v>
      </c>
      <c r="P232" t="str">
        <f t="shared" si="113"/>
        <v xml:space="preserve">Цена отличается от каталога</v>
      </c>
    </row>
    <row r="233">
      <c r="A233" s="3" t="s">
        <v>2472</v>
      </c>
      <c r="B233" s="3" t="s">
        <v>2475</v>
      </c>
      <c r="C233" s="3" t="s">
        <v>1915</v>
      </c>
      <c r="D233" s="3" t="s">
        <v>1916</v>
      </c>
      <c r="E233" s="3" t="s">
        <v>2476</v>
      </c>
      <c r="F233" s="3" t="s">
        <v>1636</v>
      </c>
      <c r="G233" s="3" t="s">
        <v>1903</v>
      </c>
      <c r="H233" s="5">
        <f t="shared" si="109"/>
        <v>45787</v>
      </c>
      <c r="I233" t="str">
        <f t="shared" si="110"/>
        <v>АРТ-021</v>
      </c>
      <c r="J233" s="6">
        <f t="shared" si="111"/>
        <v>-1</v>
      </c>
      <c r="K233" s="4">
        <f>VALUE(SUBSTITUTE(SUBSTITUTE(SUBSTITUTE(SUBSTITUTE(D233,"$",""),"€",""),"₽","")," ",""))*IF(ISNUMBER(FIND("$",D233)),Справочники!$H$3,IF(ISNUMBER(FIND("€",D233)),Справочники!$H$4,1))</f>
        <v>10450</v>
      </c>
      <c r="L233" t="str">
        <f>IFERROR(VLOOKUP(TRIM(G233),Справочники!$D$3:$E$13,2,0),"Нет в справочнике")</f>
        <v>Завершен</v>
      </c>
      <c r="M233" t="str">
        <f t="shared" si="112"/>
        <v/>
      </c>
      <c r="N233" t="str">
        <f>IFERROR(VLOOKUP(I233,Товары_очищенные!$H$2:$J$502,3,0),"Нет в каталоге")</f>
        <v>Ноутбуки</v>
      </c>
      <c r="O233" s="4">
        <f>IFERROR(VLOOKUP(I233,Товары_очищенные!$H$2:$M$502,6,0),"")</f>
        <v>137000</v>
      </c>
      <c r="P233" t="str">
        <f t="shared" si="113"/>
        <v xml:space="preserve">Цена отличается от каталога</v>
      </c>
    </row>
    <row r="234">
      <c r="A234" s="3" t="s">
        <v>2477</v>
      </c>
      <c r="B234" s="3" t="s">
        <v>2478</v>
      </c>
      <c r="C234" s="3" t="s">
        <v>1930</v>
      </c>
      <c r="D234" s="3" t="s">
        <v>1922</v>
      </c>
      <c r="E234" s="3" t="s">
        <v>2479</v>
      </c>
      <c r="F234" s="3" t="s">
        <v>1740</v>
      </c>
      <c r="G234" s="3" t="s">
        <v>1908</v>
      </c>
      <c r="H234" s="5">
        <f t="shared" si="109"/>
        <v>45788</v>
      </c>
      <c r="I234" t="str">
        <f t="shared" si="110"/>
        <v>АРТ-390</v>
      </c>
      <c r="J234" s="6">
        <f t="shared" si="111"/>
        <v>3</v>
      </c>
      <c r="K234" s="4">
        <f>VALUE(SUBSTITUTE(SUBSTITUTE(SUBSTITUTE(SUBSTITUTE(D234,"$",""),"€",""),"₽","")," ",""))*IF(ISNUMBER(FIND("$",D234)),Справочники!$H$3,IF(ISNUMBER(FIND("€",D234)),Справочники!$H$4,1))</f>
        <v>9000</v>
      </c>
      <c r="L234" t="str">
        <f>IFERROR(VLOOKUP(TRIM(G234),Справочники!$D$3:$E$13,2,0),"Нет в справочнике")</f>
        <v>Завершен</v>
      </c>
      <c r="M234" t="str">
        <f t="shared" si="112"/>
        <v/>
      </c>
      <c r="N234" t="str">
        <f>IFERROR(VLOOKUP(I234,Товары_очищенные!$H$2:$J$502,3,0),"Нет в каталоге")</f>
        <v>Телевизоры</v>
      </c>
      <c r="O234" s="4">
        <f>IFERROR(VLOOKUP(I234,Товары_очищенные!$H$2:$M$502,6,0),"")</f>
        <v>80000</v>
      </c>
      <c r="P234" t="str">
        <f t="shared" si="113"/>
        <v xml:space="preserve">Цена отличается от каталога</v>
      </c>
    </row>
    <row r="235">
      <c r="A235" s="3" t="s">
        <v>2477</v>
      </c>
      <c r="B235" s="3" t="s">
        <v>2480</v>
      </c>
      <c r="C235" s="3" t="s">
        <v>1900</v>
      </c>
      <c r="D235" s="3" t="s">
        <v>1925</v>
      </c>
      <c r="E235" s="3" t="s">
        <v>2481</v>
      </c>
      <c r="F235" s="3" t="s">
        <v>1682</v>
      </c>
      <c r="G235" s="3" t="s">
        <v>1913</v>
      </c>
      <c r="H235" s="5">
        <f t="shared" si="109"/>
        <v>45788</v>
      </c>
      <c r="I235" t="str">
        <f t="shared" si="110"/>
        <v>АРТ-098</v>
      </c>
      <c r="J235" s="6">
        <f t="shared" si="111"/>
        <v>2</v>
      </c>
      <c r="K235" s="4">
        <f>VALUE(SUBSTITUTE(SUBSTITUTE(SUBSTITUTE(SUBSTITUTE(D235,"$",""),"€",""),"₽","")," ",""))*IF(ISNUMBER(FIND("$",D235)),Справочники!$H$3,IF(ISNUMBER(FIND("€",D235)),Справочники!$H$4,1))</f>
        <v>8000</v>
      </c>
      <c r="L235" t="str">
        <f>IFERROR(VLOOKUP(TRIM(G235),Справочники!$D$3:$E$13,2,0),"Нет в справочнике")</f>
        <v>Завершен</v>
      </c>
      <c r="M235" t="str">
        <f t="shared" si="112"/>
        <v/>
      </c>
      <c r="N235" t="str">
        <f>IFERROR(VLOOKUP(I235,Товары_очищенные!$H$2:$J$502,3,0),"Нет в каталоге")</f>
        <v>Аксессуары</v>
      </c>
      <c r="O235" s="4">
        <f>IFERROR(VLOOKUP(I235,Товары_очищенные!$H$2:$M$502,6,0),"")</f>
        <v>6500</v>
      </c>
      <c r="P235" t="str">
        <f t="shared" si="113"/>
        <v xml:space="preserve">Цена отличается от каталога</v>
      </c>
    </row>
    <row r="236">
      <c r="A236" s="3" t="s">
        <v>2482</v>
      </c>
      <c r="B236" s="3" t="s">
        <v>652</v>
      </c>
      <c r="C236" s="3" t="s">
        <v>1905</v>
      </c>
      <c r="D236" s="3" t="s">
        <v>1964</v>
      </c>
      <c r="E236" s="3" t="s">
        <v>2483</v>
      </c>
      <c r="F236" s="3" t="s">
        <v>1820</v>
      </c>
      <c r="G236" s="3" t="s">
        <v>1918</v>
      </c>
      <c r="H236" s="5">
        <f t="shared" si="109"/>
        <v>45789</v>
      </c>
      <c r="I236" t="str">
        <f t="shared" si="110"/>
        <v>АРТ-154</v>
      </c>
      <c r="J236" s="6">
        <f t="shared" si="111"/>
        <v>1</v>
      </c>
      <c r="K236" s="4">
        <f>VALUE(SUBSTITUTE(SUBSTITUTE(SUBSTITUTE(SUBSTITUTE(D236,"$",""),"€",""),"₽","")," ",""))*IF(ISNUMBER(FIND("$",D236)),Справочники!$H$3,IF(ISNUMBER(FIND("€",D236)),Справочники!$H$4,1))</f>
        <v>9025</v>
      </c>
      <c r="L236" t="str">
        <f>IFERROR(VLOOKUP(TRIM(G236),Справочники!$D$3:$E$13,2,0),"Нет в справочнике")</f>
        <v>Отменен</v>
      </c>
      <c r="M236" t="str">
        <f t="shared" si="112"/>
        <v/>
      </c>
      <c r="N236" t="str">
        <f>IFERROR(VLOOKUP(I236,Товары_очищенные!$H$2:$J$502,3,0),"Нет в каталоге")</f>
        <v>Наушники</v>
      </c>
      <c r="O236" s="4">
        <f>IFERROR(VLOOKUP(I236,Товары_очищенные!$H$2:$M$502,6,0),"")</f>
        <v>16990</v>
      </c>
      <c r="P236" t="str">
        <f t="shared" si="113"/>
        <v xml:space="preserve">Цена отличается от каталога</v>
      </c>
    </row>
    <row r="237">
      <c r="A237" s="3" t="s">
        <v>2482</v>
      </c>
      <c r="B237" s="3" t="s">
        <v>1086</v>
      </c>
      <c r="C237" s="3" t="s">
        <v>1900</v>
      </c>
      <c r="D237" s="3" t="s">
        <v>1968</v>
      </c>
      <c r="E237" s="3" t="s">
        <v>2484</v>
      </c>
      <c r="F237" s="3" t="s">
        <v>1580</v>
      </c>
      <c r="G237" s="3" t="s">
        <v>1924</v>
      </c>
      <c r="H237" s="5">
        <f t="shared" si="109"/>
        <v>45789</v>
      </c>
      <c r="I237" t="str">
        <f t="shared" si="110"/>
        <v>АРТ-296</v>
      </c>
      <c r="J237" s="6">
        <f t="shared" si="111"/>
        <v>2</v>
      </c>
      <c r="K237" s="4">
        <f>VALUE(SUBSTITUTE(SUBSTITUTE(SUBSTITUTE(SUBSTITUTE(D237,"$",""),"€",""),"₽","")," ",""))*IF(ISNUMBER(FIND("$",D237)),Справочники!$H$3,IF(ISNUMBER(FIND("€",D237)),Справочники!$H$4,1))</f>
        <v>7500</v>
      </c>
      <c r="L237" t="str">
        <f>IFERROR(VLOOKUP(TRIM(G237),Справочники!$D$3:$E$13,2,0),"Нет в справочнике")</f>
        <v>Отменен</v>
      </c>
      <c r="M237" t="str">
        <f t="shared" si="112"/>
        <v/>
      </c>
      <c r="N237" t="str">
        <f>IFERROR(VLOOKUP(I237,Товары_очищенные!$H$2:$J$502,3,0),"Нет в каталоге")</f>
        <v>Смартфоны</v>
      </c>
      <c r="O237" s="4">
        <f>IFERROR(VLOOKUP(I237,Товары_очищенные!$H$2:$M$502,6,0),"")</f>
        <v>33500</v>
      </c>
      <c r="P237" t="str">
        <f t="shared" si="113"/>
        <v xml:space="preserve">Цена отличается от каталога</v>
      </c>
    </row>
    <row r="238">
      <c r="A238" s="3" t="s">
        <v>2485</v>
      </c>
      <c r="B238" s="3" t="s">
        <v>1288</v>
      </c>
      <c r="C238" s="3" t="s">
        <v>1910</v>
      </c>
      <c r="D238" s="3" t="s">
        <v>1971</v>
      </c>
      <c r="E238" s="3" t="s">
        <v>2486</v>
      </c>
      <c r="F238" s="3" t="s">
        <v>1727</v>
      </c>
      <c r="G238" s="3" t="s">
        <v>1903</v>
      </c>
      <c r="H238" s="5">
        <f t="shared" si="109"/>
        <v>45790</v>
      </c>
      <c r="I238" t="str">
        <f t="shared" si="110"/>
        <v>АРТ-381</v>
      </c>
      <c r="J238" s="6">
        <f t="shared" si="111"/>
        <v>3</v>
      </c>
      <c r="K238" s="4">
        <f>VALUE(SUBSTITUTE(SUBSTITUTE(SUBSTITUTE(SUBSTITUTE(D238,"$",""),"€",""),"₽","")," ",""))*IF(ISNUMBER(FIND("$",D238)),Справочники!$H$3,IF(ISNUMBER(FIND("€",D238)),Справочники!$H$4,1))</f>
        <v>7000</v>
      </c>
      <c r="L238" t="str">
        <f>IFERROR(VLOOKUP(TRIM(G238),Справочники!$D$3:$E$13,2,0),"Нет в справочнике")</f>
        <v>Завершен</v>
      </c>
      <c r="M238" t="str">
        <f t="shared" si="112"/>
        <v/>
      </c>
      <c r="N238" t="str">
        <f>IFERROR(VLOOKUP(I238,Товары_очищенные!$H$2:$J$502,3,0),"Нет в каталоге")</f>
        <v>Планшеты</v>
      </c>
      <c r="O238" s="4">
        <f>IFERROR(VLOOKUP(I238,Товары_очищенные!$H$2:$M$502,6,0),"")</f>
        <v>38500</v>
      </c>
      <c r="P238" t="str">
        <f t="shared" si="113"/>
        <v xml:space="preserve">Цена отличается от каталога</v>
      </c>
    </row>
    <row r="239">
      <c r="A239" s="3" t="s">
        <v>2485</v>
      </c>
      <c r="B239" s="3" t="s">
        <v>2487</v>
      </c>
      <c r="C239" s="3" t="s">
        <v>1942</v>
      </c>
      <c r="D239" s="3" t="s">
        <v>1943</v>
      </c>
      <c r="E239" s="3" t="s">
        <v>2488</v>
      </c>
      <c r="F239" s="3" t="s">
        <v>1629</v>
      </c>
      <c r="G239" s="3" t="s">
        <v>1927</v>
      </c>
      <c r="H239" s="5">
        <f t="shared" si="109"/>
        <v>45790</v>
      </c>
      <c r="I239" t="str">
        <f t="shared" si="110"/>
        <v>АРТ-338</v>
      </c>
      <c r="J239" s="6">
        <f t="shared" si="111"/>
        <v>-2</v>
      </c>
      <c r="K239" s="4">
        <f>VALUE(SUBSTITUTE(SUBSTITUTE(SUBSTITUTE(SUBSTITUTE(D239,"$",""),"€",""),"₽","")," ",""))*IF(ISNUMBER(FIND("$",D239)),Справочники!$H$3,IF(ISNUMBER(FIND("€",D239)),Справочники!$H$4,1))</f>
        <v>10925</v>
      </c>
      <c r="L239" t="str">
        <f>IFERROR(VLOOKUP(TRIM(G239),Справочники!$D$3:$E$13,2,0),"Нет в справочнике")</f>
        <v>Возврат</v>
      </c>
      <c r="M239" t="str">
        <f t="shared" si="112"/>
        <v/>
      </c>
      <c r="N239" t="str">
        <f>IFERROR(VLOOKUP(I239,Товары_очищенные!$H$2:$J$502,3,0),"Нет в каталоге")</f>
        <v>Смартфоны</v>
      </c>
      <c r="O239" s="4">
        <f>IFERROR(VLOOKUP(I239,Товары_очищенные!$H$2:$M$502,6,0),"")</f>
        <v>62500</v>
      </c>
      <c r="P239" t="str">
        <f t="shared" si="113"/>
        <v xml:space="preserve">Цена отличается от каталога</v>
      </c>
    </row>
    <row r="240">
      <c r="A240" s="3" t="s">
        <v>2489</v>
      </c>
      <c r="B240" s="3" t="s">
        <v>2490</v>
      </c>
      <c r="C240" s="3" t="s">
        <v>1905</v>
      </c>
      <c r="D240" s="3" t="s">
        <v>1934</v>
      </c>
      <c r="E240" s="3" t="s">
        <v>2491</v>
      </c>
      <c r="F240" s="3" t="s">
        <v>1778</v>
      </c>
      <c r="G240" s="3" t="s">
        <v>1908</v>
      </c>
      <c r="H240" s="5">
        <f t="shared" si="109"/>
        <v>45791</v>
      </c>
      <c r="I240" t="str">
        <f t="shared" si="110"/>
        <v>АРТ-214</v>
      </c>
      <c r="J240" s="6">
        <f t="shared" si="111"/>
        <v>1</v>
      </c>
      <c r="K240" s="4">
        <f>VALUE(SUBSTITUTE(SUBSTITUTE(SUBSTITUTE(SUBSTITUTE(D240,"$",""),"€",""),"₽","")," ",""))*IF(ISNUMBER(FIND("$",D240)),Справочники!$H$3,IF(ISNUMBER(FIND("€",D240)),Справочники!$H$4,1))</f>
        <v>9500</v>
      </c>
      <c r="L240" t="str">
        <f>IFERROR(VLOOKUP(TRIM(G240),Справочники!$D$3:$E$13,2,0),"Нет в справочнике")</f>
        <v>Завершен</v>
      </c>
      <c r="M240" t="str">
        <f t="shared" si="112"/>
        <v/>
      </c>
      <c r="N240" t="str">
        <f>IFERROR(VLOOKUP(I240,Товары_очищенные!$H$2:$J$502,3,0),"Нет в каталоге")</f>
        <v>Планшеты</v>
      </c>
      <c r="O240" s="4">
        <f>IFERROR(VLOOKUP(I240,Товары_очищенные!$H$2:$M$502,6,0),"")</f>
        <v>26990</v>
      </c>
      <c r="P240" t="str">
        <f t="shared" si="113"/>
        <v xml:space="preserve">Цена отличается от каталога</v>
      </c>
    </row>
    <row r="241">
      <c r="A241" s="3" t="s">
        <v>2489</v>
      </c>
      <c r="B241" s="3" t="s">
        <v>2492</v>
      </c>
      <c r="C241" s="3" t="s">
        <v>1900</v>
      </c>
      <c r="D241" s="3" t="s">
        <v>1951</v>
      </c>
      <c r="E241" s="3" t="s">
        <v>2493</v>
      </c>
      <c r="F241" s="3" t="s">
        <v>1862</v>
      </c>
      <c r="G241" s="3" t="s">
        <v>1913</v>
      </c>
      <c r="H241" s="5">
        <f t="shared" si="109"/>
        <v>45791</v>
      </c>
      <c r="I241" t="str">
        <f t="shared" si="110"/>
        <v>АРТ-178</v>
      </c>
      <c r="J241" s="6">
        <f t="shared" si="111"/>
        <v>2</v>
      </c>
      <c r="K241" s="4">
        <f>VALUE(SUBSTITUTE(SUBSTITUTE(SUBSTITUTE(SUBSTITUTE(D241,"$",""),"€",""),"₽","")," ",""))*IF(ISNUMBER(FIND("$",D241)),Справочники!$H$3,IF(ISNUMBER(FIND("€",D241)),Справочники!$H$4,1))</f>
        <v>8500</v>
      </c>
      <c r="L241" t="str">
        <f>IFERROR(VLOOKUP(TRIM(G241),Справочники!$D$3:$E$13,2,0),"Нет в справочнике")</f>
        <v>Завершен</v>
      </c>
      <c r="M241" t="str">
        <f t="shared" si="112"/>
        <v/>
      </c>
      <c r="N241" t="str">
        <f>IFERROR(VLOOKUP(I241,Товары_очищенные!$H$2:$J$502,3,0),"Нет в каталоге")</f>
        <v>Наушники</v>
      </c>
      <c r="O241" s="4">
        <f>IFERROR(VLOOKUP(I241,Товары_очищенные!$H$2:$M$502,6,0),"")</f>
        <v>13990</v>
      </c>
      <c r="P241" t="str">
        <f t="shared" si="113"/>
        <v xml:space="preserve">Цена отличается от каталога</v>
      </c>
    </row>
    <row r="242">
      <c r="A242" s="3" t="s">
        <v>2494</v>
      </c>
      <c r="B242" s="3" t="s">
        <v>2495</v>
      </c>
      <c r="C242" s="3" t="s">
        <v>1930</v>
      </c>
      <c r="D242" s="3" t="s">
        <v>1931</v>
      </c>
      <c r="E242" s="3" t="s">
        <v>2496</v>
      </c>
      <c r="F242" s="3" t="s">
        <v>1695</v>
      </c>
      <c r="G242" s="3" t="s">
        <v>1903</v>
      </c>
      <c r="H242" s="5">
        <f t="shared" si="109"/>
        <v>45792</v>
      </c>
      <c r="I242" t="str">
        <f t="shared" si="110"/>
        <v>АРТ-071</v>
      </c>
      <c r="J242" s="6">
        <f t="shared" si="111"/>
        <v>3</v>
      </c>
      <c r="K242" s="4">
        <f>VALUE(SUBSTITUTE(SUBSTITUTE(SUBSTITUTE(SUBSTITUTE(D242,"$",""),"€",""),"₽","")," ",""))*IF(ISNUMBER(FIND("$",D242)),Справочники!$H$3,IF(ISNUMBER(FIND("€",D242)),Справочники!$H$4,1))</f>
        <v>9975</v>
      </c>
      <c r="L242" t="str">
        <f>IFERROR(VLOOKUP(TRIM(G242),Справочники!$D$3:$E$13,2,0),"Нет в справочнике")</f>
        <v>Завершен</v>
      </c>
      <c r="M242" t="str">
        <f t="shared" si="112"/>
        <v/>
      </c>
      <c r="N242" t="str">
        <f>IFERROR(VLOOKUP(I242,Товары_очищенные!$H$2:$J$502,3,0),"Нет в каталоге")</f>
        <v>Наушники</v>
      </c>
      <c r="O242" s="4">
        <f>IFERROR(VLOOKUP(I242,Товары_очищенные!$H$2:$M$502,6,0),"")</f>
        <v>19000</v>
      </c>
      <c r="P242" t="str">
        <f t="shared" si="113"/>
        <v xml:space="preserve">Цена отличается от каталога</v>
      </c>
    </row>
    <row r="243">
      <c r="A243" s="3" t="s">
        <v>2494</v>
      </c>
      <c r="B243" s="3" t="s">
        <v>2497</v>
      </c>
      <c r="C243" s="3" t="s">
        <v>1900</v>
      </c>
      <c r="D243" s="3" t="s">
        <v>1906</v>
      </c>
      <c r="E243" s="3" t="s">
        <v>2498</v>
      </c>
      <c r="F243" s="3" t="s">
        <v>1573</v>
      </c>
      <c r="G243" s="3" t="s">
        <v>1924</v>
      </c>
      <c r="H243" s="5">
        <f t="shared" si="109"/>
        <v>45792</v>
      </c>
      <c r="I243" t="str">
        <f t="shared" si="110"/>
        <v>АРТ-439</v>
      </c>
      <c r="J243" s="6">
        <f t="shared" si="111"/>
        <v>2</v>
      </c>
      <c r="K243" s="4">
        <f>VALUE(SUBSTITUTE(SUBSTITUTE(SUBSTITUTE(SUBSTITUTE(D243,"$",""),"€",""),"₽","")," ",""))*IF(ISNUMBER(FIND("$",D243)),Справочники!$H$3,IF(ISNUMBER(FIND("€",D243)),Справочники!$H$4,1))</f>
        <v>8500</v>
      </c>
      <c r="L243" t="str">
        <f>IFERROR(VLOOKUP(TRIM(G243),Справочники!$D$3:$E$13,2,0),"Нет в справочнике")</f>
        <v>Отменен</v>
      </c>
      <c r="M243" t="str">
        <f t="shared" si="112"/>
        <v/>
      </c>
      <c r="N243" t="str">
        <f>IFERROR(VLOOKUP(I243,Товары_очищенные!$H$2:$J$502,3,0),"Нет в каталоге")</f>
        <v>Планшеты</v>
      </c>
      <c r="O243" s="4">
        <f>IFERROR(VLOOKUP(I243,Товары_очищенные!$H$2:$M$502,6,0),"")</f>
        <v>29990</v>
      </c>
      <c r="P243" t="str">
        <f t="shared" si="113"/>
        <v xml:space="preserve">Цена отличается от каталога</v>
      </c>
    </row>
    <row r="244">
      <c r="A244" s="3" t="s">
        <v>2499</v>
      </c>
      <c r="B244" s="3" t="s">
        <v>1122</v>
      </c>
      <c r="C244" s="3" t="s">
        <v>1938</v>
      </c>
      <c r="D244" s="3" t="s">
        <v>2166</v>
      </c>
      <c r="E244" s="3" t="s">
        <v>2500</v>
      </c>
      <c r="F244" s="3" t="s">
        <v>1808</v>
      </c>
      <c r="G244" s="3" t="s">
        <v>1918</v>
      </c>
      <c r="H244" s="5">
        <f t="shared" si="109"/>
        <v>45793</v>
      </c>
      <c r="I244" t="str">
        <f t="shared" si="110"/>
        <v>АРТ-309</v>
      </c>
      <c r="J244" s="6">
        <f t="shared" si="111"/>
        <v>1</v>
      </c>
      <c r="K244" s="4">
        <f>VALUE(SUBSTITUTE(SUBSTITUTE(SUBSTITUTE(SUBSTITUTE(D244,"$",""),"€",""),"₽","")," ",""))*IF(ISNUMBER(FIND("$",D244)),Справочники!$H$3,IF(ISNUMBER(FIND("€",D244)),Справочники!$H$4,1))</f>
        <v>7800</v>
      </c>
      <c r="L244" t="str">
        <f>IFERROR(VLOOKUP(TRIM(G244),Справочники!$D$3:$E$13,2,0),"Нет в справочнике")</f>
        <v>Отменен</v>
      </c>
      <c r="M244" t="str">
        <f t="shared" si="112"/>
        <v/>
      </c>
      <c r="N244" t="str">
        <f>IFERROR(VLOOKUP(I244,Товары_очищенные!$H$2:$J$502,3,0),"Нет в каталоге")</f>
        <v>Аксессуары</v>
      </c>
      <c r="O244" s="4">
        <f>IFERROR(VLOOKUP(I244,Товары_очищенные!$H$2:$M$502,6,0),"")</f>
        <v>9800</v>
      </c>
      <c r="P244" t="str">
        <f t="shared" si="113"/>
        <v xml:space="preserve">Цена отличается от каталога</v>
      </c>
    </row>
    <row r="245">
      <c r="A245" s="3" t="s">
        <v>2499</v>
      </c>
      <c r="B245" s="3" t="s">
        <v>2501</v>
      </c>
      <c r="C245" s="3" t="s">
        <v>1985</v>
      </c>
      <c r="D245" s="3" t="s">
        <v>2044</v>
      </c>
      <c r="E245" s="3" t="s">
        <v>2502</v>
      </c>
      <c r="F245" s="3" t="s">
        <v>1670</v>
      </c>
      <c r="G245" s="3" t="s">
        <v>1927</v>
      </c>
      <c r="H245" s="5">
        <f t="shared" si="109"/>
        <v>45793</v>
      </c>
      <c r="I245" t="str">
        <f t="shared" si="110"/>
        <v>АРТ-423</v>
      </c>
      <c r="J245" s="6">
        <f t="shared" si="111"/>
        <v>-3</v>
      </c>
      <c r="K245" s="4">
        <f>VALUE(SUBSTITUTE(SUBSTITUTE(SUBSTITUTE(SUBSTITUTE(D245,"$",""),"€",""),"₽","")," ",""))*IF(ISNUMBER(FIND("$",D245)),Справочники!$H$3,IF(ISNUMBER(FIND("€",D245)),Справочники!$H$4,1))</f>
        <v>11400</v>
      </c>
      <c r="L245" t="str">
        <f>IFERROR(VLOOKUP(TRIM(G245),Справочники!$D$3:$E$13,2,0),"Нет в справочнике")</f>
        <v>Возврат</v>
      </c>
      <c r="M245" t="str">
        <f t="shared" si="112"/>
        <v/>
      </c>
      <c r="N245" t="str">
        <f>IFERROR(VLOOKUP(I245,Товары_очищенные!$H$2:$J$502,3,0),"Нет в каталоге")</f>
        <v>Ноутбуки</v>
      </c>
      <c r="O245" s="4">
        <f>IFERROR(VLOOKUP(I245,Товары_очищенные!$H$2:$M$502,6,0),"")</f>
        <v>129500</v>
      </c>
      <c r="P245" t="str">
        <f t="shared" si="113"/>
        <v xml:space="preserve">Цена отличается от каталога</v>
      </c>
    </row>
    <row r="246">
      <c r="A246" s="3" t="s">
        <v>2503</v>
      </c>
      <c r="B246" s="3" t="s">
        <v>2504</v>
      </c>
      <c r="C246" s="3" t="s">
        <v>1900</v>
      </c>
      <c r="D246" s="3" t="s">
        <v>2046</v>
      </c>
      <c r="E246" s="3" t="s">
        <v>2505</v>
      </c>
      <c r="F246" s="3" t="s">
        <v>1752</v>
      </c>
      <c r="G246" s="3" t="s">
        <v>1903</v>
      </c>
      <c r="H246" s="5">
        <f t="shared" si="109"/>
        <v>45794</v>
      </c>
      <c r="I246" t="str">
        <f t="shared" si="110"/>
        <v>АРТ-276</v>
      </c>
      <c r="J246" s="6">
        <f t="shared" si="111"/>
        <v>2</v>
      </c>
      <c r="K246" s="4">
        <f>VALUE(SUBSTITUTE(SUBSTITUTE(SUBSTITUTE(SUBSTITUTE(D246,"$",""),"€",""),"₽","")," ",""))*IF(ISNUMBER(FIND("$",D246)),Справочники!$H$3,IF(ISNUMBER(FIND("€",D246)),Справочники!$H$4,1))</f>
        <v>10000</v>
      </c>
      <c r="L246" t="str">
        <f>IFERROR(VLOOKUP(TRIM(G246),Справочники!$D$3:$E$13,2,0),"Нет в справочнике")</f>
        <v>Завершен</v>
      </c>
      <c r="M246" t="str">
        <f t="shared" si="112"/>
        <v/>
      </c>
      <c r="N246" t="str">
        <f>IFERROR(VLOOKUP(I246,Товары_очищенные!$H$2:$J$502,3,0),"Нет в каталоге")</f>
        <v>Планшеты</v>
      </c>
      <c r="O246" s="4">
        <f>IFERROR(VLOOKUP(I246,Товары_очищенные!$H$2:$M$502,6,0),"")</f>
        <v>50500</v>
      </c>
      <c r="P246" t="str">
        <f t="shared" si="113"/>
        <v xml:space="preserve">Цена отличается от каталога</v>
      </c>
    </row>
    <row r="247">
      <c r="A247" s="3" t="s">
        <v>2503</v>
      </c>
      <c r="B247" s="3" t="s">
        <v>2506</v>
      </c>
      <c r="C247" s="3" t="s">
        <v>1905</v>
      </c>
      <c r="D247" s="3" t="s">
        <v>2087</v>
      </c>
      <c r="E247" s="3" t="s">
        <v>2507</v>
      </c>
      <c r="F247" s="3" t="s">
        <v>1790</v>
      </c>
      <c r="G247" s="3" t="s">
        <v>1908</v>
      </c>
      <c r="H247" s="5">
        <f t="shared" si="109"/>
        <v>45794</v>
      </c>
      <c r="I247" t="str">
        <f t="shared" si="110"/>
        <v>АРТ-113</v>
      </c>
      <c r="J247" s="6">
        <f t="shared" si="111"/>
        <v>1</v>
      </c>
      <c r="K247" s="4">
        <f>VALUE(SUBSTITUTE(SUBSTITUTE(SUBSTITUTE(SUBSTITUTE(D247,"$",""),"€",""),"₽","")," ",""))*IF(ISNUMBER(FIND("$",D247)),Справочники!$H$3,IF(ISNUMBER(FIND("€",D247)),Справочники!$H$4,1))</f>
        <v>9200</v>
      </c>
      <c r="L247" t="str">
        <f>IFERROR(VLOOKUP(TRIM(G247),Справочники!$D$3:$E$13,2,0),"Нет в справочнике")</f>
        <v>Завершен</v>
      </c>
      <c r="M247" t="str">
        <f t="shared" si="112"/>
        <v/>
      </c>
      <c r="N247" t="str">
        <f>IFERROR(VLOOKUP(I247,Товары_очищенные!$H$2:$J$502,3,0),"Нет в каталоге")</f>
        <v>Наушники</v>
      </c>
      <c r="O247" s="4">
        <f>IFERROR(VLOOKUP(I247,Товары_очищенные!$H$2:$M$502,6,0),"")</f>
        <v>33500</v>
      </c>
      <c r="P247" t="str">
        <f t="shared" si="113"/>
        <v xml:space="preserve">Цена отличается от каталога</v>
      </c>
    </row>
    <row r="248">
      <c r="A248" s="3" t="s">
        <v>2508</v>
      </c>
      <c r="B248" s="3" t="s">
        <v>2509</v>
      </c>
      <c r="C248" s="3" t="s">
        <v>1930</v>
      </c>
      <c r="D248" s="3" t="s">
        <v>1986</v>
      </c>
      <c r="E248" s="3" t="s">
        <v>2510</v>
      </c>
      <c r="F248" s="3" t="s">
        <v>1856</v>
      </c>
      <c r="G248" s="3" t="s">
        <v>1913</v>
      </c>
      <c r="H248" s="5">
        <f t="shared" si="109"/>
        <v>45795</v>
      </c>
      <c r="I248" t="str">
        <f t="shared" si="110"/>
        <v>АРТ-162</v>
      </c>
      <c r="J248" s="6">
        <f t="shared" si="111"/>
        <v>3</v>
      </c>
      <c r="K248" s="4">
        <f>VALUE(SUBSTITUTE(SUBSTITUTE(SUBSTITUTE(SUBSTITUTE(D248,"$",""),"€",""),"₽","")," ",""))*IF(ISNUMBER(FIND("$",D248)),Справочники!$H$3,IF(ISNUMBER(FIND("€",D248)),Справочники!$H$4,1))</f>
        <v>8550</v>
      </c>
      <c r="L248" t="str">
        <f>IFERROR(VLOOKUP(TRIM(G248),Справочники!$D$3:$E$13,2,0),"Нет в справочнике")</f>
        <v>Завершен</v>
      </c>
      <c r="M248" t="str">
        <f t="shared" si="112"/>
        <v/>
      </c>
      <c r="N248" t="str">
        <f>IFERROR(VLOOKUP(I248,Товары_очищенные!$H$2:$J$502,3,0),"Нет в каталоге")</f>
        <v>Аксессуары</v>
      </c>
      <c r="O248" s="4">
        <f>IFERROR(VLOOKUP(I248,Товары_очищенные!$H$2:$M$502,6,0),"")</f>
        <v>9500</v>
      </c>
      <c r="P248" t="str">
        <f t="shared" si="113"/>
        <v>ОК</v>
      </c>
    </row>
    <row r="249">
      <c r="A249" s="3" t="s">
        <v>2508</v>
      </c>
      <c r="B249" s="3" t="s">
        <v>2511</v>
      </c>
      <c r="C249" s="3" t="s">
        <v>1900</v>
      </c>
      <c r="D249" s="3" t="s">
        <v>1989</v>
      </c>
      <c r="E249" s="3" t="s">
        <v>2512</v>
      </c>
      <c r="F249" s="3" t="s">
        <v>1708</v>
      </c>
      <c r="G249" s="3" t="s">
        <v>1918</v>
      </c>
      <c r="H249" s="5">
        <f t="shared" si="109"/>
        <v>45795</v>
      </c>
      <c r="I249" t="str">
        <f t="shared" si="110"/>
        <v>АРТ-502</v>
      </c>
      <c r="J249" s="6">
        <f t="shared" si="111"/>
        <v>2</v>
      </c>
      <c r="K249" s="4">
        <f>VALUE(SUBSTITUTE(SUBSTITUTE(SUBSTITUTE(SUBSTITUTE(D249,"$",""),"€",""),"₽","")," ",""))*IF(ISNUMBER(FIND("$",D249)),Справочники!$H$3,IF(ISNUMBER(FIND("€",D249)),Справочники!$H$4,1))</f>
        <v>7000</v>
      </c>
      <c r="L249" t="str">
        <f>IFERROR(VLOOKUP(TRIM(G249),Справочники!$D$3:$E$13,2,0),"Нет в справочнике")</f>
        <v>Отменен</v>
      </c>
      <c r="M249" t="str">
        <f t="shared" si="112"/>
        <v/>
      </c>
      <c r="N249" t="str">
        <f>IFERROR(VLOOKUP(I249,Товары_очищенные!$H$2:$J$502,3,0),"Нет в каталоге")</f>
        <v xml:space="preserve">Нет в каталоге</v>
      </c>
      <c r="O249" s="4" t="str">
        <f>IFERROR(VLOOKUP(I249,Товары_очищенные!$H$2:$M$502,6,0),"")</f>
        <v/>
      </c>
      <c r="P249" t="str">
        <f t="shared" si="113"/>
        <v xml:space="preserve">Нет в каталоге</v>
      </c>
    </row>
    <row r="250">
      <c r="A250" s="3" t="s">
        <v>2513</v>
      </c>
      <c r="B250" s="3" t="s">
        <v>1053</v>
      </c>
      <c r="C250" s="3" t="s">
        <v>1938</v>
      </c>
      <c r="D250" s="3" t="s">
        <v>1939</v>
      </c>
      <c r="E250" s="3" t="s">
        <v>2514</v>
      </c>
      <c r="F250" s="3" t="s">
        <v>1838</v>
      </c>
      <c r="G250" s="3" t="s">
        <v>1924</v>
      </c>
      <c r="H250" s="5">
        <f t="shared" si="109"/>
        <v>45796</v>
      </c>
      <c r="I250" t="str">
        <f t="shared" si="110"/>
        <v>АРТ-285</v>
      </c>
      <c r="J250" s="6">
        <f t="shared" si="111"/>
        <v>1</v>
      </c>
      <c r="K250" s="4">
        <f>VALUE(SUBSTITUTE(SUBSTITUTE(SUBSTITUTE(SUBSTITUTE(D250,"$",""),"€",""),"₽","")," ",""))*IF(ISNUMBER(FIND("$",D250)),Справочники!$H$3,IF(ISNUMBER(FIND("€",D250)),Справочники!$H$4,1))</f>
        <v>6500</v>
      </c>
      <c r="L250" t="str">
        <f>IFERROR(VLOOKUP(TRIM(G250),Справочники!$D$3:$E$13,2,0),"Нет в справочнике")</f>
        <v>Отменен</v>
      </c>
      <c r="M250" t="str">
        <f t="shared" si="112"/>
        <v/>
      </c>
      <c r="N250" t="str">
        <f>IFERROR(VLOOKUP(I250,Товары_очищенные!$H$2:$J$502,3,0),"Нет в каталоге")</f>
        <v>Мониторы</v>
      </c>
      <c r="O250" s="4">
        <f>IFERROR(VLOOKUP(I250,Товары_очищенные!$H$2:$M$502,6,0),"")</f>
        <v>87500</v>
      </c>
      <c r="P250" t="str">
        <f t="shared" si="113"/>
        <v xml:space="preserve">Цена отличается от каталога</v>
      </c>
    </row>
    <row r="251">
      <c r="A251" s="3" t="s">
        <v>2513</v>
      </c>
      <c r="B251" s="3" t="s">
        <v>926</v>
      </c>
      <c r="C251" s="3" t="s">
        <v>1915</v>
      </c>
      <c r="D251" s="3" t="s">
        <v>1916</v>
      </c>
      <c r="E251" s="3" t="s">
        <v>2515</v>
      </c>
      <c r="F251" s="3" t="s">
        <v>1759</v>
      </c>
      <c r="G251" s="3" t="s">
        <v>1903</v>
      </c>
      <c r="H251" s="5">
        <f t="shared" si="109"/>
        <v>45796</v>
      </c>
      <c r="I251" t="str">
        <f t="shared" si="110"/>
        <v>АРТ-241</v>
      </c>
      <c r="J251" s="6">
        <f t="shared" si="111"/>
        <v>-1</v>
      </c>
      <c r="K251" s="4">
        <f>VALUE(SUBSTITUTE(SUBSTITUTE(SUBSTITUTE(SUBSTITUTE(D251,"$",""),"€",""),"₽","")," ",""))*IF(ISNUMBER(FIND("$",D251)),Справочники!$H$3,IF(ISNUMBER(FIND("€",D251)),Справочники!$H$4,1))</f>
        <v>10450</v>
      </c>
      <c r="L251" t="str">
        <f>IFERROR(VLOOKUP(TRIM(G251),Справочники!$D$3:$E$13,2,0),"Нет в справочнике")</f>
        <v>Завершен</v>
      </c>
      <c r="M251" t="str">
        <f t="shared" si="112"/>
        <v/>
      </c>
      <c r="N251" t="str">
        <f>IFERROR(VLOOKUP(I251,Товары_очищенные!$H$2:$J$502,3,0),"Нет в каталоге")</f>
        <v>Наушники</v>
      </c>
      <c r="O251" s="4">
        <f>IFERROR(VLOOKUP(I251,Товары_очищенные!$H$2:$M$502,6,0),"")</f>
        <v>59990</v>
      </c>
      <c r="P251" t="str">
        <f t="shared" si="113"/>
        <v xml:space="preserve">Цена отличается от каталога</v>
      </c>
    </row>
    <row r="252">
      <c r="A252" s="3" t="s">
        <v>2516</v>
      </c>
      <c r="B252" s="3" t="s">
        <v>2517</v>
      </c>
      <c r="C252" s="3" t="s">
        <v>1930</v>
      </c>
      <c r="D252" s="3" t="s">
        <v>1922</v>
      </c>
      <c r="E252" s="3" t="s">
        <v>2518</v>
      </c>
      <c r="F252" s="3" t="s">
        <v>1642</v>
      </c>
      <c r="G252" s="3" t="s">
        <v>1927</v>
      </c>
      <c r="H252" s="5">
        <f t="shared" si="109"/>
        <v>45797</v>
      </c>
      <c r="I252" t="str">
        <f t="shared" si="110"/>
        <v>АРТ-361</v>
      </c>
      <c r="J252" s="6">
        <f t="shared" si="111"/>
        <v>3</v>
      </c>
      <c r="K252" s="4">
        <f>VALUE(SUBSTITUTE(SUBSTITUTE(SUBSTITUTE(SUBSTITUTE(D252,"$",""),"€",""),"₽","")," ",""))*IF(ISNUMBER(FIND("$",D252)),Справочники!$H$3,IF(ISNUMBER(FIND("€",D252)),Справочники!$H$4,1))</f>
        <v>9000</v>
      </c>
      <c r="L252" t="str">
        <f>IFERROR(VLOOKUP(TRIM(G252),Справочники!$D$3:$E$13,2,0),"Нет в справочнике")</f>
        <v>Возврат</v>
      </c>
      <c r="M252" t="str">
        <f t="shared" si="112"/>
        <v/>
      </c>
      <c r="N252" t="str">
        <f>IFERROR(VLOOKUP(I252,Товары_очищенные!$H$2:$J$502,3,0),"Нет в каталоге")</f>
        <v>Ноутбуки</v>
      </c>
      <c r="O252" s="4">
        <f>IFERROR(VLOOKUP(I252,Товары_очищенные!$H$2:$M$502,6,0),"")</f>
        <v>145990</v>
      </c>
      <c r="P252" t="str">
        <f t="shared" si="113"/>
        <v xml:space="preserve">Цена отличается от каталога</v>
      </c>
    </row>
    <row r="253">
      <c r="A253" s="3" t="s">
        <v>2516</v>
      </c>
      <c r="B253" s="3" t="s">
        <v>2519</v>
      </c>
      <c r="C253" s="3" t="s">
        <v>1900</v>
      </c>
      <c r="D253" s="3" t="s">
        <v>1925</v>
      </c>
      <c r="E253" s="3" t="s">
        <v>2520</v>
      </c>
      <c r="F253" s="3" t="s">
        <v>1608</v>
      </c>
      <c r="G253" s="3" t="s">
        <v>1908</v>
      </c>
      <c r="H253" s="5">
        <f t="shared" si="109"/>
        <v>45797</v>
      </c>
      <c r="I253" t="str">
        <f t="shared" si="110"/>
        <v>АРТ-075</v>
      </c>
      <c r="J253" s="6">
        <f t="shared" si="111"/>
        <v>2</v>
      </c>
      <c r="K253" s="4">
        <f>VALUE(SUBSTITUTE(SUBSTITUTE(SUBSTITUTE(SUBSTITUTE(D253,"$",""),"€",""),"₽","")," ",""))*IF(ISNUMBER(FIND("$",D253)),Справочники!$H$3,IF(ISNUMBER(FIND("€",D253)),Справочники!$H$4,1))</f>
        <v>8000</v>
      </c>
      <c r="L253" t="str">
        <f>IFERROR(VLOOKUP(TRIM(G253),Справочники!$D$3:$E$13,2,0),"Нет в справочнике")</f>
        <v>Завершен</v>
      </c>
      <c r="M253" t="str">
        <f t="shared" si="112"/>
        <v/>
      </c>
      <c r="N253" t="str">
        <f>IFERROR(VLOOKUP(I253,Товары_очищенные!$H$2:$J$502,3,0),"Нет в каталоге")</f>
        <v>Мониторы</v>
      </c>
      <c r="O253" s="4">
        <f>IFERROR(VLOOKUP(I253,Товары_очищенные!$H$2:$M$502,6,0),"")</f>
        <v>82000</v>
      </c>
      <c r="P253" t="str">
        <f t="shared" si="113"/>
        <v xml:space="preserve">Цена отличается от каталога</v>
      </c>
    </row>
    <row r="254">
      <c r="A254" s="3" t="s">
        <v>2521</v>
      </c>
      <c r="B254" s="3" t="s">
        <v>36</v>
      </c>
      <c r="C254" s="3" t="s">
        <v>1905</v>
      </c>
      <c r="D254" s="3" t="s">
        <v>1964</v>
      </c>
      <c r="E254" s="3" t="s">
        <v>2522</v>
      </c>
      <c r="F254" s="3" t="s">
        <v>1715</v>
      </c>
      <c r="G254" s="3" t="s">
        <v>1913</v>
      </c>
      <c r="H254" s="5">
        <f t="shared" si="109"/>
        <v>45798</v>
      </c>
      <c r="I254" t="str">
        <f t="shared" si="110"/>
        <v>АРТ-004</v>
      </c>
      <c r="J254" s="6">
        <f t="shared" si="111"/>
        <v>1</v>
      </c>
      <c r="K254" s="4">
        <f>VALUE(SUBSTITUTE(SUBSTITUTE(SUBSTITUTE(SUBSTITUTE(D254,"$",""),"€",""),"₽","")," ",""))*IF(ISNUMBER(FIND("$",D254)),Справочники!$H$3,IF(ISNUMBER(FIND("€",D254)),Справочники!$H$4,1))</f>
        <v>9025</v>
      </c>
      <c r="L254" t="str">
        <f>IFERROR(VLOOKUP(TRIM(G254),Справочники!$D$3:$E$13,2,0),"Нет в справочнике")</f>
        <v>Завершен</v>
      </c>
      <c r="M254" t="str">
        <f t="shared" si="112"/>
        <v/>
      </c>
      <c r="N254" t="str">
        <f>IFERROR(VLOOKUP(I254,Товары_очищенные!$H$2:$J$502,3,0),"Нет в каталоге")</f>
        <v>Ноутбуки</v>
      </c>
      <c r="O254" s="4">
        <f>IFERROR(VLOOKUP(I254,Товары_очищенные!$H$2:$M$502,6,0),"")</f>
        <v>129999.99000000001</v>
      </c>
      <c r="P254" t="str">
        <f t="shared" si="113"/>
        <v xml:space="preserve">Цена отличается от каталога</v>
      </c>
    </row>
    <row r="255">
      <c r="A255" s="3" t="s">
        <v>2521</v>
      </c>
      <c r="B255" s="3" t="s">
        <v>2523</v>
      </c>
      <c r="C255" s="3" t="s">
        <v>1900</v>
      </c>
      <c r="D255" s="3" t="s">
        <v>1968</v>
      </c>
      <c r="E255" s="3" t="s">
        <v>2524</v>
      </c>
      <c r="F255" s="3" t="s">
        <v>1850</v>
      </c>
      <c r="G255" s="3" t="s">
        <v>1903</v>
      </c>
      <c r="H255" s="5">
        <f t="shared" si="109"/>
        <v>45798</v>
      </c>
      <c r="I255" t="str">
        <f t="shared" si="110"/>
        <v>АРТ-483</v>
      </c>
      <c r="J255" s="6">
        <f t="shared" si="111"/>
        <v>2</v>
      </c>
      <c r="K255" s="4">
        <f>VALUE(SUBSTITUTE(SUBSTITUTE(SUBSTITUTE(SUBSTITUTE(D255,"$",""),"€",""),"₽","")," ",""))*IF(ISNUMBER(FIND("$",D255)),Справочники!$H$3,IF(ISNUMBER(FIND("€",D255)),Справочники!$H$4,1))</f>
        <v>7500</v>
      </c>
      <c r="L255" t="str">
        <f>IFERROR(VLOOKUP(TRIM(G255),Справочники!$D$3:$E$13,2,0),"Нет в справочнике")</f>
        <v>Завершен</v>
      </c>
      <c r="M255" t="str">
        <f t="shared" si="112"/>
        <v/>
      </c>
      <c r="N255" t="str">
        <f>IFERROR(VLOOKUP(I255,Товары_очищенные!$H$2:$J$502,3,0),"Нет в каталоге")</f>
        <v>Планшеты</v>
      </c>
      <c r="O255" s="4">
        <f>IFERROR(VLOOKUP(I255,Товары_очищенные!$H$2:$M$502,6,0),"")</f>
        <v>41500</v>
      </c>
      <c r="P255" t="str">
        <f t="shared" si="113"/>
        <v xml:space="preserve">Цена отличается от каталога</v>
      </c>
    </row>
    <row r="256">
      <c r="A256" s="3" t="s">
        <v>2525</v>
      </c>
      <c r="B256" s="3" t="s">
        <v>2526</v>
      </c>
      <c r="C256" s="3" t="s">
        <v>1910</v>
      </c>
      <c r="D256" s="3" t="s">
        <v>1971</v>
      </c>
      <c r="E256" s="3" t="s">
        <v>2527</v>
      </c>
      <c r="F256" s="3" t="s">
        <v>1615</v>
      </c>
      <c r="G256" s="3" t="s">
        <v>1924</v>
      </c>
      <c r="H256" s="5">
        <f t="shared" si="109"/>
        <v>45799</v>
      </c>
      <c r="I256" t="str">
        <f t="shared" si="110"/>
        <v>АРТ-346</v>
      </c>
      <c r="J256" s="6">
        <f t="shared" si="111"/>
        <v>3</v>
      </c>
      <c r="K256" s="4">
        <f>VALUE(SUBSTITUTE(SUBSTITUTE(SUBSTITUTE(SUBSTITUTE(D256,"$",""),"€",""),"₽","")," ",""))*IF(ISNUMBER(FIND("$",D256)),Справочники!$H$3,IF(ISNUMBER(FIND("€",D256)),Справочники!$H$4,1))</f>
        <v>7000</v>
      </c>
      <c r="L256" t="str">
        <f>IFERROR(VLOOKUP(TRIM(G256),Справочники!$D$3:$E$13,2,0),"Нет в справочнике")</f>
        <v>Отменен</v>
      </c>
      <c r="M256" t="str">
        <f t="shared" si="112"/>
        <v/>
      </c>
      <c r="N256" t="str">
        <f>IFERROR(VLOOKUP(I256,Товары_очищенные!$H$2:$J$502,3,0),"Нет в каталоге")</f>
        <v>Наушники</v>
      </c>
      <c r="O256" s="4">
        <f>IFERROR(VLOOKUP(I256,Товары_очищенные!$H$2:$M$502,6,0),"")</f>
        <v>19990</v>
      </c>
      <c r="P256" t="str">
        <f t="shared" si="113"/>
        <v xml:space="preserve">Цена отличается от каталога</v>
      </c>
    </row>
    <row r="257">
      <c r="A257" s="3" t="s">
        <v>2525</v>
      </c>
      <c r="B257" s="3" t="s">
        <v>2528</v>
      </c>
      <c r="C257" s="3" t="s">
        <v>1942</v>
      </c>
      <c r="D257" s="3" t="s">
        <v>1943</v>
      </c>
      <c r="E257" s="3" t="s">
        <v>2529</v>
      </c>
      <c r="F257" s="3" t="s">
        <v>1765</v>
      </c>
      <c r="G257" s="3" t="s">
        <v>1918</v>
      </c>
      <c r="H257" s="5">
        <f t="shared" si="109"/>
        <v>45799</v>
      </c>
      <c r="I257" t="str">
        <f t="shared" si="110"/>
        <v>АРТ-374</v>
      </c>
      <c r="J257" s="6">
        <f t="shared" si="111"/>
        <v>-2</v>
      </c>
      <c r="K257" s="4">
        <f>VALUE(SUBSTITUTE(SUBSTITUTE(SUBSTITUTE(SUBSTITUTE(D257,"$",""),"€",""),"₽","")," ",""))*IF(ISNUMBER(FIND("$",D257)),Справочники!$H$3,IF(ISNUMBER(FIND("€",D257)),Справочники!$H$4,1))</f>
        <v>10925</v>
      </c>
      <c r="L257" t="str">
        <f>IFERROR(VLOOKUP(TRIM(G257),Справочники!$D$3:$E$13,2,0),"Нет в справочнике")</f>
        <v>Отменен</v>
      </c>
      <c r="M257" t="str">
        <f t="shared" si="112"/>
        <v/>
      </c>
      <c r="N257" t="str">
        <f>IFERROR(VLOOKUP(I257,Товары_очищенные!$H$2:$J$502,3,0),"Нет в каталоге")</f>
        <v>Аксессуары</v>
      </c>
      <c r="O257" s="4">
        <f>IFERROR(VLOOKUP(I257,Товары_очищенные!$H$2:$M$502,6,0),"")</f>
        <v>13500</v>
      </c>
      <c r="P257" t="str">
        <f t="shared" si="113"/>
        <v>ОК</v>
      </c>
    </row>
    <row r="258">
      <c r="A258" s="3" t="s">
        <v>2530</v>
      </c>
      <c r="B258" s="3" t="s">
        <v>914</v>
      </c>
      <c r="C258" s="3" t="s">
        <v>1905</v>
      </c>
      <c r="D258" s="3" t="s">
        <v>1934</v>
      </c>
      <c r="E258" s="3" t="s">
        <v>2531</v>
      </c>
      <c r="F258" s="3" t="s">
        <v>1688</v>
      </c>
      <c r="G258" s="3" t="s">
        <v>1927</v>
      </c>
      <c r="H258" s="5">
        <f t="shared" si="109"/>
        <v>45800</v>
      </c>
      <c r="I258" t="str">
        <f t="shared" si="110"/>
        <v>АРТ-236</v>
      </c>
      <c r="J258" s="6">
        <f t="shared" si="111"/>
        <v>1</v>
      </c>
      <c r="K258" s="4">
        <f>VALUE(SUBSTITUTE(SUBSTITUTE(SUBSTITUTE(SUBSTITUTE(D258,"$",""),"€",""),"₽","")," ",""))*IF(ISNUMBER(FIND("$",D258)),Справочники!$H$3,IF(ISNUMBER(FIND("€",D258)),Справочники!$H$4,1))</f>
        <v>9500</v>
      </c>
      <c r="L258" t="str">
        <f>IFERROR(VLOOKUP(TRIM(G258),Справочники!$D$3:$E$13,2,0),"Нет в справочнике")</f>
        <v>Возврат</v>
      </c>
      <c r="M258" t="str">
        <f t="shared" si="112"/>
        <v/>
      </c>
      <c r="N258" t="str">
        <f>IFERROR(VLOOKUP(I258,Товары_очищенные!$H$2:$J$502,3,0),"Нет в каталоге")</f>
        <v>Планшеты</v>
      </c>
      <c r="O258" s="4">
        <f>IFERROR(VLOOKUP(I258,Товары_очищенные!$H$2:$M$502,6,0),"")</f>
        <v>58000</v>
      </c>
      <c r="P258" t="str">
        <f t="shared" si="113"/>
        <v xml:space="preserve">Цена отличается от каталога</v>
      </c>
    </row>
    <row r="259">
      <c r="A259" s="3" t="s">
        <v>2530</v>
      </c>
      <c r="B259" s="3" t="s">
        <v>2532</v>
      </c>
      <c r="C259" s="3" t="s">
        <v>1900</v>
      </c>
      <c r="D259" s="3" t="s">
        <v>1951</v>
      </c>
      <c r="E259" s="3" t="s">
        <v>2533</v>
      </c>
      <c r="F259" s="3" t="s">
        <v>1832</v>
      </c>
      <c r="G259" s="3" t="s">
        <v>1903</v>
      </c>
      <c r="H259" s="5">
        <f t="shared" si="109"/>
        <v>45800</v>
      </c>
      <c r="I259" t="str">
        <f t="shared" si="110"/>
        <v>АРТ-189</v>
      </c>
      <c r="J259" s="6">
        <f t="shared" si="111"/>
        <v>2</v>
      </c>
      <c r="K259" s="4">
        <f>VALUE(SUBSTITUTE(SUBSTITUTE(SUBSTITUTE(SUBSTITUTE(D259,"$",""),"€",""),"₽","")," ",""))*IF(ISNUMBER(FIND("$",D259)),Справочники!$H$3,IF(ISNUMBER(FIND("€",D259)),Справочники!$H$4,1))</f>
        <v>8500</v>
      </c>
      <c r="L259" t="str">
        <f>IFERROR(VLOOKUP(TRIM(G259),Справочники!$D$3:$E$13,2,0),"Нет в справочнике")</f>
        <v>Завершен</v>
      </c>
      <c r="M259" t="str">
        <f t="shared" si="112"/>
        <v/>
      </c>
      <c r="N259" t="str">
        <f>IFERROR(VLOOKUP(I259,Товары_очищенные!$H$2:$J$502,3,0),"Нет в каталоге")</f>
        <v>Часы</v>
      </c>
      <c r="O259" s="4">
        <f>IFERROR(VLOOKUP(I259,Товары_очищенные!$H$2:$M$502,6,0),"")</f>
        <v>51500</v>
      </c>
      <c r="P259" t="str">
        <f t="shared" si="113"/>
        <v xml:space="preserve">Цена отличается от каталога</v>
      </c>
    </row>
    <row r="260">
      <c r="A260" s="3" t="s">
        <v>2534</v>
      </c>
      <c r="B260" s="3" t="s">
        <v>2535</v>
      </c>
      <c r="C260" s="3" t="s">
        <v>1930</v>
      </c>
      <c r="D260" s="3" t="s">
        <v>1931</v>
      </c>
      <c r="E260" s="3" t="s">
        <v>2536</v>
      </c>
      <c r="F260" s="3" t="s">
        <v>1594</v>
      </c>
      <c r="G260" s="3" t="s">
        <v>1908</v>
      </c>
      <c r="H260" s="5">
        <f t="shared" si="109"/>
        <v>45801</v>
      </c>
      <c r="I260" t="str">
        <f t="shared" si="110"/>
        <v>АРТ-102</v>
      </c>
      <c r="J260" s="6">
        <f t="shared" si="111"/>
        <v>3</v>
      </c>
      <c r="K260" s="4">
        <f>VALUE(SUBSTITUTE(SUBSTITUTE(SUBSTITUTE(SUBSTITUTE(D260,"$",""),"€",""),"₽","")," ",""))*IF(ISNUMBER(FIND("$",D260)),Справочники!$H$3,IF(ISNUMBER(FIND("€",D260)),Справочники!$H$4,1))</f>
        <v>9975</v>
      </c>
      <c r="L260" t="str">
        <f>IFERROR(VLOOKUP(TRIM(G260),Справочники!$D$3:$E$13,2,0),"Нет в справочнике")</f>
        <v>Завершен</v>
      </c>
      <c r="M260" t="str">
        <f t="shared" si="112"/>
        <v/>
      </c>
      <c r="N260" t="str">
        <f>IFERROR(VLOOKUP(I260,Товары_очищенные!$H$2:$J$502,3,0),"Нет в каталоге")</f>
        <v>Планшеты</v>
      </c>
      <c r="O260" s="4">
        <f>IFERROR(VLOOKUP(I260,Товары_очищенные!$H$2:$M$502,6,0),"")</f>
        <v>58500</v>
      </c>
      <c r="P260" t="str">
        <f t="shared" si="113"/>
        <v xml:space="preserve">Цена отличается от каталога</v>
      </c>
    </row>
    <row r="261">
      <c r="A261" s="3" t="s">
        <v>2534</v>
      </c>
      <c r="B261" s="3" t="s">
        <v>2537</v>
      </c>
      <c r="C261" s="3" t="s">
        <v>1900</v>
      </c>
      <c r="D261" s="3" t="s">
        <v>1906</v>
      </c>
      <c r="E261" s="3" t="s">
        <v>2538</v>
      </c>
      <c r="F261" s="3" t="s">
        <v>1796</v>
      </c>
      <c r="G261" s="3" t="s">
        <v>1913</v>
      </c>
      <c r="H261" s="5">
        <f t="shared" si="109"/>
        <v>45801</v>
      </c>
      <c r="I261" t="str">
        <f t="shared" si="110"/>
        <v>АРТ-451</v>
      </c>
      <c r="J261" s="6">
        <f t="shared" si="111"/>
        <v>2</v>
      </c>
      <c r="K261" s="4">
        <f>VALUE(SUBSTITUTE(SUBSTITUTE(SUBSTITUTE(SUBSTITUTE(D261,"$",""),"€",""),"₽","")," ",""))*IF(ISNUMBER(FIND("$",D261)),Справочники!$H$3,IF(ISNUMBER(FIND("€",D261)),Справочники!$H$4,1))</f>
        <v>8500</v>
      </c>
      <c r="L261" t="str">
        <f>IFERROR(VLOOKUP(TRIM(G261),Справочники!$D$3:$E$13,2,0),"Нет в справочнике")</f>
        <v>Завершен</v>
      </c>
      <c r="M261" t="str">
        <f t="shared" si="112"/>
        <v/>
      </c>
      <c r="N261" t="str">
        <f>IFERROR(VLOOKUP(I261,Товары_очищенные!$H$2:$J$502,3,0),"Нет в каталоге")</f>
        <v>Наушники</v>
      </c>
      <c r="O261" s="4">
        <f>IFERROR(VLOOKUP(I261,Товары_очищенные!$H$2:$M$502,6,0),"")</f>
        <v>39990</v>
      </c>
      <c r="P261" t="str">
        <f t="shared" si="113"/>
        <v xml:space="preserve">Цена отличается от каталога</v>
      </c>
    </row>
    <row r="262">
      <c r="A262" s="3" t="s">
        <v>2539</v>
      </c>
      <c r="B262" s="3" t="s">
        <v>2540</v>
      </c>
      <c r="C262" s="3" t="s">
        <v>1938</v>
      </c>
      <c r="D262" s="3" t="s">
        <v>2166</v>
      </c>
      <c r="E262" s="3" t="s">
        <v>2541</v>
      </c>
      <c r="F262" s="3" t="s">
        <v>1656</v>
      </c>
      <c r="G262" s="3" t="s">
        <v>1918</v>
      </c>
      <c r="H262" s="5">
        <f t="shared" si="109"/>
        <v>45802</v>
      </c>
      <c r="I262" t="str">
        <f t="shared" si="110"/>
        <v>АРТ-312</v>
      </c>
      <c r="J262" s="6">
        <f t="shared" si="111"/>
        <v>1</v>
      </c>
      <c r="K262" s="4">
        <f>VALUE(SUBSTITUTE(SUBSTITUTE(SUBSTITUTE(SUBSTITUTE(D262,"$",""),"€",""),"₽","")," ",""))*IF(ISNUMBER(FIND("$",D262)),Справочники!$H$3,IF(ISNUMBER(FIND("€",D262)),Справочники!$H$4,1))</f>
        <v>7800</v>
      </c>
      <c r="L262" t="str">
        <f>IFERROR(VLOOKUP(TRIM(G262),Справочники!$D$3:$E$13,2,0),"Нет в справочнике")</f>
        <v>Отменен</v>
      </c>
      <c r="M262" t="str">
        <f t="shared" si="112"/>
        <v/>
      </c>
      <c r="N262" t="str">
        <f>IFERROR(VLOOKUP(I262,Товары_очищенные!$H$2:$J$502,3,0),"Нет в каталоге")</f>
        <v>Планшеты</v>
      </c>
      <c r="O262" s="4">
        <f>IFERROR(VLOOKUP(I262,Товары_очищенные!$H$2:$M$502,6,0),"")</f>
        <v>67000</v>
      </c>
      <c r="P262" t="str">
        <f t="shared" si="113"/>
        <v xml:space="preserve">Цена отличается от каталога</v>
      </c>
    </row>
    <row r="263">
      <c r="A263" s="3" t="s">
        <v>2539</v>
      </c>
      <c r="B263" s="3" t="s">
        <v>1224</v>
      </c>
      <c r="C263" s="3" t="s">
        <v>1985</v>
      </c>
      <c r="D263" s="3" t="s">
        <v>2044</v>
      </c>
      <c r="E263" s="3" t="s">
        <v>2542</v>
      </c>
      <c r="F263" s="3" t="s">
        <v>1746</v>
      </c>
      <c r="G263" s="3" t="s">
        <v>1924</v>
      </c>
      <c r="H263" s="5">
        <f t="shared" si="109"/>
        <v>45802</v>
      </c>
      <c r="I263" t="str">
        <f t="shared" si="110"/>
        <v>АРТ-352</v>
      </c>
      <c r="J263" s="6">
        <f t="shared" si="111"/>
        <v>-3</v>
      </c>
      <c r="K263" s="4">
        <f>VALUE(SUBSTITUTE(SUBSTITUTE(SUBSTITUTE(SUBSTITUTE(D263,"$",""),"€",""),"₽","")," ",""))*IF(ISNUMBER(FIND("$",D263)),Справочники!$H$3,IF(ISNUMBER(FIND("€",D263)),Справочники!$H$4,1))</f>
        <v>11400</v>
      </c>
      <c r="L263" t="str">
        <f>IFERROR(VLOOKUP(TRIM(G263),Справочники!$D$3:$E$13,2,0),"Нет в справочнике")</f>
        <v>Отменен</v>
      </c>
      <c r="M263" t="str">
        <f t="shared" si="112"/>
        <v/>
      </c>
      <c r="N263" t="str">
        <f>IFERROR(VLOOKUP(I263,Товары_очищенные!$H$2:$J$502,3,0),"Нет в каталоге")</f>
        <v>Аксессуары</v>
      </c>
      <c r="O263" s="4">
        <f>IFERROR(VLOOKUP(I263,Товары_очищенные!$H$2:$M$502,6,0),"")</f>
        <v>6990</v>
      </c>
      <c r="P263" t="str">
        <f t="shared" si="113"/>
        <v xml:space="preserve">Цена отличается от каталога</v>
      </c>
    </row>
    <row r="264">
      <c r="A264" s="3" t="s">
        <v>2543</v>
      </c>
      <c r="B264" s="3" t="s">
        <v>2544</v>
      </c>
      <c r="C264" s="3" t="s">
        <v>1900</v>
      </c>
      <c r="D264" s="3" t="s">
        <v>2046</v>
      </c>
      <c r="E264" s="3" t="s">
        <v>2545</v>
      </c>
      <c r="F264" s="3" t="s">
        <v>1622</v>
      </c>
      <c r="G264" s="3" t="s">
        <v>1903</v>
      </c>
      <c r="H264" s="5">
        <f t="shared" si="109"/>
        <v>45803</v>
      </c>
      <c r="I264" t="str">
        <f t="shared" si="110"/>
        <v>АРТ-283</v>
      </c>
      <c r="J264" s="6">
        <f t="shared" si="111"/>
        <v>2</v>
      </c>
      <c r="K264" s="4">
        <f>VALUE(SUBSTITUTE(SUBSTITUTE(SUBSTITUTE(SUBSTITUTE(D264,"$",""),"€",""),"₽","")," ",""))*IF(ISNUMBER(FIND("$",D264)),Справочники!$H$3,IF(ISNUMBER(FIND("€",D264)),Справочники!$H$4,1))</f>
        <v>10000</v>
      </c>
      <c r="L264" t="str">
        <f>IFERROR(VLOOKUP(TRIM(G264),Справочники!$D$3:$E$13,2,0),"Нет в справочнике")</f>
        <v>Завершен</v>
      </c>
      <c r="M264" t="str">
        <f t="shared" si="112"/>
        <v/>
      </c>
      <c r="N264" t="str">
        <f>IFERROR(VLOOKUP(I264,Товары_очищенные!$H$2:$J$502,3,0),"Нет в каталоге")</f>
        <v>Мониторы</v>
      </c>
      <c r="O264" s="4">
        <f>IFERROR(VLOOKUP(I264,Товары_очищенные!$H$2:$M$502,6,0),"")</f>
        <v>84990</v>
      </c>
      <c r="P264" t="str">
        <f t="shared" si="113"/>
        <v xml:space="preserve">Цена отличается от каталога</v>
      </c>
    </row>
    <row r="265">
      <c r="A265" s="3" t="s">
        <v>2543</v>
      </c>
      <c r="B265" s="3" t="s">
        <v>2281</v>
      </c>
      <c r="C265" s="3" t="s">
        <v>1905</v>
      </c>
      <c r="D265" s="3" t="s">
        <v>2087</v>
      </c>
      <c r="E265" s="3" t="s">
        <v>2546</v>
      </c>
      <c r="F265" s="3" t="s">
        <v>1826</v>
      </c>
      <c r="G265" s="3" t="s">
        <v>1927</v>
      </c>
      <c r="H265" s="5">
        <f t="shared" si="109"/>
        <v>45803</v>
      </c>
      <c r="I265" t="str">
        <f t="shared" si="110"/>
        <v>АРТ-112</v>
      </c>
      <c r="J265" s="6">
        <f t="shared" si="111"/>
        <v>1</v>
      </c>
      <c r="K265" s="4">
        <f>VALUE(SUBSTITUTE(SUBSTITUTE(SUBSTITUTE(SUBSTITUTE(D265,"$",""),"€",""),"₽","")," ",""))*IF(ISNUMBER(FIND("$",D265)),Справочники!$H$3,IF(ISNUMBER(FIND("€",D265)),Справочники!$H$4,1))</f>
        <v>9200</v>
      </c>
      <c r="L265" t="str">
        <f>IFERROR(VLOOKUP(TRIM(G265),Справочники!$D$3:$E$13,2,0),"Нет в справочнике")</f>
        <v>Возврат</v>
      </c>
      <c r="M265" t="str">
        <f t="shared" si="112"/>
        <v/>
      </c>
      <c r="N265" t="str">
        <f>IFERROR(VLOOKUP(I265,Товары_очищенные!$H$2:$J$502,3,0),"Нет в каталоге")</f>
        <v>Наушники</v>
      </c>
      <c r="O265" s="4">
        <f>IFERROR(VLOOKUP(I265,Товары_очищенные!$H$2:$M$502,6,0),"")</f>
        <v>34990</v>
      </c>
      <c r="P265" t="str">
        <f t="shared" si="113"/>
        <v xml:space="preserve">Цена отличается от каталога</v>
      </c>
    </row>
    <row r="266">
      <c r="A266" s="3" t="s">
        <v>2547</v>
      </c>
      <c r="B266" s="3" t="s">
        <v>706</v>
      </c>
      <c r="C266" s="3" t="s">
        <v>1930</v>
      </c>
      <c r="D266" s="3" t="s">
        <v>1986</v>
      </c>
      <c r="E266" s="3" t="s">
        <v>2548</v>
      </c>
      <c r="F266" s="3" t="s">
        <v>1676</v>
      </c>
      <c r="G266" s="3" t="s">
        <v>1908</v>
      </c>
      <c r="H266" s="5">
        <f t="shared" si="109"/>
        <v>45804</v>
      </c>
      <c r="I266" t="str">
        <f t="shared" si="110"/>
        <v>АРТ-169</v>
      </c>
      <c r="J266" s="6">
        <f t="shared" si="111"/>
        <v>3</v>
      </c>
      <c r="K266" s="4">
        <f>VALUE(SUBSTITUTE(SUBSTITUTE(SUBSTITUTE(SUBSTITUTE(D266,"$",""),"€",""),"₽","")," ",""))*IF(ISNUMBER(FIND("$",D266)),Справочники!$H$3,IF(ISNUMBER(FIND("€",D266)),Справочники!$H$4,1))</f>
        <v>8550</v>
      </c>
      <c r="L266" t="str">
        <f>IFERROR(VLOOKUP(TRIM(G266),Справочники!$D$3:$E$13,2,0),"Нет в справочнике")</f>
        <v>Завершен</v>
      </c>
      <c r="M266" t="str">
        <f t="shared" si="112"/>
        <v/>
      </c>
      <c r="N266" t="str">
        <f>IFERROR(VLOOKUP(I266,Товары_очищенные!$H$2:$J$502,3,0),"Нет в каталоге")</f>
        <v>Смартфоны</v>
      </c>
      <c r="O266" s="4">
        <f>IFERROR(VLOOKUP(I266,Товары_очищенные!$H$2:$M$502,6,0),"")</f>
        <v>57990</v>
      </c>
      <c r="P266" t="str">
        <f t="shared" si="113"/>
        <v xml:space="preserve">Цена отличается от каталога</v>
      </c>
    </row>
    <row r="267">
      <c r="A267" s="3" t="s">
        <v>2547</v>
      </c>
      <c r="B267" s="3" t="s">
        <v>2075</v>
      </c>
      <c r="C267" s="3" t="s">
        <v>1900</v>
      </c>
      <c r="D267" s="3" t="s">
        <v>1989</v>
      </c>
      <c r="E267" s="3" t="s">
        <v>2549</v>
      </c>
      <c r="F267" s="3" t="s">
        <v>1772</v>
      </c>
      <c r="G267" s="3" t="s">
        <v>1913</v>
      </c>
      <c r="H267" s="5">
        <f t="shared" si="109"/>
        <v>45804</v>
      </c>
      <c r="I267" t="str">
        <f t="shared" si="110"/>
        <v>АРТ-492</v>
      </c>
      <c r="J267" s="6">
        <f t="shared" si="111"/>
        <v>2</v>
      </c>
      <c r="K267" s="4">
        <f>VALUE(SUBSTITUTE(SUBSTITUTE(SUBSTITUTE(SUBSTITUTE(D267,"$",""),"€",""),"₽","")," ",""))*IF(ISNUMBER(FIND("$",D267)),Справочники!$H$3,IF(ISNUMBER(FIND("€",D267)),Справочники!$H$4,1))</f>
        <v>7000</v>
      </c>
      <c r="L267" t="str">
        <f>IFERROR(VLOOKUP(TRIM(G267),Справочники!$D$3:$E$13,2,0),"Нет в справочнике")</f>
        <v>Завершен</v>
      </c>
      <c r="M267" t="str">
        <f t="shared" si="112"/>
        <v/>
      </c>
      <c r="N267" t="str">
        <f>IFERROR(VLOOKUP(I267,Товары_очищенные!$H$2:$J$502,3,0),"Нет в каталоге")</f>
        <v>Телевизоры</v>
      </c>
      <c r="O267" s="4">
        <f>IFERROR(VLOOKUP(I267,Товары_очищенные!$H$2:$M$502,6,0),"")</f>
        <v>64000</v>
      </c>
      <c r="P267" t="str">
        <f t="shared" si="113"/>
        <v xml:space="preserve">Цена отличается от каталога</v>
      </c>
    </row>
    <row r="268">
      <c r="A268" s="3" t="s">
        <v>2550</v>
      </c>
      <c r="B268" s="3" t="s">
        <v>2551</v>
      </c>
      <c r="C268" s="3" t="s">
        <v>1938</v>
      </c>
      <c r="D268" s="3" t="s">
        <v>1939</v>
      </c>
      <c r="E268" s="3" t="s">
        <v>2552</v>
      </c>
      <c r="F268" s="3" t="s">
        <v>1874</v>
      </c>
      <c r="G268" s="3" t="s">
        <v>1903</v>
      </c>
      <c r="H268" s="5">
        <f t="shared" si="109"/>
        <v>45805</v>
      </c>
      <c r="I268" t="str">
        <f t="shared" si="110"/>
        <v>АРТ-311</v>
      </c>
      <c r="J268" s="6">
        <f t="shared" si="111"/>
        <v>1</v>
      </c>
      <c r="K268" s="4">
        <f>VALUE(SUBSTITUTE(SUBSTITUTE(SUBSTITUTE(SUBSTITUTE(D268,"$",""),"€",""),"₽","")," ",""))*IF(ISNUMBER(FIND("$",D268)),Справочники!$H$3,IF(ISNUMBER(FIND("€",D268)),Справочники!$H$4,1))</f>
        <v>6500</v>
      </c>
      <c r="L268" t="str">
        <f>IFERROR(VLOOKUP(TRIM(G268),Справочники!$D$3:$E$13,2,0),"Нет в справочнике")</f>
        <v>Завершен</v>
      </c>
      <c r="M268" t="str">
        <f t="shared" si="112"/>
        <v/>
      </c>
      <c r="N268" t="str">
        <f>IFERROR(VLOOKUP(I268,Товары_очищенные!$H$2:$J$502,3,0),"Нет в каталоге")</f>
        <v>Планшеты</v>
      </c>
      <c r="O268" s="4">
        <f>IFERROR(VLOOKUP(I268,Товары_очищенные!$H$2:$M$502,6,0),"")</f>
        <v>62500</v>
      </c>
      <c r="P268" t="str">
        <f t="shared" si="113"/>
        <v xml:space="preserve">Цена отличается от каталога</v>
      </c>
    </row>
    <row r="269">
      <c r="A269" s="3" t="s">
        <v>2550</v>
      </c>
      <c r="B269" s="3" t="s">
        <v>1350</v>
      </c>
      <c r="C269" s="3" t="s">
        <v>1915</v>
      </c>
      <c r="D269" s="3" t="s">
        <v>1916</v>
      </c>
      <c r="E269" s="3" t="s">
        <v>2553</v>
      </c>
      <c r="F269" s="3" t="s">
        <v>1601</v>
      </c>
      <c r="G269" s="3" t="s">
        <v>1924</v>
      </c>
      <c r="H269" s="5">
        <f t="shared" si="109"/>
        <v>45805</v>
      </c>
      <c r="I269" t="str">
        <f t="shared" si="110"/>
        <v>АРТ-409</v>
      </c>
      <c r="J269" s="6">
        <f t="shared" si="111"/>
        <v>-1</v>
      </c>
      <c r="K269" s="4">
        <f>VALUE(SUBSTITUTE(SUBSTITUTE(SUBSTITUTE(SUBSTITUTE(D269,"$",""),"€",""),"₽","")," ",""))*IF(ISNUMBER(FIND("$",D269)),Справочники!$H$3,IF(ISNUMBER(FIND("€",D269)),Справочники!$H$4,1))</f>
        <v>10450</v>
      </c>
      <c r="L269" t="str">
        <f>IFERROR(VLOOKUP(TRIM(G269),Справочники!$D$3:$E$13,2,0),"Нет в справочнике")</f>
        <v>Отменен</v>
      </c>
      <c r="M269" t="str">
        <f t="shared" si="112"/>
        <v/>
      </c>
      <c r="N269" t="str">
        <f>IFERROR(VLOOKUP(I269,Товары_очищенные!$H$2:$J$502,3,0),"Нет в каталоге")</f>
        <v>Наушники</v>
      </c>
      <c r="O269" s="4">
        <f>IFERROR(VLOOKUP(I269,Товары_очищенные!$H$2:$M$502,6,0),"")</f>
        <v>39990</v>
      </c>
      <c r="P269" t="str">
        <f t="shared" si="113"/>
        <v xml:space="preserve">Цена отличается от каталога</v>
      </c>
    </row>
    <row r="270">
      <c r="A270" s="3" t="s">
        <v>2554</v>
      </c>
      <c r="B270" s="3" t="s">
        <v>2555</v>
      </c>
      <c r="C270" s="3" t="s">
        <v>1930</v>
      </c>
      <c r="D270" s="3" t="s">
        <v>1922</v>
      </c>
      <c r="E270" s="3" t="s">
        <v>2556</v>
      </c>
      <c r="F270" s="3" t="s">
        <v>1721</v>
      </c>
      <c r="G270" s="3" t="s">
        <v>1918</v>
      </c>
      <c r="H270" s="5">
        <f t="shared" si="109"/>
        <v>45806</v>
      </c>
      <c r="I270" t="str">
        <f t="shared" si="110"/>
        <v>АРТ-330</v>
      </c>
      <c r="J270" s="6">
        <f t="shared" si="111"/>
        <v>3</v>
      </c>
      <c r="K270" s="4">
        <f>VALUE(SUBSTITUTE(SUBSTITUTE(SUBSTITUTE(SUBSTITUTE(D270,"$",""),"€",""),"₽","")," ",""))*IF(ISNUMBER(FIND("$",D270)),Справочники!$H$3,IF(ISNUMBER(FIND("€",D270)),Справочники!$H$4,1))</f>
        <v>9000</v>
      </c>
      <c r="L270" t="str">
        <f>IFERROR(VLOOKUP(TRIM(G270),Справочники!$D$3:$E$13,2,0),"Нет в справочнике")</f>
        <v>Отменен</v>
      </c>
      <c r="M270" t="str">
        <f t="shared" si="112"/>
        <v/>
      </c>
      <c r="N270" t="str">
        <f>IFERROR(VLOOKUP(I270,Товары_очищенные!$H$2:$J$502,3,0),"Нет в каталоге")</f>
        <v>Аксессуары</v>
      </c>
      <c r="O270" s="4">
        <f>IFERROR(VLOOKUP(I270,Товары_очищенные!$H$2:$M$502,6,0),"")</f>
        <v>12800</v>
      </c>
      <c r="P270" t="str">
        <f t="shared" si="113"/>
        <v xml:space="preserve">Цена отличается от каталога</v>
      </c>
    </row>
    <row r="271">
      <c r="A271" s="3" t="s">
        <v>2554</v>
      </c>
      <c r="B271" s="3" t="s">
        <v>2557</v>
      </c>
      <c r="C271" s="3" t="s">
        <v>1900</v>
      </c>
      <c r="D271" s="3" t="s">
        <v>1925</v>
      </c>
      <c r="E271" s="3" t="s">
        <v>2558</v>
      </c>
      <c r="F271" s="3" t="s">
        <v>1663</v>
      </c>
      <c r="G271" s="3" t="s">
        <v>1927</v>
      </c>
      <c r="H271" s="5">
        <f t="shared" si="109"/>
        <v>45806</v>
      </c>
      <c r="I271" t="str">
        <f t="shared" si="110"/>
        <v>АРТ-053</v>
      </c>
      <c r="J271" s="6">
        <f t="shared" si="111"/>
        <v>2</v>
      </c>
      <c r="K271" s="4">
        <f>VALUE(SUBSTITUTE(SUBSTITUTE(SUBSTITUTE(SUBSTITUTE(D271,"$",""),"€",""),"₽","")," ",""))*IF(ISNUMBER(FIND("$",D271)),Справочники!$H$3,IF(ISNUMBER(FIND("€",D271)),Справочники!$H$4,1))</f>
        <v>8000</v>
      </c>
      <c r="L271" t="str">
        <f>IFERROR(VLOOKUP(TRIM(G271),Справочники!$D$3:$E$13,2,0),"Нет в справочнике")</f>
        <v>Возврат</v>
      </c>
      <c r="M271" t="str">
        <f t="shared" si="112"/>
        <v/>
      </c>
      <c r="N271" t="str">
        <f>IFERROR(VLOOKUP(I271,Товары_очищенные!$H$2:$J$502,3,0),"Нет в каталоге")</f>
        <v>Мониторы</v>
      </c>
      <c r="O271" s="4">
        <f>IFERROR(VLOOKUP(I271,Товары_очищенные!$H$2:$M$502,6,0),"")</f>
        <v>68000</v>
      </c>
      <c r="P271" t="str">
        <f t="shared" si="113"/>
        <v xml:space="preserve">Цена отличается от каталога</v>
      </c>
    </row>
    <row r="272">
      <c r="A272" s="3" t="s">
        <v>2559</v>
      </c>
      <c r="B272" s="3" t="s">
        <v>567</v>
      </c>
      <c r="C272" s="3" t="s">
        <v>1905</v>
      </c>
      <c r="D272" s="3" t="s">
        <v>1964</v>
      </c>
      <c r="E272" s="3" t="s">
        <v>2560</v>
      </c>
      <c r="F272" s="3" t="s">
        <v>1802</v>
      </c>
      <c r="G272" s="3" t="s">
        <v>1903</v>
      </c>
      <c r="H272" s="5">
        <f t="shared" si="109"/>
        <v>45807</v>
      </c>
      <c r="I272" t="str">
        <f t="shared" si="110"/>
        <v>АРТ-130</v>
      </c>
      <c r="J272" s="6">
        <f t="shared" si="111"/>
        <v>1</v>
      </c>
      <c r="K272" s="4">
        <f>VALUE(SUBSTITUTE(SUBSTITUTE(SUBSTITUTE(SUBSTITUTE(D272,"$",""),"€",""),"₽","")," ",""))*IF(ISNUMBER(FIND("$",D272)),Справочники!$H$3,IF(ISNUMBER(FIND("€",D272)),Справочники!$H$4,1))</f>
        <v>9025</v>
      </c>
      <c r="L272" t="str">
        <f>IFERROR(VLOOKUP(TRIM(G272),Справочники!$D$3:$E$13,2,0),"Нет в справочнике")</f>
        <v>Завершен</v>
      </c>
      <c r="M272" t="str">
        <f t="shared" si="112"/>
        <v/>
      </c>
      <c r="N272" t="str">
        <f>IFERROR(VLOOKUP(I272,Товары_очищенные!$H$2:$J$502,3,0),"Нет в каталоге")</f>
        <v>Планшеты</v>
      </c>
      <c r="O272" s="4">
        <f>IFERROR(VLOOKUP(I272,Товары_очищенные!$H$2:$M$502,6,0),"")</f>
        <v>42990</v>
      </c>
      <c r="P272" t="str">
        <f t="shared" si="113"/>
        <v xml:space="preserve">Цена отличается от каталога</v>
      </c>
    </row>
    <row r="273">
      <c r="A273" s="3" t="s">
        <v>2559</v>
      </c>
      <c r="B273" s="3" t="s">
        <v>2561</v>
      </c>
      <c r="C273" s="3" t="s">
        <v>1900</v>
      </c>
      <c r="D273" s="3" t="s">
        <v>1968</v>
      </c>
      <c r="E273" s="3" t="s">
        <v>2562</v>
      </c>
      <c r="F273" s="3" t="s">
        <v>1868</v>
      </c>
      <c r="G273" s="3" t="s">
        <v>1908</v>
      </c>
      <c r="H273" s="5">
        <f t="shared" si="109"/>
        <v>45807</v>
      </c>
      <c r="I273" t="str">
        <f t="shared" si="110"/>
        <v>АРТ-462</v>
      </c>
      <c r="J273" s="6">
        <f t="shared" si="111"/>
        <v>2</v>
      </c>
      <c r="K273" s="4">
        <f>VALUE(SUBSTITUTE(SUBSTITUTE(SUBSTITUTE(SUBSTITUTE(D273,"$",""),"€",""),"₽","")," ",""))*IF(ISNUMBER(FIND("$",D273)),Справочники!$H$3,IF(ISNUMBER(FIND("€",D273)),Справочники!$H$4,1))</f>
        <v>7500</v>
      </c>
      <c r="L273" t="str">
        <f>IFERROR(VLOOKUP(TRIM(G273),Справочники!$D$3:$E$13,2,0),"Нет в справочнике")</f>
        <v>Завершен</v>
      </c>
      <c r="M273" t="str">
        <f t="shared" si="112"/>
        <v/>
      </c>
      <c r="N273" t="str">
        <f>IFERROR(VLOOKUP(I273,Товары_очищенные!$H$2:$J$502,3,0),"Нет в каталоге")</f>
        <v>Часы</v>
      </c>
      <c r="O273" s="4">
        <f>IFERROR(VLOOKUP(I273,Товары_очищенные!$H$2:$M$502,6,0),"")</f>
        <v>49500</v>
      </c>
      <c r="P273" t="str">
        <f t="shared" si="113"/>
        <v xml:space="preserve">Цена отличается от каталога</v>
      </c>
    </row>
    <row r="274">
      <c r="A274" s="3" t="s">
        <v>2563</v>
      </c>
      <c r="B274" s="3" t="s">
        <v>2564</v>
      </c>
      <c r="C274" s="3" t="s">
        <v>1910</v>
      </c>
      <c r="D274" s="3" t="s">
        <v>1971</v>
      </c>
      <c r="E274" s="3" t="s">
        <v>2565</v>
      </c>
      <c r="F274" s="3" t="s">
        <v>1587</v>
      </c>
      <c r="G274" s="3" t="s">
        <v>1913</v>
      </c>
      <c r="H274" s="5">
        <f t="shared" si="109"/>
        <v>45808</v>
      </c>
      <c r="I274" t="str">
        <f t="shared" si="110"/>
        <v>АРТ-388</v>
      </c>
      <c r="J274" s="6">
        <f t="shared" si="111"/>
        <v>3</v>
      </c>
      <c r="K274" s="4">
        <f>VALUE(SUBSTITUTE(SUBSTITUTE(SUBSTITUTE(SUBSTITUTE(D274,"$",""),"€",""),"₽","")," ",""))*IF(ISNUMBER(FIND("$",D274)),Справочники!$H$3,IF(ISNUMBER(FIND("€",D274)),Справочники!$H$4,1))</f>
        <v>7000</v>
      </c>
      <c r="L274" t="str">
        <f>IFERROR(VLOOKUP(TRIM(G274),Справочники!$D$3:$E$13,2,0),"Нет в справочнике")</f>
        <v>Завершен</v>
      </c>
      <c r="M274" t="str">
        <f t="shared" si="112"/>
        <v/>
      </c>
      <c r="N274" t="str">
        <f>IFERROR(VLOOKUP(I274,Товары_очищенные!$H$2:$J$502,3,0),"Нет в каталоге")</f>
        <v>Телевизоры</v>
      </c>
      <c r="O274" s="4">
        <f>IFERROR(VLOOKUP(I274,Товары_очищенные!$H$2:$M$502,6,0),"")</f>
        <v>77990</v>
      </c>
      <c r="P274" t="str">
        <f t="shared" si="113"/>
        <v xml:space="preserve">Цена отличается от каталога</v>
      </c>
    </row>
    <row r="275">
      <c r="A275" s="3" t="s">
        <v>2563</v>
      </c>
      <c r="B275" s="3" t="s">
        <v>2566</v>
      </c>
      <c r="C275" s="3" t="s">
        <v>1942</v>
      </c>
      <c r="D275" s="3" t="s">
        <v>1943</v>
      </c>
      <c r="E275" s="3" t="s">
        <v>2567</v>
      </c>
      <c r="F275" s="3" t="s">
        <v>1734</v>
      </c>
      <c r="G275" s="3" t="s">
        <v>1918</v>
      </c>
      <c r="H275" s="5">
        <f t="shared" si="109"/>
        <v>45808</v>
      </c>
      <c r="I275" t="str">
        <f t="shared" si="110"/>
        <v>АРТ-206</v>
      </c>
      <c r="J275" s="6">
        <f t="shared" si="111"/>
        <v>-2</v>
      </c>
      <c r="K275" s="4">
        <f>VALUE(SUBSTITUTE(SUBSTITUTE(SUBSTITUTE(SUBSTITUTE(D275,"$",""),"€",""),"₽","")," ",""))*IF(ISNUMBER(FIND("$",D275)),Справочники!$H$3,IF(ISNUMBER(FIND("€",D275)),Справочники!$H$4,1))</f>
        <v>10925</v>
      </c>
      <c r="L275" t="str">
        <f>IFERROR(VLOOKUP(TRIM(G275),Справочники!$D$3:$E$13,2,0),"Нет в справочнике")</f>
        <v>Отменен</v>
      </c>
      <c r="M275" t="str">
        <f t="shared" si="112"/>
        <v/>
      </c>
      <c r="N275" t="str">
        <f>IFERROR(VLOOKUP(I275,Товары_очищенные!$H$2:$J$502,3,0),"Нет в каталоге")</f>
        <v>Мониторы</v>
      </c>
      <c r="O275" s="4">
        <f>IFERROR(VLOOKUP(I275,Товары_очищенные!$H$2:$M$502,6,0),"")</f>
        <v>62500</v>
      </c>
      <c r="P275" t="str">
        <f t="shared" si="113"/>
        <v xml:space="preserve">Цена отличается от каталога</v>
      </c>
    </row>
    <row r="276">
      <c r="A276" s="3" t="s">
        <v>2568</v>
      </c>
      <c r="B276" s="3" t="s">
        <v>2569</v>
      </c>
      <c r="C276" s="3" t="s">
        <v>1905</v>
      </c>
      <c r="D276" s="3" t="s">
        <v>1934</v>
      </c>
      <c r="E276" s="3" t="s">
        <v>2570</v>
      </c>
      <c r="F276" s="3" t="s">
        <v>1649</v>
      </c>
      <c r="G276" s="3" t="s">
        <v>1924</v>
      </c>
      <c r="H276" s="5">
        <f t="shared" si="109"/>
        <v>45809</v>
      </c>
      <c r="I276" t="str">
        <f t="shared" si="110"/>
        <v>АРТ-274</v>
      </c>
      <c r="J276" s="6">
        <f t="shared" si="111"/>
        <v>1</v>
      </c>
      <c r="K276" s="4">
        <f>VALUE(SUBSTITUTE(SUBSTITUTE(SUBSTITUTE(SUBSTITUTE(D276,"$",""),"€",""),"₽","")," ",""))*IF(ISNUMBER(FIND("$",D276)),Справочники!$H$3,IF(ISNUMBER(FIND("€",D276)),Справочники!$H$4,1))</f>
        <v>9500</v>
      </c>
      <c r="L276" t="str">
        <f>IFERROR(VLOOKUP(TRIM(G276),Справочники!$D$3:$E$13,2,0),"Нет в справочнике")</f>
        <v>Отменен</v>
      </c>
      <c r="M276" t="str">
        <f t="shared" si="112"/>
        <v/>
      </c>
      <c r="N276" t="str">
        <f>IFERROR(VLOOKUP(I276,Товары_очищенные!$H$2:$J$502,3,0),"Нет в каталоге")</f>
        <v>Планшеты</v>
      </c>
      <c r="O276" s="4">
        <f>IFERROR(VLOOKUP(I276,Товары_очищенные!$H$2:$M$502,6,0),"")</f>
        <v>48990</v>
      </c>
      <c r="P276" t="str">
        <f t="shared" si="113"/>
        <v xml:space="preserve">Цена отличается от каталога</v>
      </c>
    </row>
    <row r="277">
      <c r="A277" s="3" t="s">
        <v>2568</v>
      </c>
      <c r="B277" s="3" t="s">
        <v>2532</v>
      </c>
      <c r="C277" s="3" t="s">
        <v>1900</v>
      </c>
      <c r="D277" s="3" t="s">
        <v>1951</v>
      </c>
      <c r="E277" s="3" t="s">
        <v>2571</v>
      </c>
      <c r="F277" s="3" t="s">
        <v>1784</v>
      </c>
      <c r="G277" s="3" t="s">
        <v>1903</v>
      </c>
      <c r="H277" s="5">
        <f t="shared" si="109"/>
        <v>45809</v>
      </c>
      <c r="I277" t="str">
        <f t="shared" si="110"/>
        <v>АРТ-189</v>
      </c>
      <c r="J277" s="6">
        <f t="shared" si="111"/>
        <v>2</v>
      </c>
      <c r="K277" s="4">
        <f>VALUE(SUBSTITUTE(SUBSTITUTE(SUBSTITUTE(SUBSTITUTE(D277,"$",""),"€",""),"₽","")," ",""))*IF(ISNUMBER(FIND("$",D277)),Справочники!$H$3,IF(ISNUMBER(FIND("€",D277)),Справочники!$H$4,1))</f>
        <v>8500</v>
      </c>
      <c r="L277" t="str">
        <f>IFERROR(VLOOKUP(TRIM(G277),Справочники!$D$3:$E$13,2,0),"Нет в справочнике")</f>
        <v>Завершен</v>
      </c>
      <c r="M277" t="str">
        <f t="shared" si="112"/>
        <v/>
      </c>
      <c r="N277" t="str">
        <f>IFERROR(VLOOKUP(I277,Товары_очищенные!$H$2:$J$502,3,0),"Нет в каталоге")</f>
        <v>Часы</v>
      </c>
      <c r="O277" s="4">
        <f>IFERROR(VLOOKUP(I277,Товары_очищенные!$H$2:$M$502,6,0),"")</f>
        <v>51500</v>
      </c>
      <c r="P277" t="str">
        <f t="shared" si="113"/>
        <v xml:space="preserve">Цена отличается от каталога</v>
      </c>
    </row>
    <row r="278">
      <c r="A278" s="3" t="s">
        <v>2572</v>
      </c>
      <c r="B278" s="3" t="s">
        <v>2573</v>
      </c>
      <c r="C278" s="3" t="s">
        <v>1930</v>
      </c>
      <c r="D278" s="3" t="s">
        <v>1931</v>
      </c>
      <c r="E278" s="3" t="s">
        <v>2574</v>
      </c>
      <c r="F278" s="3" t="s">
        <v>1844</v>
      </c>
      <c r="G278" s="3" t="s">
        <v>1927</v>
      </c>
      <c r="H278" s="5">
        <f t="shared" si="109"/>
        <v>45810</v>
      </c>
      <c r="I278" t="str">
        <f t="shared" si="110"/>
        <v>АРТ-062</v>
      </c>
      <c r="J278" s="6">
        <f t="shared" si="111"/>
        <v>3</v>
      </c>
      <c r="K278" s="4">
        <f>VALUE(SUBSTITUTE(SUBSTITUTE(SUBSTITUTE(SUBSTITUTE(D278,"$",""),"€",""),"₽","")," ",""))*IF(ISNUMBER(FIND("$",D278)),Справочники!$H$3,IF(ISNUMBER(FIND("€",D278)),Справочники!$H$4,1))</f>
        <v>9975</v>
      </c>
      <c r="L278" t="str">
        <f>IFERROR(VLOOKUP(TRIM(G278),Справочники!$D$3:$E$13,2,0),"Нет в справочнике")</f>
        <v>Возврат</v>
      </c>
      <c r="M278" t="str">
        <f t="shared" si="112"/>
        <v/>
      </c>
      <c r="N278" t="str">
        <f>IFERROR(VLOOKUP(I278,Товары_очищенные!$H$2:$J$502,3,0),"Нет в каталоге")</f>
        <v>Ноутбуки</v>
      </c>
      <c r="O278" s="4">
        <f>IFERROR(VLOOKUP(I278,Товары_очищенные!$H$2:$M$502,6,0),"")</f>
        <v>122500</v>
      </c>
      <c r="P278" t="str">
        <f t="shared" si="113"/>
        <v xml:space="preserve">Цена отличается от каталога</v>
      </c>
    </row>
    <row r="279">
      <c r="A279" s="3" t="s">
        <v>2572</v>
      </c>
      <c r="B279" s="3" t="s">
        <v>2322</v>
      </c>
      <c r="C279" s="3" t="s">
        <v>1900</v>
      </c>
      <c r="D279" s="3" t="s">
        <v>1906</v>
      </c>
      <c r="E279" s="3" t="s">
        <v>2575</v>
      </c>
      <c r="F279" s="3" t="s">
        <v>1566</v>
      </c>
      <c r="G279" s="3" t="s">
        <v>1908</v>
      </c>
      <c r="H279" s="5">
        <f t="shared" si="109"/>
        <v>45810</v>
      </c>
      <c r="I279" t="str">
        <f t="shared" si="110"/>
        <v>АРТ-424</v>
      </c>
      <c r="J279" s="6">
        <f t="shared" si="111"/>
        <v>2</v>
      </c>
      <c r="K279" s="4">
        <f>VALUE(SUBSTITUTE(SUBSTITUTE(SUBSTITUTE(SUBSTITUTE(D279,"$",""),"€",""),"₽","")," ",""))*IF(ISNUMBER(FIND("$",D279)),Справочники!$H$3,IF(ISNUMBER(FIND("€",D279)),Справочники!$H$4,1))</f>
        <v>8500</v>
      </c>
      <c r="L279" t="str">
        <f>IFERROR(VLOOKUP(TRIM(G279),Справочники!$D$3:$E$13,2,0),"Нет в справочнике")</f>
        <v>Завершен</v>
      </c>
      <c r="M279" t="str">
        <f t="shared" si="112"/>
        <v/>
      </c>
      <c r="N279" t="str">
        <f>IFERROR(VLOOKUP(I279,Товары_очищенные!$H$2:$J$502,3,0),"Нет в каталоге")</f>
        <v>Смартфоны</v>
      </c>
      <c r="O279" s="4">
        <f>IFERROR(VLOOKUP(I279,Товары_очищенные!$H$2:$M$502,6,0),"")</f>
        <v>48990</v>
      </c>
      <c r="P279" t="str">
        <f t="shared" si="113"/>
        <v xml:space="preserve">Цена отличается от каталога</v>
      </c>
    </row>
    <row r="280">
      <c r="A280" s="3" t="s">
        <v>2576</v>
      </c>
      <c r="B280" s="3" t="s">
        <v>2577</v>
      </c>
      <c r="C280" s="3" t="s">
        <v>1938</v>
      </c>
      <c r="D280" s="3" t="s">
        <v>2166</v>
      </c>
      <c r="E280" s="3" t="s">
        <v>2578</v>
      </c>
      <c r="F280" s="3" t="s">
        <v>1701</v>
      </c>
      <c r="G280" s="3" t="s">
        <v>1913</v>
      </c>
      <c r="H280" s="5">
        <f t="shared" si="109"/>
        <v>45811</v>
      </c>
      <c r="I280" t="str">
        <f t="shared" si="110"/>
        <v>АРТ-258</v>
      </c>
      <c r="J280" s="6">
        <f t="shared" si="111"/>
        <v>1</v>
      </c>
      <c r="K280" s="4">
        <f>VALUE(SUBSTITUTE(SUBSTITUTE(SUBSTITUTE(SUBSTITUTE(D280,"$",""),"€",""),"₽","")," ",""))*IF(ISNUMBER(FIND("$",D280)),Справочники!$H$3,IF(ISNUMBER(FIND("€",D280)),Справочники!$H$4,1))</f>
        <v>7800</v>
      </c>
      <c r="L280" t="str">
        <f>IFERROR(VLOOKUP(TRIM(G280),Справочники!$D$3:$E$13,2,0),"Нет в справочнике")</f>
        <v>Завершен</v>
      </c>
      <c r="M280" t="str">
        <f t="shared" si="112"/>
        <v/>
      </c>
      <c r="N280" t="str">
        <f>IFERROR(VLOOKUP(I280,Товары_очищенные!$H$2:$J$502,3,0),"Нет в каталоге")</f>
        <v>Смартфоны</v>
      </c>
      <c r="O280" s="4">
        <f>IFERROR(VLOOKUP(I280,Товары_очищенные!$H$2:$M$502,6,0),"")</f>
        <v>39500</v>
      </c>
      <c r="P280" t="str">
        <f t="shared" si="113"/>
        <v xml:space="preserve">Цена отличается от каталога</v>
      </c>
    </row>
    <row r="281">
      <c r="A281" s="3" t="s">
        <v>2576</v>
      </c>
      <c r="B281" s="3" t="s">
        <v>2579</v>
      </c>
      <c r="C281" s="3" t="s">
        <v>1985</v>
      </c>
      <c r="D281" s="3" t="s">
        <v>2044</v>
      </c>
      <c r="E281" s="3" t="s">
        <v>2580</v>
      </c>
      <c r="F281" s="3" t="s">
        <v>1814</v>
      </c>
      <c r="G281" s="3" t="s">
        <v>1903</v>
      </c>
      <c r="H281" s="5">
        <f t="shared" si="109"/>
        <v>45811</v>
      </c>
      <c r="I281" t="str">
        <f t="shared" si="110"/>
        <v>АРТ-386</v>
      </c>
      <c r="J281" s="6">
        <f t="shared" si="111"/>
        <v>-3</v>
      </c>
      <c r="K281" s="4">
        <f>VALUE(SUBSTITUTE(SUBSTITUTE(SUBSTITUTE(SUBSTITUTE(D281,"$",""),"€",""),"₽","")," ",""))*IF(ISNUMBER(FIND("$",D281)),Справочники!$H$3,IF(ISNUMBER(FIND("€",D281)),Справочники!$H$4,1))</f>
        <v>11400</v>
      </c>
      <c r="L281" t="str">
        <f>IFERROR(VLOOKUP(TRIM(G281),Справочники!$D$3:$E$13,2,0),"Нет в справочнике")</f>
        <v>Завершен</v>
      </c>
      <c r="M281" t="str">
        <f t="shared" si="112"/>
        <v/>
      </c>
      <c r="N281" t="str">
        <f>IFERROR(VLOOKUP(I281,Товары_очищенные!$H$2:$J$502,3,0),"Нет в каталоге")</f>
        <v>Ноутбуки</v>
      </c>
      <c r="O281" s="4">
        <f>IFERROR(VLOOKUP(I281,Товары_очищенные!$H$2:$M$502,6,0),"")</f>
        <v>114000</v>
      </c>
      <c r="P281" t="str">
        <f t="shared" si="113"/>
        <v xml:space="preserve">Цена отличается от каталога</v>
      </c>
    </row>
    <row r="282">
      <c r="A282" s="3" t="s">
        <v>2581</v>
      </c>
      <c r="B282" s="3" t="s">
        <v>846</v>
      </c>
      <c r="C282" s="3" t="s">
        <v>1900</v>
      </c>
      <c r="D282" s="3" t="s">
        <v>2046</v>
      </c>
      <c r="E282" s="3" t="s">
        <v>2582</v>
      </c>
      <c r="F282" s="3" t="s">
        <v>1880</v>
      </c>
      <c r="G282" s="3" t="s">
        <v>1924</v>
      </c>
      <c r="H282" s="5">
        <f t="shared" si="109"/>
        <v>45812</v>
      </c>
      <c r="I282" t="str">
        <f t="shared" si="110"/>
        <v>АРТ-212</v>
      </c>
      <c r="J282" s="6">
        <f t="shared" si="111"/>
        <v>2</v>
      </c>
      <c r="K282" s="4">
        <f>VALUE(SUBSTITUTE(SUBSTITUTE(SUBSTITUTE(SUBSTITUTE(D282,"$",""),"€",""),"₽","")," ",""))*IF(ISNUMBER(FIND("$",D282)),Справочники!$H$3,IF(ISNUMBER(FIND("€",D282)),Справочники!$H$4,1))</f>
        <v>10000</v>
      </c>
      <c r="L282" t="str">
        <f>IFERROR(VLOOKUP(TRIM(G282),Справочники!$D$3:$E$13,2,0),"Нет в справочнике")</f>
        <v>Отменен</v>
      </c>
      <c r="M282" t="str">
        <f t="shared" si="112"/>
        <v/>
      </c>
      <c r="N282" t="str">
        <f>IFERROR(VLOOKUP(I282,Товары_очищенные!$H$2:$J$502,3,0),"Нет в каталоге")</f>
        <v>Смартфоны</v>
      </c>
      <c r="O282" s="4">
        <f>IFERROR(VLOOKUP(I282,Товары_очищенные!$H$2:$M$502,6,0),"")</f>
        <v>58500</v>
      </c>
      <c r="P282" t="str">
        <f t="shared" si="113"/>
        <v xml:space="preserve">Цена отличается от каталога</v>
      </c>
    </row>
    <row r="283">
      <c r="A283" s="3" t="s">
        <v>2581</v>
      </c>
      <c r="B283" s="3" t="s">
        <v>2583</v>
      </c>
      <c r="C283" s="3" t="s">
        <v>1905</v>
      </c>
      <c r="D283" s="3" t="s">
        <v>2087</v>
      </c>
      <c r="E283" s="3" t="s">
        <v>2584</v>
      </c>
      <c r="F283" s="3" t="s">
        <v>1636</v>
      </c>
      <c r="G283" s="3" t="s">
        <v>1918</v>
      </c>
      <c r="H283" s="5">
        <f t="shared" si="109"/>
        <v>45812</v>
      </c>
      <c r="I283" t="str">
        <f t="shared" si="110"/>
        <v>АРТ-073</v>
      </c>
      <c r="J283" s="6">
        <f t="shared" si="111"/>
        <v>1</v>
      </c>
      <c r="K283" s="4">
        <f>VALUE(SUBSTITUTE(SUBSTITUTE(SUBSTITUTE(SUBSTITUTE(D283,"$",""),"€",""),"₽","")," ",""))*IF(ISNUMBER(FIND("$",D283)),Справочники!$H$3,IF(ISNUMBER(FIND("€",D283)),Справочники!$H$4,1))</f>
        <v>9200</v>
      </c>
      <c r="L283" t="str">
        <f>IFERROR(VLOOKUP(TRIM(G283),Справочники!$D$3:$E$13,2,0),"Нет в справочнике")</f>
        <v>Отменен</v>
      </c>
      <c r="M283" t="str">
        <f t="shared" si="112"/>
        <v/>
      </c>
      <c r="N283" t="str">
        <f>IFERROR(VLOOKUP(I283,Товары_очищенные!$H$2:$J$502,3,0),"Нет в каталоге")</f>
        <v>Мониторы</v>
      </c>
      <c r="O283" s="4">
        <f>IFERROR(VLOOKUP(I283,Товары_очищенные!$H$2:$M$502,6,0),"")</f>
        <v>79900</v>
      </c>
      <c r="P283" t="str">
        <f t="shared" si="113"/>
        <v xml:space="preserve">Цена отличается от каталога</v>
      </c>
    </row>
    <row r="284">
      <c r="A284" s="3" t="s">
        <v>2585</v>
      </c>
      <c r="B284" s="3" t="s">
        <v>1179</v>
      </c>
      <c r="C284" s="3" t="s">
        <v>1930</v>
      </c>
      <c r="D284" s="3" t="s">
        <v>1986</v>
      </c>
      <c r="E284" s="3" t="s">
        <v>2586</v>
      </c>
      <c r="F284" s="3" t="s">
        <v>1740</v>
      </c>
      <c r="G284" s="3" t="s">
        <v>1927</v>
      </c>
      <c r="H284" s="5">
        <f t="shared" si="109"/>
        <v>45813</v>
      </c>
      <c r="I284" t="str">
        <f t="shared" si="110"/>
        <v>АРТ-331</v>
      </c>
      <c r="J284" s="6">
        <f t="shared" si="111"/>
        <v>3</v>
      </c>
      <c r="K284" s="4">
        <f>VALUE(SUBSTITUTE(SUBSTITUTE(SUBSTITUTE(SUBSTITUTE(D284,"$",""),"€",""),"₽","")," ",""))*IF(ISNUMBER(FIND("$",D284)),Справочники!$H$3,IF(ISNUMBER(FIND("€",D284)),Справочники!$H$4,1))</f>
        <v>8550</v>
      </c>
      <c r="L284" t="str">
        <f>IFERROR(VLOOKUP(TRIM(G284),Справочники!$D$3:$E$13,2,0),"Нет в справочнике")</f>
        <v>Возврат</v>
      </c>
      <c r="M284" t="str">
        <f t="shared" si="112"/>
        <v/>
      </c>
      <c r="N284" t="str">
        <f>IFERROR(VLOOKUP(I284,Товары_очищенные!$H$2:$J$502,3,0),"Нет в каталоге")</f>
        <v>Часы</v>
      </c>
      <c r="O284" s="4">
        <f>IFERROR(VLOOKUP(I284,Товары_очищенные!$H$2:$M$502,6,0),"")</f>
        <v>69990</v>
      </c>
      <c r="P284" t="str">
        <f t="shared" si="113"/>
        <v xml:space="preserve">Цена отличается от каталога</v>
      </c>
    </row>
    <row r="285">
      <c r="A285" s="3" t="s">
        <v>2585</v>
      </c>
      <c r="B285" s="3" t="s">
        <v>2587</v>
      </c>
      <c r="C285" s="3" t="s">
        <v>1900</v>
      </c>
      <c r="D285" s="3" t="s">
        <v>1989</v>
      </c>
      <c r="E285" s="3" t="s">
        <v>2588</v>
      </c>
      <c r="F285" s="3" t="s">
        <v>1682</v>
      </c>
      <c r="G285" s="3" t="s">
        <v>1903</v>
      </c>
      <c r="H285" s="5">
        <f t="shared" si="109"/>
        <v>45813</v>
      </c>
      <c r="I285" t="str">
        <f t="shared" si="110"/>
        <v>АРТ-457</v>
      </c>
      <c r="J285" s="6">
        <f t="shared" si="111"/>
        <v>2</v>
      </c>
      <c r="K285" s="4">
        <f>VALUE(SUBSTITUTE(SUBSTITUTE(SUBSTITUTE(SUBSTITUTE(D285,"$",""),"€",""),"₽","")," ",""))*IF(ISNUMBER(FIND("$",D285)),Справочники!$H$3,IF(ISNUMBER(FIND("€",D285)),Справочники!$H$4,1))</f>
        <v>7000</v>
      </c>
      <c r="L285" t="str">
        <f>IFERROR(VLOOKUP(TRIM(G285),Справочники!$D$3:$E$13,2,0),"Нет в справочнике")</f>
        <v>Завершен</v>
      </c>
      <c r="M285" t="str">
        <f t="shared" si="112"/>
        <v/>
      </c>
      <c r="N285" t="str">
        <f>IFERROR(VLOOKUP(I285,Товары_очищенные!$H$2:$J$502,3,0),"Нет в каталоге")</f>
        <v>Аксессуары</v>
      </c>
      <c r="O285" s="4">
        <f>IFERROR(VLOOKUP(I285,Товары_очищенные!$H$2:$M$502,6,0),"")</f>
        <v>6990</v>
      </c>
      <c r="P285" t="str">
        <f t="shared" si="113"/>
        <v>ОК</v>
      </c>
    </row>
    <row r="286">
      <c r="A286" s="3" t="s">
        <v>2589</v>
      </c>
      <c r="B286" s="3" t="s">
        <v>2590</v>
      </c>
      <c r="C286" s="3" t="s">
        <v>1938</v>
      </c>
      <c r="D286" s="3" t="s">
        <v>1939</v>
      </c>
      <c r="E286" s="3" t="s">
        <v>2591</v>
      </c>
      <c r="F286" s="3" t="s">
        <v>1820</v>
      </c>
      <c r="G286" s="3" t="s">
        <v>1908</v>
      </c>
      <c r="H286" s="5">
        <f t="shared" si="109"/>
        <v>45814</v>
      </c>
      <c r="I286" t="str">
        <f t="shared" si="110"/>
        <v>АРТ-359</v>
      </c>
      <c r="J286" s="6">
        <f t="shared" si="111"/>
        <v>1</v>
      </c>
      <c r="K286" s="4">
        <f>VALUE(SUBSTITUTE(SUBSTITUTE(SUBSTITUTE(SUBSTITUTE(D286,"$",""),"€",""),"₽","")," ",""))*IF(ISNUMBER(FIND("$",D286)),Справочники!$H$3,IF(ISNUMBER(FIND("€",D286)),Справочники!$H$4,1))</f>
        <v>6500</v>
      </c>
      <c r="L286" t="str">
        <f>IFERROR(VLOOKUP(TRIM(G286),Справочники!$D$3:$E$13,2,0),"Нет в справочнике")</f>
        <v>Завершен</v>
      </c>
      <c r="M286" t="str">
        <f t="shared" si="112"/>
        <v/>
      </c>
      <c r="N286" t="str">
        <f>IFERROR(VLOOKUP(I286,Товары_очищенные!$H$2:$J$502,3,0),"Нет в каталоге")</f>
        <v>Планшеты</v>
      </c>
      <c r="O286" s="4">
        <f>IFERROR(VLOOKUP(I286,Товары_очищенные!$H$2:$M$502,6,0),"")</f>
        <v>58000</v>
      </c>
      <c r="P286" t="str">
        <f t="shared" si="113"/>
        <v xml:space="preserve">Цена отличается от каталога</v>
      </c>
    </row>
    <row r="287">
      <c r="A287" s="3" t="s">
        <v>2589</v>
      </c>
      <c r="B287" s="3" t="s">
        <v>2592</v>
      </c>
      <c r="C287" s="3" t="s">
        <v>1915</v>
      </c>
      <c r="D287" s="3" t="s">
        <v>1916</v>
      </c>
      <c r="E287" s="3" t="s">
        <v>2593</v>
      </c>
      <c r="F287" s="3" t="s">
        <v>1580</v>
      </c>
      <c r="G287" s="3" t="s">
        <v>1913</v>
      </c>
      <c r="H287" s="5">
        <f t="shared" si="109"/>
        <v>45814</v>
      </c>
      <c r="I287" t="str">
        <f t="shared" si="110"/>
        <v>АРТ-053</v>
      </c>
      <c r="J287" s="6">
        <f t="shared" si="111"/>
        <v>-1</v>
      </c>
      <c r="K287" s="4">
        <f>VALUE(SUBSTITUTE(SUBSTITUTE(SUBSTITUTE(SUBSTITUTE(D287,"$",""),"€",""),"₽","")," ",""))*IF(ISNUMBER(FIND("$",D287)),Справочники!$H$3,IF(ISNUMBER(FIND("€",D287)),Справочники!$H$4,1))</f>
        <v>10450</v>
      </c>
      <c r="L287" t="str">
        <f>IFERROR(VLOOKUP(TRIM(G287),Справочники!$D$3:$E$13,2,0),"Нет в справочнике")</f>
        <v>Завершен</v>
      </c>
      <c r="M287" t="str">
        <f t="shared" si="112"/>
        <v/>
      </c>
      <c r="N287" t="str">
        <f>IFERROR(VLOOKUP(I287,Товары_очищенные!$H$2:$J$502,3,0),"Нет в каталоге")</f>
        <v>Мониторы</v>
      </c>
      <c r="O287" s="4">
        <f>IFERROR(VLOOKUP(I287,Товары_очищенные!$H$2:$M$502,6,0),"")</f>
        <v>68000</v>
      </c>
      <c r="P287" t="str">
        <f t="shared" si="113"/>
        <v xml:space="preserve">Цена отличается от каталога</v>
      </c>
    </row>
    <row r="288">
      <c r="A288" s="3" t="s">
        <v>2594</v>
      </c>
      <c r="B288" s="3" t="s">
        <v>1322</v>
      </c>
      <c r="C288" s="3" t="s">
        <v>1930</v>
      </c>
      <c r="D288" s="3" t="s">
        <v>1922</v>
      </c>
      <c r="E288" s="3" t="s">
        <v>2595</v>
      </c>
      <c r="F288" s="3" t="s">
        <v>1727</v>
      </c>
      <c r="G288" s="3" t="s">
        <v>1918</v>
      </c>
      <c r="H288" s="5">
        <f t="shared" si="109"/>
        <v>45815</v>
      </c>
      <c r="I288" t="str">
        <f t="shared" si="110"/>
        <v>АРТ-395</v>
      </c>
      <c r="J288" s="6">
        <f t="shared" si="111"/>
        <v>3</v>
      </c>
      <c r="K288" s="4">
        <f>VALUE(SUBSTITUTE(SUBSTITUTE(SUBSTITUTE(SUBSTITUTE(D288,"$",""),"€",""),"₽","")," ",""))*IF(ISNUMBER(FIND("$",D288)),Справочники!$H$3,IF(ISNUMBER(FIND("€",D288)),Справочники!$H$4,1))</f>
        <v>9000</v>
      </c>
      <c r="L288" t="str">
        <f>IFERROR(VLOOKUP(TRIM(G288),Справочники!$D$3:$E$13,2,0),"Нет в справочнике")</f>
        <v>Отменен</v>
      </c>
      <c r="M288" t="str">
        <f t="shared" si="112"/>
        <v/>
      </c>
      <c r="N288" t="str">
        <f>IFERROR(VLOOKUP(I288,Товары_очищенные!$H$2:$J$502,3,0),"Нет в каталоге")</f>
        <v>Мониторы</v>
      </c>
      <c r="O288" s="4">
        <f>IFERROR(VLOOKUP(I288,Товары_очищенные!$H$2:$M$502,6,0),"")</f>
        <v>62500</v>
      </c>
      <c r="P288" t="str">
        <f t="shared" si="113"/>
        <v xml:space="preserve">Цена отличается от каталога</v>
      </c>
    </row>
    <row r="289">
      <c r="A289" s="3" t="s">
        <v>2594</v>
      </c>
      <c r="B289" s="3" t="s">
        <v>2158</v>
      </c>
      <c r="C289" s="3" t="s">
        <v>1900</v>
      </c>
      <c r="D289" s="3" t="s">
        <v>1925</v>
      </c>
      <c r="E289" s="3" t="s">
        <v>2596</v>
      </c>
      <c r="F289" s="3" t="s">
        <v>1629</v>
      </c>
      <c r="G289" s="3" t="s">
        <v>1924</v>
      </c>
      <c r="H289" s="5">
        <f t="shared" si="109"/>
        <v>45815</v>
      </c>
      <c r="I289" t="str">
        <f t="shared" si="110"/>
        <v>АРТ-104</v>
      </c>
      <c r="J289" s="6">
        <f t="shared" si="111"/>
        <v>2</v>
      </c>
      <c r="K289" s="4">
        <f>VALUE(SUBSTITUTE(SUBSTITUTE(SUBSTITUTE(SUBSTITUTE(D289,"$",""),"€",""),"₽","")," ",""))*IF(ISNUMBER(FIND("$",D289)),Справочники!$H$3,IF(ISNUMBER(FIND("€",D289)),Справочники!$H$4,1))</f>
        <v>8000</v>
      </c>
      <c r="L289" t="str">
        <f>IFERROR(VLOOKUP(TRIM(G289),Справочники!$D$3:$E$13,2,0),"Нет в справочнике")</f>
        <v>Отменен</v>
      </c>
      <c r="M289" t="str">
        <f t="shared" si="112"/>
        <v/>
      </c>
      <c r="N289" t="str">
        <f>IFERROR(VLOOKUP(I289,Товары_очищенные!$H$2:$J$502,3,0),"Нет в каталоге")</f>
        <v>Ноутбуки</v>
      </c>
      <c r="O289" s="4">
        <f>IFERROR(VLOOKUP(I289,Товары_очищенные!$H$2:$M$502,6,0),"")</f>
        <v>147000</v>
      </c>
      <c r="P289" t="str">
        <f t="shared" si="113"/>
        <v xml:space="preserve">Цена отличается от каталога</v>
      </c>
    </row>
    <row r="290">
      <c r="A290" s="3" t="s">
        <v>2597</v>
      </c>
      <c r="B290" s="3" t="s">
        <v>2598</v>
      </c>
      <c r="C290" s="3" t="s">
        <v>1905</v>
      </c>
      <c r="D290" s="3" t="s">
        <v>1964</v>
      </c>
      <c r="E290" s="3" t="s">
        <v>2599</v>
      </c>
      <c r="F290" s="3" t="s">
        <v>1778</v>
      </c>
      <c r="G290" s="3" t="s">
        <v>1903</v>
      </c>
      <c r="H290" s="5">
        <f t="shared" si="109"/>
        <v>45816</v>
      </c>
      <c r="I290" t="str">
        <f t="shared" si="110"/>
        <v>АРТ-203</v>
      </c>
      <c r="J290" s="6">
        <f t="shared" si="111"/>
        <v>1</v>
      </c>
      <c r="K290" s="4">
        <f>VALUE(SUBSTITUTE(SUBSTITUTE(SUBSTITUTE(SUBSTITUTE(D290,"$",""),"€",""),"₽","")," ",""))*IF(ISNUMBER(FIND("$",D290)),Справочники!$H$3,IF(ISNUMBER(FIND("€",D290)),Справочники!$H$4,1))</f>
        <v>9025</v>
      </c>
      <c r="L290" t="str">
        <f>IFERROR(VLOOKUP(TRIM(G290),Справочники!$D$3:$E$13,2,0),"Нет в справочнике")</f>
        <v>Завершен</v>
      </c>
      <c r="M290" t="str">
        <f t="shared" si="112"/>
        <v/>
      </c>
      <c r="N290" t="str">
        <f>IFERROR(VLOOKUP(I290,Товары_очищенные!$H$2:$J$502,3,0),"Нет в каталоге")</f>
        <v>Наушники</v>
      </c>
      <c r="O290" s="4">
        <f>IFERROR(VLOOKUP(I290,Товары_очищенные!$H$2:$M$502,6,0),"")</f>
        <v>9200</v>
      </c>
      <c r="P290" t="str">
        <f t="shared" si="113"/>
        <v>ОК</v>
      </c>
    </row>
    <row r="291">
      <c r="A291" s="3" t="s">
        <v>2597</v>
      </c>
      <c r="B291" s="3" t="s">
        <v>2600</v>
      </c>
      <c r="C291" s="3" t="s">
        <v>1900</v>
      </c>
      <c r="D291" s="3" t="s">
        <v>1968</v>
      </c>
      <c r="E291" s="3" t="s">
        <v>2601</v>
      </c>
      <c r="F291" s="3" t="s">
        <v>1862</v>
      </c>
      <c r="G291" s="3" t="s">
        <v>1927</v>
      </c>
      <c r="H291" s="5">
        <f t="shared" si="109"/>
        <v>45816</v>
      </c>
      <c r="I291" t="str">
        <f t="shared" si="110"/>
        <v>АРТ-303</v>
      </c>
      <c r="J291" s="6">
        <f t="shared" si="111"/>
        <v>2</v>
      </c>
      <c r="K291" s="4">
        <f>VALUE(SUBSTITUTE(SUBSTITUTE(SUBSTITUTE(SUBSTITUTE(D291,"$",""),"€",""),"₽","")," ",""))*IF(ISNUMBER(FIND("$",D291)),Справочники!$H$3,IF(ISNUMBER(FIND("€",D291)),Справочники!$H$4,1))</f>
        <v>7500</v>
      </c>
      <c r="L291" t="str">
        <f>IFERROR(VLOOKUP(TRIM(G291),Справочники!$D$3:$E$13,2,0),"Нет в справочнике")</f>
        <v>Возврат</v>
      </c>
      <c r="M291" t="str">
        <f t="shared" si="112"/>
        <v/>
      </c>
      <c r="N291" t="str">
        <f>IFERROR(VLOOKUP(I291,Товары_очищенные!$H$2:$J$502,3,0),"Нет в каталоге")</f>
        <v>Наушники</v>
      </c>
      <c r="O291" s="4">
        <f>IFERROR(VLOOKUP(I291,Товары_очищенные!$H$2:$M$502,6,0),"")</f>
        <v>8800</v>
      </c>
      <c r="P291" t="str">
        <f t="shared" si="113"/>
        <v>ОК</v>
      </c>
    </row>
    <row r="292">
      <c r="A292" s="3" t="s">
        <v>2602</v>
      </c>
      <c r="B292" s="3" t="s">
        <v>2603</v>
      </c>
      <c r="C292" s="3" t="s">
        <v>1910</v>
      </c>
      <c r="D292" s="3" t="s">
        <v>1971</v>
      </c>
      <c r="E292" s="3" t="s">
        <v>2604</v>
      </c>
      <c r="F292" s="3" t="s">
        <v>1695</v>
      </c>
      <c r="G292" s="3" t="s">
        <v>1908</v>
      </c>
      <c r="H292" s="5">
        <f t="shared" ref="H292:H355" si="114">DATE(VALUE(RIGHT(A292,4)),VALUE(LEFT(A292,2)),VALUE(MID(A292,4,2)))</f>
        <v>45817</v>
      </c>
      <c r="I292" t="str">
        <f t="shared" ref="I292:I355" si="115">"АРТ-"&amp;TEXT(VALUE(LEFT(SUBSTITUTE(SUBSTITUTE(SUBSTITUTE(SUBSTITUTE(TRIM(B292),"№",""),"АРТ-",""),"АРТ_",""),"АРТ",""),3)),"000")</f>
        <v>АРТ-259</v>
      </c>
      <c r="J292" s="6">
        <f t="shared" ref="J292:J355" si="116">VALUE(TRIM(SUBSTITUTE(SUBSTITUTE(TRIM(C292),"шт.",""),"шт","")))</f>
        <v>3</v>
      </c>
      <c r="K292" s="4">
        <f>VALUE(SUBSTITUTE(SUBSTITUTE(SUBSTITUTE(SUBSTITUTE(D292,"$",""),"€",""),"₽","")," ",""))*IF(ISNUMBER(FIND("$",D292)),Справочники!$H$3,IF(ISNUMBER(FIND("€",D292)),Справочники!$H$4,1))</f>
        <v>7000</v>
      </c>
      <c r="L292" t="str">
        <f>IFERROR(VLOOKUP(TRIM(G292),Справочники!$D$3:$E$13,2,0),"Нет в справочнике")</f>
        <v>Завершен</v>
      </c>
      <c r="M292" t="str">
        <f t="shared" ref="M292:M355" si="117">IF(COUNTIFS($H$2:H292,H292,$I$2:I292,I292,$E$2:E292,E292)&gt;1,"Дубликат","")</f>
        <v/>
      </c>
      <c r="N292" t="str">
        <f>IFERROR(VLOOKUP(I292,Товары_очищенные!$H$2:$J$502,3,0),"Нет в каталоге")</f>
        <v>Телевизоры</v>
      </c>
      <c r="O292" s="4">
        <f>IFERROR(VLOOKUP(I292,Товары_очищенные!$H$2:$M$502,6,0),"")</f>
        <v>92990</v>
      </c>
      <c r="P292" t="str">
        <f t="shared" ref="P292:P355" si="118">IF(O292="","Нет в каталоге",IF(ABS(K292/O292-1)&lt;=0.2,"ОК","Цена отличается от каталога"))</f>
        <v xml:space="preserve">Цена отличается от каталога</v>
      </c>
    </row>
    <row r="293">
      <c r="A293" s="3" t="s">
        <v>2602</v>
      </c>
      <c r="B293" s="3" t="s">
        <v>2233</v>
      </c>
      <c r="C293" s="3" t="s">
        <v>1942</v>
      </c>
      <c r="D293" s="3" t="s">
        <v>1943</v>
      </c>
      <c r="E293" s="3" t="s">
        <v>2605</v>
      </c>
      <c r="F293" s="3" t="s">
        <v>1573</v>
      </c>
      <c r="G293" s="3" t="s">
        <v>1913</v>
      </c>
      <c r="H293" s="5">
        <f t="shared" si="114"/>
        <v>45817</v>
      </c>
      <c r="I293" t="str">
        <f t="shared" si="115"/>
        <v>АРТ-344</v>
      </c>
      <c r="J293" s="6">
        <f t="shared" si="116"/>
        <v>-2</v>
      </c>
      <c r="K293" s="4">
        <f>VALUE(SUBSTITUTE(SUBSTITUTE(SUBSTITUTE(SUBSTITUTE(D293,"$",""),"€",""),"₽","")," ",""))*IF(ISNUMBER(FIND("$",D293)),Справочники!$H$3,IF(ISNUMBER(FIND("€",D293)),Справочники!$H$4,1))</f>
        <v>10925</v>
      </c>
      <c r="L293" t="str">
        <f>IFERROR(VLOOKUP(TRIM(G293),Справочники!$D$3:$E$13,2,0),"Нет в справочнике")</f>
        <v>Завершен</v>
      </c>
      <c r="M293" t="str">
        <f t="shared" si="117"/>
        <v/>
      </c>
      <c r="N293" t="str">
        <f>IFERROR(VLOOKUP(I293,Товары_очищенные!$H$2:$J$502,3,0),"Нет в каталоге")</f>
        <v>Телевизоры</v>
      </c>
      <c r="O293" s="4">
        <f>IFERROR(VLOOKUP(I293,Товары_очищенные!$H$2:$M$502,6,0),"")</f>
        <v>82000</v>
      </c>
      <c r="P293" t="str">
        <f t="shared" si="118"/>
        <v xml:space="preserve">Цена отличается от каталога</v>
      </c>
    </row>
    <row r="294">
      <c r="A294" s="3" t="s">
        <v>2606</v>
      </c>
      <c r="B294" s="3" t="s">
        <v>740</v>
      </c>
      <c r="C294" s="3" t="s">
        <v>1905</v>
      </c>
      <c r="D294" s="3" t="s">
        <v>1934</v>
      </c>
      <c r="E294" s="3" t="s">
        <v>2607</v>
      </c>
      <c r="F294" s="3" t="s">
        <v>1808</v>
      </c>
      <c r="G294" s="3" t="s">
        <v>1903</v>
      </c>
      <c r="H294" s="5">
        <f t="shared" si="114"/>
        <v>45818</v>
      </c>
      <c r="I294" t="str">
        <f t="shared" si="115"/>
        <v>АРТ-179</v>
      </c>
      <c r="J294" s="6">
        <f t="shared" si="116"/>
        <v>1</v>
      </c>
      <c r="K294" s="4">
        <f>VALUE(SUBSTITUTE(SUBSTITUTE(SUBSTITUTE(SUBSTITUTE(D294,"$",""),"€",""),"₽","")," ",""))*IF(ISNUMBER(FIND("$",D294)),Справочники!$H$3,IF(ISNUMBER(FIND("€",D294)),Справочники!$H$4,1))</f>
        <v>9500</v>
      </c>
      <c r="L294" t="str">
        <f>IFERROR(VLOOKUP(TRIM(G294),Справочники!$D$3:$E$13,2,0),"Нет в справочнике")</f>
        <v>Завершен</v>
      </c>
      <c r="M294" t="str">
        <f t="shared" si="117"/>
        <v/>
      </c>
      <c r="N294" t="str">
        <f>IFERROR(VLOOKUP(I294,Товары_очищенные!$H$2:$J$502,3,0),"Нет в каталоге")</f>
        <v>Наушники</v>
      </c>
      <c r="O294" s="4">
        <f>IFERROR(VLOOKUP(I294,Товары_очищенные!$H$2:$M$502,6,0),"")</f>
        <v>13000</v>
      </c>
      <c r="P294" t="str">
        <f t="shared" si="118"/>
        <v xml:space="preserve">Цена отличается от каталога</v>
      </c>
    </row>
    <row r="295">
      <c r="A295" s="3" t="s">
        <v>2606</v>
      </c>
      <c r="B295" s="3" t="s">
        <v>703</v>
      </c>
      <c r="C295" s="3" t="s">
        <v>1900</v>
      </c>
      <c r="D295" s="3" t="s">
        <v>1951</v>
      </c>
      <c r="E295" s="3" t="s">
        <v>2608</v>
      </c>
      <c r="F295" s="3" t="s">
        <v>1670</v>
      </c>
      <c r="G295" s="3" t="s">
        <v>1924</v>
      </c>
      <c r="H295" s="5">
        <f t="shared" si="114"/>
        <v>45818</v>
      </c>
      <c r="I295" t="str">
        <f t="shared" si="115"/>
        <v>АРТ-168</v>
      </c>
      <c r="J295" s="6">
        <f t="shared" si="116"/>
        <v>2</v>
      </c>
      <c r="K295" s="4">
        <f>VALUE(SUBSTITUTE(SUBSTITUTE(SUBSTITUTE(SUBSTITUTE(D295,"$",""),"€",""),"₽","")," ",""))*IF(ISNUMBER(FIND("$",D295)),Справочники!$H$3,IF(ISNUMBER(FIND("€",D295)),Справочники!$H$4,1))</f>
        <v>8500</v>
      </c>
      <c r="L295" t="str">
        <f>IFERROR(VLOOKUP(TRIM(G295),Справочники!$D$3:$E$13,2,0),"Нет в справочнике")</f>
        <v>Отменен</v>
      </c>
      <c r="M295" t="str">
        <f t="shared" si="117"/>
        <v/>
      </c>
      <c r="N295" t="str">
        <f>IFERROR(VLOOKUP(I295,Товары_очищенные!$H$2:$J$502,3,0),"Нет в каталоге")</f>
        <v>Планшеты</v>
      </c>
      <c r="O295" s="4">
        <f>IFERROR(VLOOKUP(I295,Товары_очищенные!$H$2:$M$502,6,0),"")</f>
        <v>85000</v>
      </c>
      <c r="P295" t="str">
        <f t="shared" si="118"/>
        <v xml:space="preserve">Цена отличается от каталога</v>
      </c>
    </row>
    <row r="296">
      <c r="A296" s="3" t="s">
        <v>2609</v>
      </c>
      <c r="B296" s="3" t="s">
        <v>246</v>
      </c>
      <c r="C296" s="3" t="s">
        <v>1930</v>
      </c>
      <c r="D296" s="3" t="s">
        <v>1931</v>
      </c>
      <c r="E296" s="3" t="s">
        <v>2610</v>
      </c>
      <c r="F296" s="3" t="s">
        <v>1752</v>
      </c>
      <c r="G296" s="3" t="s">
        <v>1918</v>
      </c>
      <c r="H296" s="5">
        <f t="shared" si="114"/>
        <v>45819</v>
      </c>
      <c r="I296" t="str">
        <f t="shared" si="115"/>
        <v>АРТ-049</v>
      </c>
      <c r="J296" s="6">
        <f t="shared" si="116"/>
        <v>3</v>
      </c>
      <c r="K296" s="4">
        <f>VALUE(SUBSTITUTE(SUBSTITUTE(SUBSTITUTE(SUBSTITUTE(D296,"$",""),"€",""),"₽","")," ",""))*IF(ISNUMBER(FIND("$",D296)),Справочники!$H$3,IF(ISNUMBER(FIND("€",D296)),Справочники!$H$4,1))</f>
        <v>9975</v>
      </c>
      <c r="L296" t="str">
        <f>IFERROR(VLOOKUP(TRIM(G296),Справочники!$D$3:$E$13,2,0),"Нет в справочнике")</f>
        <v>Отменен</v>
      </c>
      <c r="M296" t="str">
        <f t="shared" si="117"/>
        <v/>
      </c>
      <c r="N296" t="str">
        <f>IFERROR(VLOOKUP(I296,Товары_очищенные!$H$2:$J$502,3,0),"Нет в каталоге")</f>
        <v>Смартфоны</v>
      </c>
      <c r="O296" s="4">
        <f>IFERROR(VLOOKUP(I296,Товары_очищенные!$H$2:$M$502,6,0),"")</f>
        <v>54999</v>
      </c>
      <c r="P296" t="str">
        <f t="shared" si="118"/>
        <v xml:space="preserve">Цена отличается от каталога</v>
      </c>
    </row>
    <row r="297">
      <c r="A297" s="3" t="s">
        <v>2609</v>
      </c>
      <c r="B297" s="3" t="s">
        <v>1398</v>
      </c>
      <c r="C297" s="3" t="s">
        <v>1900</v>
      </c>
      <c r="D297" s="3" t="s">
        <v>1906</v>
      </c>
      <c r="E297" s="3" t="s">
        <v>2611</v>
      </c>
      <c r="F297" s="3" t="s">
        <v>1790</v>
      </c>
      <c r="G297" s="3" t="s">
        <v>1927</v>
      </c>
      <c r="H297" s="5">
        <f t="shared" si="114"/>
        <v>45819</v>
      </c>
      <c r="I297" t="str">
        <f t="shared" si="115"/>
        <v>АРТ-431</v>
      </c>
      <c r="J297" s="6">
        <f t="shared" si="116"/>
        <v>2</v>
      </c>
      <c r="K297" s="4">
        <f>VALUE(SUBSTITUTE(SUBSTITUTE(SUBSTITUTE(SUBSTITUTE(D297,"$",""),"€",""),"₽","")," ",""))*IF(ISNUMBER(FIND("$",D297)),Справочники!$H$3,IF(ISNUMBER(FIND("€",D297)),Справочники!$H$4,1))</f>
        <v>8500</v>
      </c>
      <c r="L297" t="str">
        <f>IFERROR(VLOOKUP(TRIM(G297),Справочники!$D$3:$E$13,2,0),"Нет в справочнике")</f>
        <v>Возврат</v>
      </c>
      <c r="M297" t="str">
        <f t="shared" si="117"/>
        <v/>
      </c>
      <c r="N297" t="str">
        <f>IFERROR(VLOOKUP(I297,Товары_очищенные!$H$2:$J$502,3,0),"Нет в каталоге")</f>
        <v>Наушники</v>
      </c>
      <c r="O297" s="4">
        <f>IFERROR(VLOOKUP(I297,Товары_очищенные!$H$2:$M$502,6,0),"")</f>
        <v>14000</v>
      </c>
      <c r="P297" t="str">
        <f t="shared" si="118"/>
        <v xml:space="preserve">Цена отличается от каталога</v>
      </c>
    </row>
    <row r="298">
      <c r="A298" s="3" t="s">
        <v>2612</v>
      </c>
      <c r="B298" s="3" t="s">
        <v>2613</v>
      </c>
      <c r="C298" s="3" t="s">
        <v>1938</v>
      </c>
      <c r="D298" s="3" t="s">
        <v>2166</v>
      </c>
      <c r="E298" s="3" t="s">
        <v>2614</v>
      </c>
      <c r="F298" s="3" t="s">
        <v>1856</v>
      </c>
      <c r="G298" s="3" t="s">
        <v>1903</v>
      </c>
      <c r="H298" s="5">
        <f t="shared" si="114"/>
        <v>45820</v>
      </c>
      <c r="I298" t="str">
        <f t="shared" si="115"/>
        <v>АРТ-325</v>
      </c>
      <c r="J298" s="6">
        <f t="shared" si="116"/>
        <v>1</v>
      </c>
      <c r="K298" s="4">
        <f>VALUE(SUBSTITUTE(SUBSTITUTE(SUBSTITUTE(SUBSTITUTE(D298,"$",""),"€",""),"₽","")," ",""))*IF(ISNUMBER(FIND("$",D298)),Справочники!$H$3,IF(ISNUMBER(FIND("€",D298)),Справочники!$H$4,1))</f>
        <v>7800</v>
      </c>
      <c r="L298" t="str">
        <f>IFERROR(VLOOKUP(TRIM(G298),Справочники!$D$3:$E$13,2,0),"Нет в справочнике")</f>
        <v>Завершен</v>
      </c>
      <c r="M298" t="str">
        <f t="shared" si="117"/>
        <v/>
      </c>
      <c r="N298" t="str">
        <f>IFERROR(VLOOKUP(I298,Товары_очищенные!$H$2:$J$502,3,0),"Нет в каталоге")</f>
        <v>Мониторы</v>
      </c>
      <c r="O298" s="4">
        <f>IFERROR(VLOOKUP(I298,Товары_очищенные!$H$2:$M$502,6,0),"")</f>
        <v>66990</v>
      </c>
      <c r="P298" t="str">
        <f t="shared" si="118"/>
        <v xml:space="preserve">Цена отличается от каталога</v>
      </c>
    </row>
    <row r="299">
      <c r="A299" s="3" t="s">
        <v>2612</v>
      </c>
      <c r="B299" s="3" t="s">
        <v>2408</v>
      </c>
      <c r="C299" s="3" t="s">
        <v>1985</v>
      </c>
      <c r="D299" s="3" t="s">
        <v>2044</v>
      </c>
      <c r="E299" s="3" t="s">
        <v>2615</v>
      </c>
      <c r="F299" s="3" t="s">
        <v>1708</v>
      </c>
      <c r="G299" s="3" t="s">
        <v>1908</v>
      </c>
      <c r="H299" s="5">
        <f t="shared" si="114"/>
        <v>45820</v>
      </c>
      <c r="I299" t="str">
        <f t="shared" si="115"/>
        <v>АРТ-291</v>
      </c>
      <c r="J299" s="6">
        <f t="shared" si="116"/>
        <v>-3</v>
      </c>
      <c r="K299" s="4">
        <f>VALUE(SUBSTITUTE(SUBSTITUTE(SUBSTITUTE(SUBSTITUTE(D299,"$",""),"€",""),"₽","")," ",""))*IF(ISNUMBER(FIND("$",D299)),Справочники!$H$3,IF(ISNUMBER(FIND("€",D299)),Справочники!$H$4,1))</f>
        <v>11400</v>
      </c>
      <c r="L299" t="str">
        <f>IFERROR(VLOOKUP(TRIM(G299),Справочники!$D$3:$E$13,2,0),"Нет в справочнике")</f>
        <v>Завершен</v>
      </c>
      <c r="M299" t="str">
        <f t="shared" si="117"/>
        <v/>
      </c>
      <c r="N299" t="str">
        <f>IFERROR(VLOOKUP(I299,Товары_очищенные!$H$2:$J$502,3,0),"Нет в каталоге")</f>
        <v>Часы</v>
      </c>
      <c r="O299" s="4">
        <f>IFERROR(VLOOKUP(I299,Товары_очищенные!$H$2:$M$502,6,0),"")</f>
        <v>65000</v>
      </c>
      <c r="P299" t="str">
        <f t="shared" si="118"/>
        <v xml:space="preserve">Цена отличается от каталога</v>
      </c>
    </row>
    <row r="300">
      <c r="A300" s="3" t="s">
        <v>2616</v>
      </c>
      <c r="B300" s="3" t="s">
        <v>2617</v>
      </c>
      <c r="C300" s="3" t="s">
        <v>1900</v>
      </c>
      <c r="D300" s="3" t="s">
        <v>2046</v>
      </c>
      <c r="E300" s="3" t="s">
        <v>2618</v>
      </c>
      <c r="F300" s="3" t="s">
        <v>1838</v>
      </c>
      <c r="G300" s="3" t="s">
        <v>1913</v>
      </c>
      <c r="H300" s="5">
        <f t="shared" si="114"/>
        <v>45821</v>
      </c>
      <c r="I300" t="str">
        <f t="shared" si="115"/>
        <v>АРТ-268</v>
      </c>
      <c r="J300" s="6">
        <f t="shared" si="116"/>
        <v>2</v>
      </c>
      <c r="K300" s="4">
        <f>VALUE(SUBSTITUTE(SUBSTITUTE(SUBSTITUTE(SUBSTITUTE(D300,"$",""),"€",""),"₽","")," ",""))*IF(ISNUMBER(FIND("$",D300)),Справочники!$H$3,IF(ISNUMBER(FIND("€",D300)),Справочники!$H$4,1))</f>
        <v>10000</v>
      </c>
      <c r="L300" t="str">
        <f>IFERROR(VLOOKUP(TRIM(G300),Справочники!$D$3:$E$13,2,0),"Нет в справочнике")</f>
        <v>Завершен</v>
      </c>
      <c r="M300" t="str">
        <f t="shared" si="117"/>
        <v/>
      </c>
      <c r="N300" t="str">
        <f>IFERROR(VLOOKUP(I300,Товары_очищенные!$H$2:$J$502,3,0),"Нет в каталоге")</f>
        <v>Аксессуары</v>
      </c>
      <c r="O300" s="4">
        <f>IFERROR(VLOOKUP(I300,Товары_очищенные!$H$2:$M$502,6,0),"")</f>
        <v>22990</v>
      </c>
      <c r="P300" t="str">
        <f t="shared" si="118"/>
        <v xml:space="preserve">Цена отличается от каталога</v>
      </c>
    </row>
    <row r="301">
      <c r="A301" s="3" t="s">
        <v>2616</v>
      </c>
      <c r="B301" s="3" t="s">
        <v>2619</v>
      </c>
      <c r="C301" s="3" t="s">
        <v>1905</v>
      </c>
      <c r="D301" s="3" t="s">
        <v>2087</v>
      </c>
      <c r="E301" s="3" t="s">
        <v>2620</v>
      </c>
      <c r="F301" s="3" t="s">
        <v>1759</v>
      </c>
      <c r="G301" s="3" t="s">
        <v>1918</v>
      </c>
      <c r="H301" s="5">
        <f t="shared" si="114"/>
        <v>45821</v>
      </c>
      <c r="I301" t="str">
        <f t="shared" si="115"/>
        <v>АРТ-187</v>
      </c>
      <c r="J301" s="6">
        <f t="shared" si="116"/>
        <v>1</v>
      </c>
      <c r="K301" s="4">
        <f>VALUE(SUBSTITUTE(SUBSTITUTE(SUBSTITUTE(SUBSTITUTE(D301,"$",""),"€",""),"₽","")," ",""))*IF(ISNUMBER(FIND("$",D301)),Справочники!$H$3,IF(ISNUMBER(FIND("€",D301)),Справочники!$H$4,1))</f>
        <v>9200</v>
      </c>
      <c r="L301" t="str">
        <f>IFERROR(VLOOKUP(TRIM(G301),Справочники!$D$3:$E$13,2,0),"Нет в справочнике")</f>
        <v>Отменен</v>
      </c>
      <c r="M301" t="str">
        <f t="shared" si="117"/>
        <v/>
      </c>
      <c r="N301" t="str">
        <f>IFERROR(VLOOKUP(I301,Товары_очищенные!$H$2:$J$502,3,0),"Нет в каталоге")</f>
        <v>Часы</v>
      </c>
      <c r="O301" s="4">
        <f>IFERROR(VLOOKUP(I301,Товары_очищенные!$H$2:$M$502,6,0),"")</f>
        <v>49990</v>
      </c>
      <c r="P301" t="str">
        <f t="shared" si="118"/>
        <v xml:space="preserve">Цена отличается от каталога</v>
      </c>
    </row>
    <row r="302">
      <c r="A302" s="3" t="s">
        <v>2621</v>
      </c>
      <c r="B302" s="3" t="s">
        <v>2269</v>
      </c>
      <c r="C302" s="3" t="s">
        <v>1930</v>
      </c>
      <c r="D302" s="3" t="s">
        <v>1986</v>
      </c>
      <c r="E302" s="3" t="s">
        <v>2622</v>
      </c>
      <c r="F302" s="3" t="s">
        <v>1642</v>
      </c>
      <c r="G302" s="3" t="s">
        <v>1924</v>
      </c>
      <c r="H302" s="5">
        <f t="shared" si="114"/>
        <v>45822</v>
      </c>
      <c r="I302" t="str">
        <f t="shared" si="115"/>
        <v>АРТ-138</v>
      </c>
      <c r="J302" s="6">
        <f t="shared" si="116"/>
        <v>3</v>
      </c>
      <c r="K302" s="4">
        <f>VALUE(SUBSTITUTE(SUBSTITUTE(SUBSTITUTE(SUBSTITUTE(D302,"$",""),"€",""),"₽","")," ",""))*IF(ISNUMBER(FIND("$",D302)),Справочники!$H$3,IF(ISNUMBER(FIND("€",D302)),Справочники!$H$4,1))</f>
        <v>8550</v>
      </c>
      <c r="L302" t="str">
        <f>IFERROR(VLOOKUP(TRIM(G302),Справочники!$D$3:$E$13,2,0),"Нет в справочнике")</f>
        <v>Отменен</v>
      </c>
      <c r="M302" t="str">
        <f t="shared" si="117"/>
        <v/>
      </c>
      <c r="N302" t="str">
        <f>IFERROR(VLOOKUP(I302,Товары_очищенные!$H$2:$J$502,3,0),"Нет в каталоге")</f>
        <v>Наушники</v>
      </c>
      <c r="O302" s="4">
        <f>IFERROR(VLOOKUP(I302,Товары_очищенные!$H$2:$M$502,6,0),"")</f>
        <v>24000</v>
      </c>
      <c r="P302" t="str">
        <f t="shared" si="118"/>
        <v xml:space="preserve">Цена отличается от каталога</v>
      </c>
    </row>
    <row r="303">
      <c r="A303" s="3" t="s">
        <v>2621</v>
      </c>
      <c r="B303" s="3" t="s">
        <v>2623</v>
      </c>
      <c r="C303" s="3" t="s">
        <v>1900</v>
      </c>
      <c r="D303" s="3" t="s">
        <v>1989</v>
      </c>
      <c r="E303" s="3" t="s">
        <v>2624</v>
      </c>
      <c r="F303" s="3" t="s">
        <v>1608</v>
      </c>
      <c r="G303" s="3" t="s">
        <v>1903</v>
      </c>
      <c r="H303" s="5">
        <f t="shared" si="114"/>
        <v>45822</v>
      </c>
      <c r="I303" t="str">
        <f t="shared" si="115"/>
        <v>АРТ-486</v>
      </c>
      <c r="J303" s="6">
        <f t="shared" si="116"/>
        <v>2</v>
      </c>
      <c r="K303" s="4">
        <f>VALUE(SUBSTITUTE(SUBSTITUTE(SUBSTITUTE(SUBSTITUTE(D303,"$",""),"€",""),"₽","")," ",""))*IF(ISNUMBER(FIND("$",D303)),Справочники!$H$3,IF(ISNUMBER(FIND("€",D303)),Справочники!$H$4,1))</f>
        <v>7000</v>
      </c>
      <c r="L303" t="str">
        <f>IFERROR(VLOOKUP(TRIM(G303),Справочники!$D$3:$E$13,2,0),"Нет в справочнике")</f>
        <v>Завершен</v>
      </c>
      <c r="M303" t="str">
        <f t="shared" si="117"/>
        <v/>
      </c>
      <c r="N303" t="str">
        <f>IFERROR(VLOOKUP(I303,Товары_очищенные!$H$2:$J$502,3,0),"Нет в каталоге")</f>
        <v>Смартфоны</v>
      </c>
      <c r="O303" s="4">
        <f>IFERROR(VLOOKUP(I303,Товары_очищенные!$H$2:$M$502,6,0),"")</f>
        <v>35500</v>
      </c>
      <c r="P303" t="str">
        <f t="shared" si="118"/>
        <v xml:space="preserve">Цена отличается от каталога</v>
      </c>
    </row>
    <row r="304">
      <c r="A304" s="3" t="s">
        <v>2625</v>
      </c>
      <c r="B304" s="3" t="s">
        <v>2626</v>
      </c>
      <c r="C304" s="3" t="s">
        <v>1938</v>
      </c>
      <c r="D304" s="3" t="s">
        <v>1939</v>
      </c>
      <c r="E304" s="3" t="s">
        <v>2627</v>
      </c>
      <c r="F304" s="3" t="s">
        <v>1715</v>
      </c>
      <c r="G304" s="3" t="s">
        <v>1927</v>
      </c>
      <c r="H304" s="5">
        <f t="shared" si="114"/>
        <v>45823</v>
      </c>
      <c r="I304" t="str">
        <f t="shared" si="115"/>
        <v>АРТ-347</v>
      </c>
      <c r="J304" s="6">
        <f t="shared" si="116"/>
        <v>1</v>
      </c>
      <c r="K304" s="4">
        <f>VALUE(SUBSTITUTE(SUBSTITUTE(SUBSTITUTE(SUBSTITUTE(D304,"$",""),"€",""),"₽","")," ",""))*IF(ISNUMBER(FIND("$",D304)),Справочники!$H$3,IF(ISNUMBER(FIND("€",D304)),Справочники!$H$4,1))</f>
        <v>6500</v>
      </c>
      <c r="L304" t="str">
        <f>IFERROR(VLOOKUP(TRIM(G304),Справочники!$D$3:$E$13,2,0),"Нет в справочнике")</f>
        <v>Возврат</v>
      </c>
      <c r="M304" t="str">
        <f t="shared" si="117"/>
        <v/>
      </c>
      <c r="N304" t="str">
        <f>IFERROR(VLOOKUP(I304,Товары_очищенные!$H$2:$J$502,3,0),"Нет в каталоге")</f>
        <v>Наушники</v>
      </c>
      <c r="O304" s="4">
        <f>IFERROR(VLOOKUP(I304,Товары_очищенные!$H$2:$M$502,6,0),"")</f>
        <v>19000</v>
      </c>
      <c r="P304" t="str">
        <f t="shared" si="118"/>
        <v xml:space="preserve">Цена отличается от каталога</v>
      </c>
    </row>
    <row r="305">
      <c r="A305" s="3" t="s">
        <v>2625</v>
      </c>
      <c r="B305" s="3" t="s">
        <v>2628</v>
      </c>
      <c r="C305" s="3" t="s">
        <v>1915</v>
      </c>
      <c r="D305" s="3" t="s">
        <v>1916</v>
      </c>
      <c r="E305" s="3" t="s">
        <v>2629</v>
      </c>
      <c r="F305" s="3" t="s">
        <v>1850</v>
      </c>
      <c r="G305" s="3" t="s">
        <v>1908</v>
      </c>
      <c r="H305" s="5">
        <f t="shared" si="114"/>
        <v>45823</v>
      </c>
      <c r="I305" t="str">
        <f t="shared" si="115"/>
        <v>АРТ-381</v>
      </c>
      <c r="J305" s="6">
        <f t="shared" si="116"/>
        <v>-1</v>
      </c>
      <c r="K305" s="4">
        <f>VALUE(SUBSTITUTE(SUBSTITUTE(SUBSTITUTE(SUBSTITUTE(D305,"$",""),"€",""),"₽","")," ",""))*IF(ISNUMBER(FIND("$",D305)),Справочники!$H$3,IF(ISNUMBER(FIND("€",D305)),Справочники!$H$4,1))</f>
        <v>10450</v>
      </c>
      <c r="L305" t="str">
        <f>IFERROR(VLOOKUP(TRIM(G305),Справочники!$D$3:$E$13,2,0),"Нет в справочнике")</f>
        <v>Завершен</v>
      </c>
      <c r="M305" t="str">
        <f t="shared" si="117"/>
        <v/>
      </c>
      <c r="N305" t="str">
        <f>IFERROR(VLOOKUP(I305,Товары_очищенные!$H$2:$J$502,3,0),"Нет в каталоге")</f>
        <v>Планшеты</v>
      </c>
      <c r="O305" s="4">
        <f>IFERROR(VLOOKUP(I305,Товары_очищенные!$H$2:$M$502,6,0),"")</f>
        <v>38500</v>
      </c>
      <c r="P305" t="str">
        <f t="shared" si="118"/>
        <v xml:space="preserve">Цена отличается от каталога</v>
      </c>
    </row>
    <row r="306">
      <c r="A306" s="3" t="s">
        <v>2630</v>
      </c>
      <c r="B306" s="3" t="s">
        <v>2631</v>
      </c>
      <c r="C306" s="3" t="s">
        <v>1930</v>
      </c>
      <c r="D306" s="3" t="s">
        <v>1922</v>
      </c>
      <c r="E306" s="3" t="s">
        <v>2632</v>
      </c>
      <c r="F306" s="3" t="s">
        <v>1615</v>
      </c>
      <c r="G306" s="3" t="s">
        <v>1913</v>
      </c>
      <c r="H306" s="5">
        <f t="shared" si="114"/>
        <v>45824</v>
      </c>
      <c r="I306" t="str">
        <f t="shared" si="115"/>
        <v>АРТ-219</v>
      </c>
      <c r="J306" s="6">
        <f t="shared" si="116"/>
        <v>3</v>
      </c>
      <c r="K306" s="4">
        <f>VALUE(SUBSTITUTE(SUBSTITUTE(SUBSTITUTE(SUBSTITUTE(D306,"$",""),"€",""),"₽","")," ",""))*IF(ISNUMBER(FIND("$",D306)),Справочники!$H$3,IF(ISNUMBER(FIND("€",D306)),Справочники!$H$4,1))</f>
        <v>9000</v>
      </c>
      <c r="L306" t="str">
        <f>IFERROR(VLOOKUP(TRIM(G306),Справочники!$D$3:$E$13,2,0),"Нет в справочнике")</f>
        <v>Завершен</v>
      </c>
      <c r="M306" t="str">
        <f t="shared" si="117"/>
        <v/>
      </c>
      <c r="N306" t="str">
        <f>IFERROR(VLOOKUP(I306,Товары_очищенные!$H$2:$J$502,3,0),"Нет в каталоге")</f>
        <v>Телевизоры</v>
      </c>
      <c r="O306" s="4">
        <f>IFERROR(VLOOKUP(I306,Товары_очищенные!$H$2:$M$502,6,0),"")</f>
        <v>72000</v>
      </c>
      <c r="P306" t="str">
        <f t="shared" si="118"/>
        <v xml:space="preserve">Цена отличается от каталога</v>
      </c>
    </row>
    <row r="307">
      <c r="A307" s="3" t="s">
        <v>2630</v>
      </c>
      <c r="B307" s="3" t="s">
        <v>2633</v>
      </c>
      <c r="C307" s="3" t="s">
        <v>1900</v>
      </c>
      <c r="D307" s="3" t="s">
        <v>1925</v>
      </c>
      <c r="E307" s="3" t="s">
        <v>2634</v>
      </c>
      <c r="F307" s="3" t="s">
        <v>1765</v>
      </c>
      <c r="G307" s="3" t="s">
        <v>1903</v>
      </c>
      <c r="H307" s="5">
        <f t="shared" si="114"/>
        <v>45824</v>
      </c>
      <c r="I307" t="str">
        <f t="shared" si="115"/>
        <v>АРТ-263</v>
      </c>
      <c r="J307" s="6">
        <f t="shared" si="116"/>
        <v>2</v>
      </c>
      <c r="K307" s="4">
        <f>VALUE(SUBSTITUTE(SUBSTITUTE(SUBSTITUTE(SUBSTITUTE(D307,"$",""),"€",""),"₽","")," ",""))*IF(ISNUMBER(FIND("$",D307)),Справочники!$H$3,IF(ISNUMBER(FIND("€",D307)),Справочники!$H$4,1))</f>
        <v>8000</v>
      </c>
      <c r="L307" t="str">
        <f>IFERROR(VLOOKUP(TRIM(G307),Справочники!$D$3:$E$13,2,0),"Нет в справочнике")</f>
        <v>Завершен</v>
      </c>
      <c r="M307" t="str">
        <f t="shared" si="117"/>
        <v/>
      </c>
      <c r="N307" t="str">
        <f>IFERROR(VLOOKUP(I307,Товары_очищенные!$H$2:$J$502,3,0),"Нет в каталоге")</f>
        <v>Наушники</v>
      </c>
      <c r="O307" s="4">
        <f>IFERROR(VLOOKUP(I307,Товары_очищенные!$H$2:$M$502,6,0),"")</f>
        <v>11000</v>
      </c>
      <c r="P307" t="str">
        <f t="shared" si="118"/>
        <v xml:space="preserve">Цена отличается от каталога</v>
      </c>
    </row>
    <row r="308">
      <c r="A308" s="3" t="s">
        <v>2635</v>
      </c>
      <c r="B308" s="3" t="s">
        <v>2636</v>
      </c>
      <c r="C308" s="3" t="s">
        <v>1905</v>
      </c>
      <c r="D308" s="3" t="s">
        <v>1964</v>
      </c>
      <c r="E308" s="3" t="s">
        <v>2637</v>
      </c>
      <c r="F308" s="3" t="s">
        <v>1688</v>
      </c>
      <c r="G308" s="3" t="s">
        <v>1924</v>
      </c>
      <c r="H308" s="5">
        <f t="shared" si="114"/>
        <v>45825</v>
      </c>
      <c r="I308" t="str">
        <f t="shared" si="115"/>
        <v>АРТ-101</v>
      </c>
      <c r="J308" s="6">
        <f t="shared" si="116"/>
        <v>1</v>
      </c>
      <c r="K308" s="4">
        <f>VALUE(SUBSTITUTE(SUBSTITUTE(SUBSTITUTE(SUBSTITUTE(D308,"$",""),"€",""),"₽","")," ",""))*IF(ISNUMBER(FIND("$",D308)),Справочники!$H$3,IF(ISNUMBER(FIND("€",D308)),Справочники!$H$4,1))</f>
        <v>9025</v>
      </c>
      <c r="L308" t="str">
        <f>IFERROR(VLOOKUP(TRIM(G308),Справочники!$D$3:$E$13,2,0),"Нет в справочнике")</f>
        <v>Отменен</v>
      </c>
      <c r="M308" t="str">
        <f t="shared" si="117"/>
        <v/>
      </c>
      <c r="N308" t="str">
        <f>IFERROR(VLOOKUP(I308,Товары_очищенные!$H$2:$J$502,3,0),"Нет в каталоге")</f>
        <v>Планшеты</v>
      </c>
      <c r="O308" s="4">
        <f>IFERROR(VLOOKUP(I308,Товары_очищенные!$H$2:$M$502,6,0),"")</f>
        <v>55500</v>
      </c>
      <c r="P308" t="str">
        <f t="shared" si="118"/>
        <v xml:space="preserve">Цена отличается от каталога</v>
      </c>
    </row>
    <row r="309">
      <c r="A309" s="3" t="s">
        <v>2635</v>
      </c>
      <c r="B309" s="3" t="s">
        <v>2587</v>
      </c>
      <c r="C309" s="3" t="s">
        <v>1900</v>
      </c>
      <c r="D309" s="3" t="s">
        <v>1968</v>
      </c>
      <c r="E309" s="3" t="s">
        <v>2638</v>
      </c>
      <c r="F309" s="3" t="s">
        <v>1832</v>
      </c>
      <c r="G309" s="3" t="s">
        <v>1918</v>
      </c>
      <c r="H309" s="5">
        <f t="shared" si="114"/>
        <v>45825</v>
      </c>
      <c r="I309" t="str">
        <f t="shared" si="115"/>
        <v>АРТ-457</v>
      </c>
      <c r="J309" s="6">
        <f t="shared" si="116"/>
        <v>2</v>
      </c>
      <c r="K309" s="4">
        <f>VALUE(SUBSTITUTE(SUBSTITUTE(SUBSTITUTE(SUBSTITUTE(D309,"$",""),"€",""),"₽","")," ",""))*IF(ISNUMBER(FIND("$",D309)),Справочники!$H$3,IF(ISNUMBER(FIND("€",D309)),Справочники!$H$4,1))</f>
        <v>7500</v>
      </c>
      <c r="L309" t="str">
        <f>IFERROR(VLOOKUP(TRIM(G309),Справочники!$D$3:$E$13,2,0),"Нет в справочнике")</f>
        <v>Отменен</v>
      </c>
      <c r="M309" t="str">
        <f t="shared" si="117"/>
        <v/>
      </c>
      <c r="N309" t="str">
        <f>IFERROR(VLOOKUP(I309,Товары_очищенные!$H$2:$J$502,3,0),"Нет в каталоге")</f>
        <v>Аксессуары</v>
      </c>
      <c r="O309" s="4">
        <f>IFERROR(VLOOKUP(I309,Товары_очищенные!$H$2:$M$502,6,0),"")</f>
        <v>6990</v>
      </c>
      <c r="P309" t="str">
        <f t="shared" si="118"/>
        <v>ОК</v>
      </c>
    </row>
    <row r="310">
      <c r="A310" s="3" t="s">
        <v>2639</v>
      </c>
      <c r="B310" s="3" t="s">
        <v>2640</v>
      </c>
      <c r="C310" s="3" t="s">
        <v>1910</v>
      </c>
      <c r="D310" s="3" t="s">
        <v>1971</v>
      </c>
      <c r="E310" s="3" t="s">
        <v>2641</v>
      </c>
      <c r="F310" s="3" t="s">
        <v>1594</v>
      </c>
      <c r="G310" s="3" t="s">
        <v>1927</v>
      </c>
      <c r="H310" s="5">
        <f t="shared" si="114"/>
        <v>45826</v>
      </c>
      <c r="I310" t="str">
        <f t="shared" si="115"/>
        <v>АРТ-380</v>
      </c>
      <c r="J310" s="6">
        <f t="shared" si="116"/>
        <v>3</v>
      </c>
      <c r="K310" s="4">
        <f>VALUE(SUBSTITUTE(SUBSTITUTE(SUBSTITUTE(SUBSTITUTE(D310,"$",""),"€",""),"₽","")," ",""))*IF(ISNUMBER(FIND("$",D310)),Справочники!$H$3,IF(ISNUMBER(FIND("€",D310)),Справочники!$H$4,1))</f>
        <v>7000</v>
      </c>
      <c r="L310" t="str">
        <f>IFERROR(VLOOKUP(TRIM(G310),Справочники!$D$3:$E$13,2,0),"Нет в справочнике")</f>
        <v>Возврат</v>
      </c>
      <c r="M310" t="str">
        <f t="shared" si="117"/>
        <v/>
      </c>
      <c r="N310" t="str">
        <f>IFERROR(VLOOKUP(I310,Товары_очищенные!$H$2:$J$502,3,0),"Нет в каталоге")</f>
        <v>Планшеты</v>
      </c>
      <c r="O310" s="4">
        <f>IFERROR(VLOOKUP(I310,Товары_очищенные!$H$2:$M$502,6,0),"")</f>
        <v>35500</v>
      </c>
      <c r="P310" t="str">
        <f t="shared" si="118"/>
        <v xml:space="preserve">Цена отличается от каталога</v>
      </c>
    </row>
    <row r="311">
      <c r="A311" s="3" t="s">
        <v>2639</v>
      </c>
      <c r="B311" s="3" t="s">
        <v>1914</v>
      </c>
      <c r="C311" s="3" t="s">
        <v>1942</v>
      </c>
      <c r="D311" s="3" t="s">
        <v>1943</v>
      </c>
      <c r="E311" s="3" t="s">
        <v>2642</v>
      </c>
      <c r="F311" s="3" t="s">
        <v>1796</v>
      </c>
      <c r="G311" s="3" t="s">
        <v>1903</v>
      </c>
      <c r="H311" s="5">
        <f t="shared" si="114"/>
        <v>45826</v>
      </c>
      <c r="I311" t="str">
        <f t="shared" si="115"/>
        <v>АРТ-234</v>
      </c>
      <c r="J311" s="6">
        <f t="shared" si="116"/>
        <v>-2</v>
      </c>
      <c r="K311" s="4">
        <f>VALUE(SUBSTITUTE(SUBSTITUTE(SUBSTITUTE(SUBSTITUTE(D311,"$",""),"€",""),"₽","")," ",""))*IF(ISNUMBER(FIND("$",D311)),Справочники!$H$3,IF(ISNUMBER(FIND("€",D311)),Справочники!$H$4,1))</f>
        <v>10925</v>
      </c>
      <c r="L311" t="str">
        <f>IFERROR(VLOOKUP(TRIM(G311),Справочники!$D$3:$E$13,2,0),"Нет в справочнике")</f>
        <v>Завершен</v>
      </c>
      <c r="M311" t="str">
        <f t="shared" si="117"/>
        <v/>
      </c>
      <c r="N311" t="str">
        <f>IFERROR(VLOOKUP(I311,Товары_очищенные!$H$2:$J$502,3,0),"Нет в каталоге")</f>
        <v>Смартфоны</v>
      </c>
      <c r="O311" s="4">
        <f>IFERROR(VLOOKUP(I311,Товары_очищенные!$H$2:$M$502,6,0),"")</f>
        <v>44500</v>
      </c>
      <c r="P311" t="str">
        <f t="shared" si="118"/>
        <v xml:space="preserve">Цена отличается от каталога</v>
      </c>
    </row>
    <row r="312">
      <c r="A312" s="3" t="s">
        <v>2643</v>
      </c>
      <c r="B312" s="3" t="s">
        <v>2644</v>
      </c>
      <c r="C312" s="3" t="s">
        <v>1905</v>
      </c>
      <c r="D312" s="3" t="s">
        <v>1934</v>
      </c>
      <c r="E312" s="3" t="s">
        <v>2645</v>
      </c>
      <c r="F312" s="3" t="s">
        <v>1656</v>
      </c>
      <c r="G312" s="3" t="s">
        <v>1908</v>
      </c>
      <c r="H312" s="5">
        <f t="shared" si="114"/>
        <v>45827</v>
      </c>
      <c r="I312" t="str">
        <f t="shared" si="115"/>
        <v>АРТ-306</v>
      </c>
      <c r="J312" s="6">
        <f t="shared" si="116"/>
        <v>1</v>
      </c>
      <c r="K312" s="4">
        <f>VALUE(SUBSTITUTE(SUBSTITUTE(SUBSTITUTE(SUBSTITUTE(D312,"$",""),"€",""),"₽","")," ",""))*IF(ISNUMBER(FIND("$",D312)),Справочники!$H$3,IF(ISNUMBER(FIND("€",D312)),Справочники!$H$4,1))</f>
        <v>9500</v>
      </c>
      <c r="L312" t="str">
        <f>IFERROR(VLOOKUP(TRIM(G312),Справочники!$D$3:$E$13,2,0),"Нет в справочнике")</f>
        <v>Завершен</v>
      </c>
      <c r="M312" t="str">
        <f t="shared" si="117"/>
        <v/>
      </c>
      <c r="N312" t="str">
        <f>IFERROR(VLOOKUP(I312,Товары_очищенные!$H$2:$J$502,3,0),"Нет в каталоге")</f>
        <v>Мониторы</v>
      </c>
      <c r="O312" s="4">
        <f>IFERROR(VLOOKUP(I312,Товары_очищенные!$H$2:$M$502,6,0),"")</f>
        <v>62000</v>
      </c>
      <c r="P312" t="str">
        <f t="shared" si="118"/>
        <v xml:space="preserve">Цена отличается от каталога</v>
      </c>
    </row>
    <row r="313">
      <c r="A313" s="3" t="s">
        <v>2643</v>
      </c>
      <c r="B313" s="3" t="s">
        <v>2646</v>
      </c>
      <c r="C313" s="3" t="s">
        <v>1900</v>
      </c>
      <c r="D313" s="3" t="s">
        <v>1951</v>
      </c>
      <c r="E313" s="3" t="s">
        <v>2647</v>
      </c>
      <c r="F313" s="3" t="s">
        <v>1746</v>
      </c>
      <c r="G313" s="3" t="s">
        <v>1913</v>
      </c>
      <c r="H313" s="5">
        <f t="shared" si="114"/>
        <v>45827</v>
      </c>
      <c r="I313" t="str">
        <f t="shared" si="115"/>
        <v>АРТ-158</v>
      </c>
      <c r="J313" s="6">
        <f t="shared" si="116"/>
        <v>2</v>
      </c>
      <c r="K313" s="4">
        <f>VALUE(SUBSTITUTE(SUBSTITUTE(SUBSTITUTE(SUBSTITUTE(D313,"$",""),"€",""),"₽","")," ",""))*IF(ISNUMBER(FIND("$",D313)),Справочники!$H$3,IF(ISNUMBER(FIND("€",D313)),Справочники!$H$4,1))</f>
        <v>8500</v>
      </c>
      <c r="L313" t="str">
        <f>IFERROR(VLOOKUP(TRIM(G313),Справочники!$D$3:$E$13,2,0),"Нет в справочнике")</f>
        <v>Завершен</v>
      </c>
      <c r="M313" t="str">
        <f t="shared" si="117"/>
        <v/>
      </c>
      <c r="N313" t="str">
        <f>IFERROR(VLOOKUP(I313,Товары_очищенные!$H$2:$J$502,3,0),"Нет в каталоге")</f>
        <v>Мониторы</v>
      </c>
      <c r="O313" s="4">
        <f>IFERROR(VLOOKUP(I313,Товары_очищенные!$H$2:$M$502,6,0),"")</f>
        <v>90000</v>
      </c>
      <c r="P313" t="str">
        <f t="shared" si="118"/>
        <v xml:space="preserve">Цена отличается от каталога</v>
      </c>
    </row>
    <row r="314">
      <c r="A314" s="3" t="s">
        <v>2648</v>
      </c>
      <c r="B314" s="3" t="s">
        <v>2649</v>
      </c>
      <c r="C314" s="3" t="s">
        <v>1930</v>
      </c>
      <c r="D314" s="3" t="s">
        <v>1931</v>
      </c>
      <c r="E314" s="3" t="s">
        <v>2650</v>
      </c>
      <c r="F314" s="3" t="s">
        <v>1622</v>
      </c>
      <c r="G314" s="3" t="s">
        <v>1918</v>
      </c>
      <c r="H314" s="5">
        <f t="shared" si="114"/>
        <v>45828</v>
      </c>
      <c r="I314" t="str">
        <f t="shared" si="115"/>
        <v>АРТ-074</v>
      </c>
      <c r="J314" s="6">
        <f t="shared" si="116"/>
        <v>3</v>
      </c>
      <c r="K314" s="4">
        <f>VALUE(SUBSTITUTE(SUBSTITUTE(SUBSTITUTE(SUBSTITUTE(D314,"$",""),"€",""),"₽","")," ",""))*IF(ISNUMBER(FIND("$",D314)),Справочники!$H$3,IF(ISNUMBER(FIND("€",D314)),Справочники!$H$4,1))</f>
        <v>9975</v>
      </c>
      <c r="L314" t="str">
        <f>IFERROR(VLOOKUP(TRIM(G314),Справочники!$D$3:$E$13,2,0),"Нет в справочнике")</f>
        <v>Отменен</v>
      </c>
      <c r="M314" t="str">
        <f t="shared" si="117"/>
        <v/>
      </c>
      <c r="N314" t="str">
        <f>IFERROR(VLOOKUP(I314,Товары_очищенные!$H$2:$J$502,3,0),"Нет в каталоге")</f>
        <v>Мониторы</v>
      </c>
      <c r="O314" s="4">
        <f>IFERROR(VLOOKUP(I314,Товары_очищенные!$H$2:$M$502,6,0),"")</f>
        <v>77500</v>
      </c>
      <c r="P314" t="str">
        <f t="shared" si="118"/>
        <v xml:space="preserve">Цена отличается от каталога</v>
      </c>
    </row>
    <row r="315">
      <c r="A315" s="3" t="s">
        <v>2648</v>
      </c>
      <c r="B315" s="3" t="s">
        <v>1431</v>
      </c>
      <c r="C315" s="3" t="s">
        <v>1900</v>
      </c>
      <c r="D315" s="3" t="s">
        <v>1906</v>
      </c>
      <c r="E315" s="3" t="s">
        <v>2651</v>
      </c>
      <c r="F315" s="3" t="s">
        <v>1826</v>
      </c>
      <c r="G315" s="3" t="s">
        <v>1924</v>
      </c>
      <c r="H315" s="5">
        <f t="shared" si="114"/>
        <v>45828</v>
      </c>
      <c r="I315" t="str">
        <f t="shared" si="115"/>
        <v>АРТ-446</v>
      </c>
      <c r="J315" s="6">
        <f t="shared" si="116"/>
        <v>2</v>
      </c>
      <c r="K315" s="4">
        <f>VALUE(SUBSTITUTE(SUBSTITUTE(SUBSTITUTE(SUBSTITUTE(D315,"$",""),"€",""),"₽","")," ",""))*IF(ISNUMBER(FIND("$",D315)),Справочники!$H$3,IF(ISNUMBER(FIND("€",D315)),Справочники!$H$4,1))</f>
        <v>8500</v>
      </c>
      <c r="L315" t="str">
        <f>IFERROR(VLOOKUP(TRIM(G315),Справочники!$D$3:$E$13,2,0),"Нет в справочнике")</f>
        <v>Отменен</v>
      </c>
      <c r="M315" t="str">
        <f t="shared" si="117"/>
        <v/>
      </c>
      <c r="N315" t="str">
        <f>IFERROR(VLOOKUP(I315,Товары_очищенные!$H$2:$J$502,3,0),"Нет в каталоге")</f>
        <v>Ноутбуки</v>
      </c>
      <c r="O315" s="4">
        <f>IFERROR(VLOOKUP(I315,Товары_очищенные!$H$2:$M$502,6,0),"")</f>
        <v>139000</v>
      </c>
      <c r="P315" t="str">
        <f t="shared" si="118"/>
        <v xml:space="preserve">Цена отличается от каталога</v>
      </c>
    </row>
    <row r="316">
      <c r="A316" s="3" t="s">
        <v>2652</v>
      </c>
      <c r="B316" s="3" t="s">
        <v>2653</v>
      </c>
      <c r="C316" s="3" t="s">
        <v>1938</v>
      </c>
      <c r="D316" s="3" t="s">
        <v>2166</v>
      </c>
      <c r="E316" s="3" t="s">
        <v>2654</v>
      </c>
      <c r="F316" s="3" t="s">
        <v>1676</v>
      </c>
      <c r="G316" s="3" t="s">
        <v>1903</v>
      </c>
      <c r="H316" s="5">
        <f t="shared" si="114"/>
        <v>45829</v>
      </c>
      <c r="I316" t="str">
        <f t="shared" si="115"/>
        <v>АРТ-293</v>
      </c>
      <c r="J316" s="6">
        <f t="shared" si="116"/>
        <v>1</v>
      </c>
      <c r="K316" s="4">
        <f>VALUE(SUBSTITUTE(SUBSTITUTE(SUBSTITUTE(SUBSTITUTE(D316,"$",""),"€",""),"₽","")," ",""))*IF(ISNUMBER(FIND("$",D316)),Справочники!$H$3,IF(ISNUMBER(FIND("€",D316)),Справочники!$H$4,1))</f>
        <v>7800</v>
      </c>
      <c r="L316" t="str">
        <f>IFERROR(VLOOKUP(TRIM(G316),Справочники!$D$3:$E$13,2,0),"Нет в справочнике")</f>
        <v>Завершен</v>
      </c>
      <c r="M316" t="str">
        <f t="shared" si="117"/>
        <v/>
      </c>
      <c r="N316" t="str">
        <f>IFERROR(VLOOKUP(I316,Товары_очищенные!$H$2:$J$502,3,0),"Нет в каталоге")</f>
        <v>Ноутбуки</v>
      </c>
      <c r="O316" s="4">
        <f>IFERROR(VLOOKUP(I316,Товары_очищенные!$H$2:$M$502,6,0),"")</f>
        <v>132000</v>
      </c>
      <c r="P316" t="str">
        <f t="shared" si="118"/>
        <v xml:space="preserve">Цена отличается от каталога</v>
      </c>
    </row>
    <row r="317">
      <c r="A317" s="3" t="s">
        <v>2652</v>
      </c>
      <c r="B317" s="3" t="s">
        <v>2655</v>
      </c>
      <c r="C317" s="3" t="s">
        <v>1985</v>
      </c>
      <c r="D317" s="3" t="s">
        <v>2044</v>
      </c>
      <c r="E317" s="3" t="s">
        <v>2656</v>
      </c>
      <c r="F317" s="3" t="s">
        <v>1772</v>
      </c>
      <c r="G317" s="3" t="s">
        <v>1927</v>
      </c>
      <c r="H317" s="5">
        <f t="shared" si="114"/>
        <v>45829</v>
      </c>
      <c r="I317" t="str">
        <f t="shared" si="115"/>
        <v>АРТ-416</v>
      </c>
      <c r="J317" s="6">
        <f t="shared" si="116"/>
        <v>-3</v>
      </c>
      <c r="K317" s="4">
        <f>VALUE(SUBSTITUTE(SUBSTITUTE(SUBSTITUTE(SUBSTITUTE(D317,"$",""),"€",""),"₽","")," ",""))*IF(ISNUMBER(FIND("$",D317)),Справочники!$H$3,IF(ISNUMBER(FIND("€",D317)),Справочники!$H$4,1))</f>
        <v>11400</v>
      </c>
      <c r="L317" t="str">
        <f>IFERROR(VLOOKUP(TRIM(G317),Справочники!$D$3:$E$13,2,0),"Нет в справочнике")</f>
        <v>Возврат</v>
      </c>
      <c r="M317" t="str">
        <f t="shared" si="117"/>
        <v/>
      </c>
      <c r="N317" t="str">
        <f>IFERROR(VLOOKUP(I317,Товары_очищенные!$H$2:$J$502,3,0),"Нет в каталоге")</f>
        <v>Аксессуары</v>
      </c>
      <c r="O317" s="4">
        <f>IFERROR(VLOOKUP(I317,Товары_очищенные!$H$2:$M$502,6,0),"")</f>
        <v>14000</v>
      </c>
      <c r="P317" t="str">
        <f t="shared" si="118"/>
        <v>ОК</v>
      </c>
    </row>
    <row r="318">
      <c r="A318" s="3" t="s">
        <v>2657</v>
      </c>
      <c r="B318" s="3" t="s">
        <v>1103</v>
      </c>
      <c r="C318" s="3" t="s">
        <v>1900</v>
      </c>
      <c r="D318" s="3" t="s">
        <v>2046</v>
      </c>
      <c r="E318" s="3" t="s">
        <v>2658</v>
      </c>
      <c r="F318" s="3" t="s">
        <v>1874</v>
      </c>
      <c r="G318" s="3" t="s">
        <v>1908</v>
      </c>
      <c r="H318" s="5">
        <f t="shared" si="114"/>
        <v>45830</v>
      </c>
      <c r="I318" t="str">
        <f t="shared" si="115"/>
        <v>АРТ-302</v>
      </c>
      <c r="J318" s="6">
        <f t="shared" si="116"/>
        <v>2</v>
      </c>
      <c r="K318" s="4">
        <f>VALUE(SUBSTITUTE(SUBSTITUTE(SUBSTITUTE(SUBSTITUTE(D318,"$",""),"€",""),"₽","")," ",""))*IF(ISNUMBER(FIND("$",D318)),Справочники!$H$3,IF(ISNUMBER(FIND("€",D318)),Справочники!$H$4,1))</f>
        <v>10000</v>
      </c>
      <c r="L318" t="str">
        <f>IFERROR(VLOOKUP(TRIM(G318),Справочники!$D$3:$E$13,2,0),"Нет в справочнике")</f>
        <v>Завершен</v>
      </c>
      <c r="M318" t="str">
        <f t="shared" si="117"/>
        <v/>
      </c>
      <c r="N318" t="str">
        <f>IFERROR(VLOOKUP(I318,Товары_очищенные!$H$2:$J$502,3,0),"Нет в каталоге")</f>
        <v>Наушники</v>
      </c>
      <c r="O318" s="4">
        <f>IFERROR(VLOOKUP(I318,Товары_очищенные!$H$2:$M$502,6,0),"")</f>
        <v>7500</v>
      </c>
      <c r="P318" t="str">
        <f t="shared" si="118"/>
        <v xml:space="preserve">Цена отличается от каталога</v>
      </c>
    </row>
    <row r="319">
      <c r="A319" s="3" t="s">
        <v>2657</v>
      </c>
      <c r="B319" s="3" t="s">
        <v>2659</v>
      </c>
      <c r="C319" s="3" t="s">
        <v>1905</v>
      </c>
      <c r="D319" s="3" t="s">
        <v>2087</v>
      </c>
      <c r="E319" s="3" t="s">
        <v>2660</v>
      </c>
      <c r="F319" s="3" t="s">
        <v>1601</v>
      </c>
      <c r="G319" s="3" t="s">
        <v>1913</v>
      </c>
      <c r="H319" s="5">
        <f t="shared" si="114"/>
        <v>45830</v>
      </c>
      <c r="I319" t="str">
        <f t="shared" si="115"/>
        <v>АРТ-243</v>
      </c>
      <c r="J319" s="6">
        <f t="shared" si="116"/>
        <v>1</v>
      </c>
      <c r="K319" s="4">
        <f>VALUE(SUBSTITUTE(SUBSTITUTE(SUBSTITUTE(SUBSTITUTE(D319,"$",""),"€",""),"₽","")," ",""))*IF(ISNUMBER(FIND("$",D319)),Справочники!$H$3,IF(ISNUMBER(FIND("€",D319)),Справочники!$H$4,1))</f>
        <v>9200</v>
      </c>
      <c r="L319" t="str">
        <f>IFERROR(VLOOKUP(TRIM(G319),Справочники!$D$3:$E$13,2,0),"Нет в справочнике")</f>
        <v>Завершен</v>
      </c>
      <c r="M319" t="str">
        <f t="shared" si="117"/>
        <v/>
      </c>
      <c r="N319" t="str">
        <f>IFERROR(VLOOKUP(I319,Товары_очищенные!$H$2:$J$502,3,0),"Нет в каталоге")</f>
        <v>Наушники</v>
      </c>
      <c r="O319" s="4">
        <f>IFERROR(VLOOKUP(I319,Товары_очищенные!$H$2:$M$502,6,0),"")</f>
        <v>62000</v>
      </c>
      <c r="P319" t="str">
        <f t="shared" si="118"/>
        <v xml:space="preserve">Цена отличается от каталога</v>
      </c>
    </row>
    <row r="320">
      <c r="A320" s="3" t="s">
        <v>2661</v>
      </c>
      <c r="B320" s="3" t="s">
        <v>294</v>
      </c>
      <c r="C320" s="3" t="s">
        <v>1930</v>
      </c>
      <c r="D320" s="3" t="s">
        <v>1986</v>
      </c>
      <c r="E320" s="3" t="s">
        <v>2662</v>
      </c>
      <c r="F320" s="3" t="s">
        <v>1721</v>
      </c>
      <c r="G320" s="3" t="s">
        <v>1903</v>
      </c>
      <c r="H320" s="5">
        <f t="shared" si="114"/>
        <v>45831</v>
      </c>
      <c r="I320" t="str">
        <f t="shared" si="115"/>
        <v>АРТ-061</v>
      </c>
      <c r="J320" s="6">
        <f t="shared" si="116"/>
        <v>3</v>
      </c>
      <c r="K320" s="4">
        <f>VALUE(SUBSTITUTE(SUBSTITUTE(SUBSTITUTE(SUBSTITUTE(D320,"$",""),"€",""),"₽","")," ",""))*IF(ISNUMBER(FIND("$",D320)),Справочники!$H$3,IF(ISNUMBER(FIND("€",D320)),Справочники!$H$4,1))</f>
        <v>8550</v>
      </c>
      <c r="L320" t="str">
        <f>IFERROR(VLOOKUP(TRIM(G320),Справочники!$D$3:$E$13,2,0),"Нет в справочнике")</f>
        <v>Завершен</v>
      </c>
      <c r="M320" t="str">
        <f t="shared" si="117"/>
        <v/>
      </c>
      <c r="N320" t="str">
        <f>IFERROR(VLOOKUP(I320,Товары_очищенные!$H$2:$J$502,3,0),"Нет в каталоге")</f>
        <v>Ноутбуки</v>
      </c>
      <c r="O320" s="4">
        <f>IFERROR(VLOOKUP(I320,Товары_очищенные!$H$2:$M$502,6,0),"")</f>
        <v>124999</v>
      </c>
      <c r="P320" t="str">
        <f t="shared" si="118"/>
        <v xml:space="preserve">Цена отличается от каталога</v>
      </c>
    </row>
    <row r="321">
      <c r="A321" s="3" t="s">
        <v>2661</v>
      </c>
      <c r="B321" s="3" t="s">
        <v>2322</v>
      </c>
      <c r="C321" s="3" t="s">
        <v>1900</v>
      </c>
      <c r="D321" s="3" t="s">
        <v>1989</v>
      </c>
      <c r="E321" s="3" t="s">
        <v>2663</v>
      </c>
      <c r="F321" s="3" t="s">
        <v>1663</v>
      </c>
      <c r="G321" s="3" t="s">
        <v>1924</v>
      </c>
      <c r="H321" s="5">
        <f t="shared" si="114"/>
        <v>45831</v>
      </c>
      <c r="I321" t="str">
        <f t="shared" si="115"/>
        <v>АРТ-424</v>
      </c>
      <c r="J321" s="6">
        <f t="shared" si="116"/>
        <v>2</v>
      </c>
      <c r="K321" s="4">
        <f>VALUE(SUBSTITUTE(SUBSTITUTE(SUBSTITUTE(SUBSTITUTE(D321,"$",""),"€",""),"₽","")," ",""))*IF(ISNUMBER(FIND("$",D321)),Справочники!$H$3,IF(ISNUMBER(FIND("€",D321)),Справочники!$H$4,1))</f>
        <v>7000</v>
      </c>
      <c r="L321" t="str">
        <f>IFERROR(VLOOKUP(TRIM(G321),Справочники!$D$3:$E$13,2,0),"Нет в справочнике")</f>
        <v>Отменен</v>
      </c>
      <c r="M321" t="str">
        <f t="shared" si="117"/>
        <v/>
      </c>
      <c r="N321" t="str">
        <f>IFERROR(VLOOKUP(I321,Товары_очищенные!$H$2:$J$502,3,0),"Нет в каталоге")</f>
        <v>Смартфоны</v>
      </c>
      <c r="O321" s="4">
        <f>IFERROR(VLOOKUP(I321,Товары_очищенные!$H$2:$M$502,6,0),"")</f>
        <v>48990</v>
      </c>
      <c r="P321" t="str">
        <f t="shared" si="118"/>
        <v xml:space="preserve">Цена отличается от каталога</v>
      </c>
    </row>
    <row r="322">
      <c r="A322" s="3" t="s">
        <v>2664</v>
      </c>
      <c r="B322" s="3" t="s">
        <v>2626</v>
      </c>
      <c r="C322" s="3" t="s">
        <v>1938</v>
      </c>
      <c r="D322" s="3" t="s">
        <v>1939</v>
      </c>
      <c r="E322" s="3" t="s">
        <v>2665</v>
      </c>
      <c r="F322" s="3" t="s">
        <v>1802</v>
      </c>
      <c r="G322" s="3" t="s">
        <v>1918</v>
      </c>
      <c r="H322" s="5">
        <f t="shared" si="114"/>
        <v>45832</v>
      </c>
      <c r="I322" t="str">
        <f t="shared" si="115"/>
        <v>АРТ-347</v>
      </c>
      <c r="J322" s="6">
        <f t="shared" si="116"/>
        <v>1</v>
      </c>
      <c r="K322" s="4">
        <f>VALUE(SUBSTITUTE(SUBSTITUTE(SUBSTITUTE(SUBSTITUTE(D322,"$",""),"€",""),"₽","")," ",""))*IF(ISNUMBER(FIND("$",D322)),Справочники!$H$3,IF(ISNUMBER(FIND("€",D322)),Справочники!$H$4,1))</f>
        <v>6500</v>
      </c>
      <c r="L322" t="str">
        <f>IFERROR(VLOOKUP(TRIM(G322),Справочники!$D$3:$E$13,2,0),"Нет в справочнике")</f>
        <v>Отменен</v>
      </c>
      <c r="M322" t="str">
        <f t="shared" si="117"/>
        <v/>
      </c>
      <c r="N322" t="str">
        <f>IFERROR(VLOOKUP(I322,Товары_очищенные!$H$2:$J$502,3,0),"Нет в каталоге")</f>
        <v>Наушники</v>
      </c>
      <c r="O322" s="4">
        <f>IFERROR(VLOOKUP(I322,Товары_очищенные!$H$2:$M$502,6,0),"")</f>
        <v>19000</v>
      </c>
      <c r="P322" t="str">
        <f t="shared" si="118"/>
        <v xml:space="preserve">Цена отличается от каталога</v>
      </c>
    </row>
    <row r="323">
      <c r="A323" s="3" t="s">
        <v>2664</v>
      </c>
      <c r="B323" s="3" t="s">
        <v>2666</v>
      </c>
      <c r="C323" s="3" t="s">
        <v>1915</v>
      </c>
      <c r="D323" s="3" t="s">
        <v>1916</v>
      </c>
      <c r="E323" s="3" t="s">
        <v>2667</v>
      </c>
      <c r="F323" s="3" t="s">
        <v>1868</v>
      </c>
      <c r="G323" s="3" t="s">
        <v>1927</v>
      </c>
      <c r="H323" s="5">
        <f t="shared" si="114"/>
        <v>45832</v>
      </c>
      <c r="I323" t="str">
        <f t="shared" si="115"/>
        <v>АРТ-305</v>
      </c>
      <c r="J323" s="6">
        <f t="shared" si="116"/>
        <v>-1</v>
      </c>
      <c r="K323" s="4">
        <f>VALUE(SUBSTITUTE(SUBSTITUTE(SUBSTITUTE(SUBSTITUTE(D323,"$",""),"€",""),"₽","")," ",""))*IF(ISNUMBER(FIND("$",D323)),Справочники!$H$3,IF(ISNUMBER(FIND("€",D323)),Справочники!$H$4,1))</f>
        <v>10450</v>
      </c>
      <c r="L323" t="str">
        <f>IFERROR(VLOOKUP(TRIM(G323),Справочники!$D$3:$E$13,2,0),"Нет в справочнике")</f>
        <v>Возврат</v>
      </c>
      <c r="M323" t="str">
        <f t="shared" si="117"/>
        <v/>
      </c>
      <c r="N323" t="str">
        <f>IFERROR(VLOOKUP(I323,Товары_очищенные!$H$2:$J$502,3,0),"Нет в каталоге")</f>
        <v>Мониторы</v>
      </c>
      <c r="O323" s="4">
        <f>IFERROR(VLOOKUP(I323,Товары_очищенные!$H$2:$M$502,6,0),"")</f>
        <v>57500</v>
      </c>
      <c r="P323" t="str">
        <f t="shared" si="118"/>
        <v xml:space="preserve">Цена отличается от каталога</v>
      </c>
    </row>
    <row r="324">
      <c r="A324" s="3" t="s">
        <v>2668</v>
      </c>
      <c r="B324" s="3" t="s">
        <v>2669</v>
      </c>
      <c r="C324" s="3" t="s">
        <v>1930</v>
      </c>
      <c r="D324" s="3" t="s">
        <v>1922</v>
      </c>
      <c r="E324" s="3" t="s">
        <v>2670</v>
      </c>
      <c r="F324" s="3" t="s">
        <v>1587</v>
      </c>
      <c r="G324" s="3" t="s">
        <v>1903</v>
      </c>
      <c r="H324" s="5">
        <f t="shared" si="114"/>
        <v>45833</v>
      </c>
      <c r="I324" t="str">
        <f t="shared" si="115"/>
        <v>АРТ-288</v>
      </c>
      <c r="J324" s="6">
        <f t="shared" si="116"/>
        <v>3</v>
      </c>
      <c r="K324" s="4">
        <f>VALUE(SUBSTITUTE(SUBSTITUTE(SUBSTITUTE(SUBSTITUTE(D324,"$",""),"€",""),"₽","")," ",""))*IF(ISNUMBER(FIND("$",D324)),Справочники!$H$3,IF(ISNUMBER(FIND("€",D324)),Справочники!$H$4,1))</f>
        <v>9000</v>
      </c>
      <c r="L324" t="str">
        <f>IFERROR(VLOOKUP(TRIM(G324),Справочники!$D$3:$E$13,2,0),"Нет в справочнике")</f>
        <v>Завершен</v>
      </c>
      <c r="M324" t="str">
        <f t="shared" si="117"/>
        <v/>
      </c>
      <c r="N324" t="str">
        <f>IFERROR(VLOOKUP(I324,Товары_очищенные!$H$2:$J$502,3,0),"Нет в каталоге")</f>
        <v>Аксессуары</v>
      </c>
      <c r="O324" s="4">
        <f>IFERROR(VLOOKUP(I324,Товары_очищенные!$H$2:$M$502,6,0),"")</f>
        <v>8000</v>
      </c>
      <c r="P324" t="str">
        <f t="shared" si="118"/>
        <v>ОК</v>
      </c>
    </row>
    <row r="325">
      <c r="A325" s="3" t="s">
        <v>2668</v>
      </c>
      <c r="B325" s="3" t="s">
        <v>2671</v>
      </c>
      <c r="C325" s="3" t="s">
        <v>1900</v>
      </c>
      <c r="D325" s="3" t="s">
        <v>1925</v>
      </c>
      <c r="E325" s="3" t="s">
        <v>2672</v>
      </c>
      <c r="F325" s="3" t="s">
        <v>1734</v>
      </c>
      <c r="G325" s="3" t="s">
        <v>1908</v>
      </c>
      <c r="H325" s="5">
        <f t="shared" si="114"/>
        <v>45833</v>
      </c>
      <c r="I325" t="str">
        <f t="shared" si="115"/>
        <v>АРТ-134</v>
      </c>
      <c r="J325" s="6">
        <f t="shared" si="116"/>
        <v>2</v>
      </c>
      <c r="K325" s="4">
        <f>VALUE(SUBSTITUTE(SUBSTITUTE(SUBSTITUTE(SUBSTITUTE(D325,"$",""),"€",""),"₽","")," ",""))*IF(ISNUMBER(FIND("$",D325)),Справочники!$H$3,IF(ISNUMBER(FIND("€",D325)),Справочники!$H$4,1))</f>
        <v>8000</v>
      </c>
      <c r="L325" t="str">
        <f>IFERROR(VLOOKUP(TRIM(G325),Справочники!$D$3:$E$13,2,0),"Нет в справочнике")</f>
        <v>Завершен</v>
      </c>
      <c r="M325" t="str">
        <f t="shared" si="117"/>
        <v/>
      </c>
      <c r="N325" t="str">
        <f>IFERROR(VLOOKUP(I325,Товары_очищенные!$H$2:$J$502,3,0),"Нет в каталоге")</f>
        <v>Телевизоры</v>
      </c>
      <c r="O325" s="4">
        <f>IFERROR(VLOOKUP(I325,Товары_очищенные!$H$2:$M$502,6,0),"")</f>
        <v>124000</v>
      </c>
      <c r="P325" t="str">
        <f t="shared" si="118"/>
        <v xml:space="preserve">Цена отличается от каталога</v>
      </c>
    </row>
    <row r="326">
      <c r="A326" s="3" t="s">
        <v>2673</v>
      </c>
      <c r="B326" s="3" t="s">
        <v>2674</v>
      </c>
      <c r="C326" s="3" t="s">
        <v>1905</v>
      </c>
      <c r="D326" s="3" t="s">
        <v>1964</v>
      </c>
      <c r="E326" s="3" t="s">
        <v>2675</v>
      </c>
      <c r="F326" s="3" t="s">
        <v>1649</v>
      </c>
      <c r="G326" s="3" t="s">
        <v>1913</v>
      </c>
      <c r="H326" s="5">
        <f t="shared" si="114"/>
        <v>45834</v>
      </c>
      <c r="I326" t="str">
        <f t="shared" si="115"/>
        <v>АРТ-110</v>
      </c>
      <c r="J326" s="6">
        <f t="shared" si="116"/>
        <v>1</v>
      </c>
      <c r="K326" s="4">
        <f>VALUE(SUBSTITUTE(SUBSTITUTE(SUBSTITUTE(SUBSTITUTE(D326,"$",""),"€",""),"₽","")," ",""))*IF(ISNUMBER(FIND("$",D326)),Справочники!$H$3,IF(ISNUMBER(FIND("€",D326)),Справочники!$H$4,1))</f>
        <v>9025</v>
      </c>
      <c r="L326" t="str">
        <f>IFERROR(VLOOKUP(TRIM(G326),Справочники!$D$3:$E$13,2,0),"Нет в справочнике")</f>
        <v>Завершен</v>
      </c>
      <c r="M326" t="str">
        <f t="shared" si="117"/>
        <v/>
      </c>
      <c r="N326" t="str">
        <f>IFERROR(VLOOKUP(I326,Товары_очищенные!$H$2:$J$502,3,0),"Нет в каталоге")</f>
        <v>Телевизоры</v>
      </c>
      <c r="O326" s="4">
        <f>IFERROR(VLOOKUP(I326,Товары_очищенные!$H$2:$M$502,6,0),"")</f>
        <v>117000</v>
      </c>
      <c r="P326" t="str">
        <f t="shared" si="118"/>
        <v xml:space="preserve">Цена отличается от каталога</v>
      </c>
    </row>
    <row r="327">
      <c r="A327" s="3" t="s">
        <v>2673</v>
      </c>
      <c r="B327" s="3" t="s">
        <v>2676</v>
      </c>
      <c r="C327" s="3" t="s">
        <v>1900</v>
      </c>
      <c r="D327" s="3" t="s">
        <v>1968</v>
      </c>
      <c r="E327" s="3" t="s">
        <v>2677</v>
      </c>
      <c r="F327" s="3" t="s">
        <v>1784</v>
      </c>
      <c r="G327" s="3" t="s">
        <v>1918</v>
      </c>
      <c r="H327" s="5">
        <f t="shared" si="114"/>
        <v>45834</v>
      </c>
      <c r="I327" t="str">
        <f t="shared" si="115"/>
        <v>АРТ-471</v>
      </c>
      <c r="J327" s="6">
        <f t="shared" si="116"/>
        <v>2</v>
      </c>
      <c r="K327" s="4">
        <f>VALUE(SUBSTITUTE(SUBSTITUTE(SUBSTITUTE(SUBSTITUTE(D327,"$",""),"€",""),"₽","")," ",""))*IF(ISNUMBER(FIND("$",D327)),Справочники!$H$3,IF(ISNUMBER(FIND("€",D327)),Справочники!$H$4,1))</f>
        <v>7500</v>
      </c>
      <c r="L327" t="str">
        <f>IFERROR(VLOOKUP(TRIM(G327),Справочники!$D$3:$E$13,2,0),"Нет в справочнике")</f>
        <v>Отменен</v>
      </c>
      <c r="M327" t="str">
        <f t="shared" si="117"/>
        <v/>
      </c>
      <c r="N327" t="str">
        <f>IFERROR(VLOOKUP(I327,Товары_очищенные!$H$2:$J$502,3,0),"Нет в каталоге")</f>
        <v>Телевизоры</v>
      </c>
      <c r="O327" s="4">
        <f>IFERROR(VLOOKUP(I327,Товары_очищенные!$H$2:$M$502,6,0),"")</f>
        <v>61000</v>
      </c>
      <c r="P327" t="str">
        <f t="shared" si="118"/>
        <v xml:space="preserve">Цена отличается от каталога</v>
      </c>
    </row>
    <row r="328">
      <c r="A328" s="3" t="s">
        <v>2678</v>
      </c>
      <c r="B328" s="3" t="s">
        <v>2679</v>
      </c>
      <c r="C328" s="3" t="s">
        <v>1910</v>
      </c>
      <c r="D328" s="3" t="s">
        <v>1971</v>
      </c>
      <c r="E328" s="3" t="s">
        <v>2680</v>
      </c>
      <c r="F328" s="3" t="s">
        <v>1844</v>
      </c>
      <c r="G328" s="3" t="s">
        <v>1924</v>
      </c>
      <c r="H328" s="5">
        <f t="shared" si="114"/>
        <v>45835</v>
      </c>
      <c r="I328" t="str">
        <f t="shared" si="115"/>
        <v>АРТ-322</v>
      </c>
      <c r="J328" s="6">
        <f t="shared" si="116"/>
        <v>3</v>
      </c>
      <c r="K328" s="4">
        <f>VALUE(SUBSTITUTE(SUBSTITUTE(SUBSTITUTE(SUBSTITUTE(D328,"$",""),"€",""),"₽","")," ",""))*IF(ISNUMBER(FIND("$",D328)),Справочники!$H$3,IF(ISNUMBER(FIND("€",D328)),Справочники!$H$4,1))</f>
        <v>7000</v>
      </c>
      <c r="L328" t="str">
        <f>IFERROR(VLOOKUP(TRIM(G328),Справочники!$D$3:$E$13,2,0),"Нет в справочнике")</f>
        <v>Отменен</v>
      </c>
      <c r="M328" t="str">
        <f t="shared" si="117"/>
        <v/>
      </c>
      <c r="N328" t="str">
        <f>IFERROR(VLOOKUP(I328,Товары_очищенные!$H$2:$J$502,3,0),"Нет в каталоге")</f>
        <v>Наушники</v>
      </c>
      <c r="O328" s="4">
        <f>IFERROR(VLOOKUP(I328,Товары_очищенные!$H$2:$M$502,6,0),"")</f>
        <v>12990</v>
      </c>
      <c r="P328" t="str">
        <f t="shared" si="118"/>
        <v xml:space="preserve">Цена отличается от каталога</v>
      </c>
    </row>
    <row r="329">
      <c r="A329" s="3" t="s">
        <v>2678</v>
      </c>
      <c r="B329" s="3" t="s">
        <v>2681</v>
      </c>
      <c r="C329" s="3" t="s">
        <v>1942</v>
      </c>
      <c r="D329" s="3" t="s">
        <v>1943</v>
      </c>
      <c r="E329" s="3" t="s">
        <v>2682</v>
      </c>
      <c r="F329" s="3" t="s">
        <v>1566</v>
      </c>
      <c r="G329" s="3" t="s">
        <v>1903</v>
      </c>
      <c r="H329" s="5">
        <f t="shared" si="114"/>
        <v>45835</v>
      </c>
      <c r="I329" t="str">
        <f t="shared" si="115"/>
        <v>АРТ-188</v>
      </c>
      <c r="J329" s="6">
        <f t="shared" si="116"/>
        <v>-2</v>
      </c>
      <c r="K329" s="4">
        <f>VALUE(SUBSTITUTE(SUBSTITUTE(SUBSTITUTE(SUBSTITUTE(D329,"$",""),"€",""),"₽","")," ",""))*IF(ISNUMBER(FIND("$",D329)),Справочники!$H$3,IF(ISNUMBER(FIND("€",D329)),Справочники!$H$4,1))</f>
        <v>10925</v>
      </c>
      <c r="L329" t="str">
        <f>IFERROR(VLOOKUP(TRIM(G329),Справочники!$D$3:$E$13,2,0),"Нет в справочнике")</f>
        <v>Завершен</v>
      </c>
      <c r="M329" t="str">
        <f t="shared" si="117"/>
        <v/>
      </c>
      <c r="N329" t="str">
        <f>IFERROR(VLOOKUP(I329,Товары_очищенные!$H$2:$J$502,3,0),"Нет в каталоге")</f>
        <v>Часы</v>
      </c>
      <c r="O329" s="4">
        <f>IFERROR(VLOOKUP(I329,Товары_очищенные!$H$2:$M$502,6,0),"")</f>
        <v>48500</v>
      </c>
      <c r="P329" t="str">
        <f t="shared" si="118"/>
        <v xml:space="preserve">Цена отличается от каталога</v>
      </c>
    </row>
    <row r="330">
      <c r="A330" s="3" t="s">
        <v>2683</v>
      </c>
      <c r="B330" s="3" t="s">
        <v>1190</v>
      </c>
      <c r="C330" s="3" t="s">
        <v>1905</v>
      </c>
      <c r="D330" s="3" t="s">
        <v>1934</v>
      </c>
      <c r="E330" s="3" t="s">
        <v>2684</v>
      </c>
      <c r="F330" s="3" t="s">
        <v>1701</v>
      </c>
      <c r="G330" s="3" t="s">
        <v>1927</v>
      </c>
      <c r="H330" s="5">
        <f t="shared" si="114"/>
        <v>45836</v>
      </c>
      <c r="I330" t="str">
        <f t="shared" si="115"/>
        <v>АРТ-335</v>
      </c>
      <c r="J330" s="6">
        <f t="shared" si="116"/>
        <v>1</v>
      </c>
      <c r="K330" s="4">
        <f>VALUE(SUBSTITUTE(SUBSTITUTE(SUBSTITUTE(SUBSTITUTE(D330,"$",""),"€",""),"₽","")," ",""))*IF(ISNUMBER(FIND("$",D330)),Справочники!$H$3,IF(ISNUMBER(FIND("€",D330)),Справочники!$H$4,1))</f>
        <v>9500</v>
      </c>
      <c r="L330" t="str">
        <f>IFERROR(VLOOKUP(TRIM(G330),Справочники!$D$3:$E$13,2,0),"Нет в справочнике")</f>
        <v>Возврат</v>
      </c>
      <c r="M330" t="str">
        <f t="shared" si="117"/>
        <v/>
      </c>
      <c r="N330" t="str">
        <f>IFERROR(VLOOKUP(I330,Товары_очищенные!$H$2:$J$502,3,0),"Нет в каталоге")</f>
        <v>Планшеты</v>
      </c>
      <c r="O330" s="4">
        <f>IFERROR(VLOOKUP(I330,Товары_очищенные!$H$2:$M$502,6,0),"")</f>
        <v>47000</v>
      </c>
      <c r="P330" t="str">
        <f t="shared" si="118"/>
        <v xml:space="preserve">Цена отличается от каталога</v>
      </c>
    </row>
    <row r="331">
      <c r="A331" s="3" t="s">
        <v>2683</v>
      </c>
      <c r="B331" s="3" t="s">
        <v>2685</v>
      </c>
      <c r="C331" s="3" t="s">
        <v>1900</v>
      </c>
      <c r="D331" s="3" t="s">
        <v>1951</v>
      </c>
      <c r="E331" s="3" t="s">
        <v>2686</v>
      </c>
      <c r="F331" s="3" t="s">
        <v>1814</v>
      </c>
      <c r="G331" s="3" t="s">
        <v>1908</v>
      </c>
      <c r="H331" s="5">
        <f t="shared" si="114"/>
        <v>45836</v>
      </c>
      <c r="I331" t="str">
        <f t="shared" si="115"/>
        <v>АРТ-063</v>
      </c>
      <c r="J331" s="6">
        <f t="shared" si="116"/>
        <v>2</v>
      </c>
      <c r="K331" s="4">
        <f>VALUE(SUBSTITUTE(SUBSTITUTE(SUBSTITUTE(SUBSTITUTE(D331,"$",""),"€",""),"₽","")," ",""))*IF(ISNUMBER(FIND("$",D331)),Справочники!$H$3,IF(ISNUMBER(FIND("€",D331)),Справочники!$H$4,1))</f>
        <v>8500</v>
      </c>
      <c r="L331" t="str">
        <f>IFERROR(VLOOKUP(TRIM(G331),Справочники!$D$3:$E$13,2,0),"Нет в справочнике")</f>
        <v>Завершен</v>
      </c>
      <c r="M331" t="str">
        <f t="shared" si="117"/>
        <v/>
      </c>
      <c r="N331" t="str">
        <f>IFERROR(VLOOKUP(I331,Товары_очищенные!$H$2:$J$502,3,0),"Нет в каталоге")</f>
        <v>Ноутбуки</v>
      </c>
      <c r="O331" s="4">
        <f>IFERROR(VLOOKUP(I331,Товары_очищенные!$H$2:$M$502,6,0),"")</f>
        <v>127000</v>
      </c>
      <c r="P331" t="str">
        <f t="shared" si="118"/>
        <v xml:space="preserve">Цена отличается от каталога</v>
      </c>
    </row>
    <row r="332">
      <c r="A332" s="3" t="s">
        <v>2687</v>
      </c>
      <c r="B332" s="3" t="s">
        <v>2688</v>
      </c>
      <c r="C332" s="3" t="s">
        <v>1930</v>
      </c>
      <c r="D332" s="3" t="s">
        <v>1931</v>
      </c>
      <c r="E332" s="3" t="s">
        <v>2689</v>
      </c>
      <c r="F332" s="3" t="s">
        <v>1880</v>
      </c>
      <c r="G332" s="3" t="s">
        <v>1913</v>
      </c>
      <c r="H332" s="5">
        <f t="shared" si="114"/>
        <v>45837</v>
      </c>
      <c r="I332" t="str">
        <f t="shared" si="115"/>
        <v>АРТ-248</v>
      </c>
      <c r="J332" s="6">
        <f t="shared" si="116"/>
        <v>3</v>
      </c>
      <c r="K332" s="4">
        <f>VALUE(SUBSTITUTE(SUBSTITUTE(SUBSTITUTE(SUBSTITUTE(D332,"$",""),"€",""),"₽","")," ",""))*IF(ISNUMBER(FIND("$",D332)),Справочники!$H$3,IF(ISNUMBER(FIND("€",D332)),Справочники!$H$4,1))</f>
        <v>9975</v>
      </c>
      <c r="L332" t="str">
        <f>IFERROR(VLOOKUP(TRIM(G332),Справочники!$D$3:$E$13,2,0),"Нет в справочнике")</f>
        <v>Завершен</v>
      </c>
      <c r="M332" t="str">
        <f t="shared" si="117"/>
        <v/>
      </c>
      <c r="N332" t="str">
        <f>IFERROR(VLOOKUP(I332,Товары_очищенные!$H$2:$J$502,3,0),"Нет в каталоге")</f>
        <v>Аксессуары</v>
      </c>
      <c r="O332" s="4">
        <f>IFERROR(VLOOKUP(I332,Товары_очищенные!$H$2:$M$502,6,0),"")</f>
        <v>9500</v>
      </c>
      <c r="P332" t="str">
        <f t="shared" si="118"/>
        <v>ОК</v>
      </c>
    </row>
    <row r="333">
      <c r="A333" s="3" t="s">
        <v>2687</v>
      </c>
      <c r="B333" s="3" t="s">
        <v>2690</v>
      </c>
      <c r="C333" s="3" t="s">
        <v>1900</v>
      </c>
      <c r="D333" s="3" t="s">
        <v>1906</v>
      </c>
      <c r="E333" s="3" t="s">
        <v>2691</v>
      </c>
      <c r="F333" s="3" t="s">
        <v>1636</v>
      </c>
      <c r="G333" s="3" t="s">
        <v>1903</v>
      </c>
      <c r="H333" s="5">
        <f t="shared" si="114"/>
        <v>45837</v>
      </c>
      <c r="I333" t="str">
        <f t="shared" si="115"/>
        <v>АРТ-454</v>
      </c>
      <c r="J333" s="6">
        <f t="shared" si="116"/>
        <v>2</v>
      </c>
      <c r="K333" s="4">
        <f>VALUE(SUBSTITUTE(SUBSTITUTE(SUBSTITUTE(SUBSTITUTE(D333,"$",""),"€",""),"₽","")," ",""))*IF(ISNUMBER(FIND("$",D333)),Справочники!$H$3,IF(ISNUMBER(FIND("€",D333)),Справочники!$H$4,1))</f>
        <v>8500</v>
      </c>
      <c r="L333" t="str">
        <f>IFERROR(VLOOKUP(TRIM(G333),Справочники!$D$3:$E$13,2,0),"Нет в справочнике")</f>
        <v>Завершен</v>
      </c>
      <c r="M333" t="str">
        <f t="shared" si="117"/>
        <v/>
      </c>
      <c r="N333" t="str">
        <f>IFERROR(VLOOKUP(I333,Товары_очищенные!$H$2:$J$502,3,0),"Нет в каталоге")</f>
        <v>Мониторы</v>
      </c>
      <c r="O333" s="4">
        <f>IFERROR(VLOOKUP(I333,Товары_очищенные!$H$2:$M$502,6,0),"")</f>
        <v>74990</v>
      </c>
      <c r="P333" t="str">
        <f t="shared" si="118"/>
        <v xml:space="preserve">Цена отличается от каталога</v>
      </c>
    </row>
    <row r="334">
      <c r="A334" s="3" t="s">
        <v>2692</v>
      </c>
      <c r="B334" s="3" t="s">
        <v>2693</v>
      </c>
      <c r="C334" s="3" t="s">
        <v>1938</v>
      </c>
      <c r="D334" s="3" t="s">
        <v>2166</v>
      </c>
      <c r="E334" s="3" t="s">
        <v>2694</v>
      </c>
      <c r="F334" s="3" t="s">
        <v>1740</v>
      </c>
      <c r="G334" s="3" t="s">
        <v>1924</v>
      </c>
      <c r="H334" s="5">
        <f t="shared" si="114"/>
        <v>45838</v>
      </c>
      <c r="I334" t="str">
        <f t="shared" si="115"/>
        <v>АРТ-281</v>
      </c>
      <c r="J334" s="6">
        <f t="shared" si="116"/>
        <v>1</v>
      </c>
      <c r="K334" s="4">
        <f>VALUE(SUBSTITUTE(SUBSTITUTE(SUBSTITUTE(SUBSTITUTE(D334,"$",""),"€",""),"₽","")," ",""))*IF(ISNUMBER(FIND("$",D334)),Справочники!$H$3,IF(ISNUMBER(FIND("€",D334)),Справочники!$H$4,1))</f>
        <v>7800</v>
      </c>
      <c r="L334" t="str">
        <f>IFERROR(VLOOKUP(TRIM(G334),Справочники!$D$3:$E$13,2,0),"Нет в справочнике")</f>
        <v>Отменен</v>
      </c>
      <c r="M334" t="str">
        <f t="shared" si="117"/>
        <v/>
      </c>
      <c r="N334" t="str">
        <f>IFERROR(VLOOKUP(I334,Товары_очищенные!$H$2:$J$502,3,0),"Нет в каталоге")</f>
        <v>Наушники</v>
      </c>
      <c r="O334" s="4">
        <f>IFERROR(VLOOKUP(I334,Товары_очищенные!$H$2:$M$502,6,0),"")</f>
        <v>31500</v>
      </c>
      <c r="P334" t="str">
        <f t="shared" si="118"/>
        <v xml:space="preserve">Цена отличается от каталога</v>
      </c>
    </row>
    <row r="335">
      <c r="A335" s="3" t="s">
        <v>2692</v>
      </c>
      <c r="B335" s="3" t="s">
        <v>2028</v>
      </c>
      <c r="C335" s="3" t="s">
        <v>1985</v>
      </c>
      <c r="D335" s="3" t="s">
        <v>2044</v>
      </c>
      <c r="E335" s="3" t="s">
        <v>2695</v>
      </c>
      <c r="F335" s="3" t="s">
        <v>1682</v>
      </c>
      <c r="G335" s="3" t="s">
        <v>1918</v>
      </c>
      <c r="H335" s="5">
        <f t="shared" si="114"/>
        <v>45838</v>
      </c>
      <c r="I335" t="str">
        <f t="shared" si="115"/>
        <v>АРТ-401</v>
      </c>
      <c r="J335" s="6">
        <f t="shared" si="116"/>
        <v>-3</v>
      </c>
      <c r="K335" s="4">
        <f>VALUE(SUBSTITUTE(SUBSTITUTE(SUBSTITUTE(SUBSTITUTE(D335,"$",""),"€",""),"₽","")," ",""))*IF(ISNUMBER(FIND("$",D335)),Справочники!$H$3,IF(ISNUMBER(FIND("€",D335)),Справочники!$H$4,1))</f>
        <v>11400</v>
      </c>
      <c r="L335" t="str">
        <f>IFERROR(VLOOKUP(TRIM(G335),Справочники!$D$3:$E$13,2,0),"Нет в справочнике")</f>
        <v>Отменен</v>
      </c>
      <c r="M335" t="str">
        <f t="shared" si="117"/>
        <v/>
      </c>
      <c r="N335" t="str">
        <f>IFERROR(VLOOKUP(I335,Товары_очищенные!$H$2:$J$502,3,0),"Нет в каталоге")</f>
        <v>Смартфоны</v>
      </c>
      <c r="O335" s="4">
        <f>IFERROR(VLOOKUP(I335,Товары_очищенные!$H$2:$M$502,6,0),"")</f>
        <v>19000</v>
      </c>
      <c r="P335" t="str">
        <f t="shared" si="118"/>
        <v xml:space="preserve">Цена отличается от каталога</v>
      </c>
    </row>
    <row r="336">
      <c r="A336" s="3" t="s">
        <v>2696</v>
      </c>
      <c r="B336" s="3" t="s">
        <v>2697</v>
      </c>
      <c r="C336" s="3" t="s">
        <v>1900</v>
      </c>
      <c r="D336" s="3" t="s">
        <v>2046</v>
      </c>
      <c r="E336" s="3" t="s">
        <v>2698</v>
      </c>
      <c r="F336" s="3" t="s">
        <v>1820</v>
      </c>
      <c r="G336" s="3" t="s">
        <v>1927</v>
      </c>
      <c r="H336" s="5">
        <f t="shared" si="114"/>
        <v>45839</v>
      </c>
      <c r="I336" t="str">
        <f t="shared" si="115"/>
        <v>АРТ-345</v>
      </c>
      <c r="J336" s="6">
        <f t="shared" si="116"/>
        <v>2</v>
      </c>
      <c r="K336" s="4">
        <f>VALUE(SUBSTITUTE(SUBSTITUTE(SUBSTITUTE(SUBSTITUTE(D336,"$",""),"€",""),"₽","")," ",""))*IF(ISNUMBER(FIND("$",D336)),Справочники!$H$3,IF(ISNUMBER(FIND("€",D336)),Справочники!$H$4,1))</f>
        <v>10000</v>
      </c>
      <c r="L336" t="str">
        <f>IFERROR(VLOOKUP(TRIM(G336),Справочники!$D$3:$E$13,2,0),"Нет в справочнике")</f>
        <v>Возврат</v>
      </c>
      <c r="M336" t="str">
        <f t="shared" si="117"/>
        <v/>
      </c>
      <c r="N336" t="str">
        <f>IFERROR(VLOOKUP(I336,Товары_очищенные!$H$2:$J$502,3,0),"Нет в каталоге")</f>
        <v>Телевизоры</v>
      </c>
      <c r="O336" s="4">
        <f>IFERROR(VLOOKUP(I336,Товары_очищенные!$H$2:$M$502,6,0),"")</f>
        <v>87500</v>
      </c>
      <c r="P336" t="str">
        <f t="shared" si="118"/>
        <v xml:space="preserve">Цена отличается от каталога</v>
      </c>
    </row>
    <row r="337">
      <c r="A337" s="3" t="s">
        <v>2696</v>
      </c>
      <c r="B337" s="3" t="s">
        <v>2699</v>
      </c>
      <c r="C337" s="3" t="s">
        <v>1905</v>
      </c>
      <c r="D337" s="3" t="s">
        <v>2087</v>
      </c>
      <c r="E337" s="3" t="s">
        <v>2700</v>
      </c>
      <c r="F337" s="3" t="s">
        <v>1580</v>
      </c>
      <c r="G337" s="3" t="s">
        <v>1903</v>
      </c>
      <c r="H337" s="5">
        <f t="shared" si="114"/>
        <v>45839</v>
      </c>
      <c r="I337" t="str">
        <f t="shared" si="115"/>
        <v>АРТ-224</v>
      </c>
      <c r="J337" s="6">
        <f t="shared" si="116"/>
        <v>1</v>
      </c>
      <c r="K337" s="4">
        <f>VALUE(SUBSTITUTE(SUBSTITUTE(SUBSTITUTE(SUBSTITUTE(D337,"$",""),"€",""),"₽","")," ",""))*IF(ISNUMBER(FIND("$",D337)),Справочники!$H$3,IF(ISNUMBER(FIND("€",D337)),Справочники!$H$4,1))</f>
        <v>9200</v>
      </c>
      <c r="L337" t="str">
        <f>IFERROR(VLOOKUP(TRIM(G337),Справочники!$D$3:$E$13,2,0),"Нет в справочнике")</f>
        <v>Завершен</v>
      </c>
      <c r="M337" t="str">
        <f t="shared" si="117"/>
        <v/>
      </c>
      <c r="N337" t="str">
        <f>IFERROR(VLOOKUP(I337,Товары_очищенные!$H$2:$J$502,3,0),"Нет в каталоге")</f>
        <v>Мониторы</v>
      </c>
      <c r="O337" s="4">
        <f>IFERROR(VLOOKUP(I337,Товары_очищенные!$H$2:$M$502,6,0),"")</f>
        <v>52500</v>
      </c>
      <c r="P337" t="str">
        <f t="shared" si="118"/>
        <v xml:space="preserve">Цена отличается от каталога</v>
      </c>
    </row>
    <row r="338">
      <c r="A338" s="3" t="s">
        <v>2701</v>
      </c>
      <c r="B338" s="3" t="s">
        <v>822</v>
      </c>
      <c r="C338" s="3" t="s">
        <v>1930</v>
      </c>
      <c r="D338" s="3" t="s">
        <v>1986</v>
      </c>
      <c r="E338" s="3" t="s">
        <v>2702</v>
      </c>
      <c r="F338" s="3" t="s">
        <v>1727</v>
      </c>
      <c r="G338" s="3" t="s">
        <v>1908</v>
      </c>
      <c r="H338" s="5">
        <f t="shared" si="114"/>
        <v>45840</v>
      </c>
      <c r="I338" t="str">
        <f t="shared" si="115"/>
        <v>АРТ-205</v>
      </c>
      <c r="J338" s="6">
        <f t="shared" si="116"/>
        <v>3</v>
      </c>
      <c r="K338" s="4">
        <f>VALUE(SUBSTITUTE(SUBSTITUTE(SUBSTITUTE(SUBSTITUTE(D338,"$",""),"€",""),"₽","")," ",""))*IF(ISNUMBER(FIND("$",D338)),Справочники!$H$3,IF(ISNUMBER(FIND("€",D338)),Справочники!$H$4,1))</f>
        <v>8550</v>
      </c>
      <c r="L338" t="str">
        <f>IFERROR(VLOOKUP(TRIM(G338),Справочники!$D$3:$E$13,2,0),"Нет в справочнике")</f>
        <v>Завершен</v>
      </c>
      <c r="M338" t="str">
        <f t="shared" si="117"/>
        <v/>
      </c>
      <c r="N338" t="str">
        <f>IFERROR(VLOOKUP(I338,Товары_очищенные!$H$2:$J$502,3,0),"Нет в каталоге")</f>
        <v>Мониторы</v>
      </c>
      <c r="O338" s="4">
        <f>IFERROR(VLOOKUP(I338,Товары_очищенные!$H$2:$M$502,6,0),"")</f>
        <v>64990</v>
      </c>
      <c r="P338" t="str">
        <f t="shared" si="118"/>
        <v xml:space="preserve">Цена отличается от каталога</v>
      </c>
    </row>
    <row r="339">
      <c r="A339" s="3" t="s">
        <v>2701</v>
      </c>
      <c r="B339" s="3" t="s">
        <v>2703</v>
      </c>
      <c r="C339" s="3" t="s">
        <v>1900</v>
      </c>
      <c r="D339" s="3" t="s">
        <v>1989</v>
      </c>
      <c r="E339" s="3" t="s">
        <v>2704</v>
      </c>
      <c r="F339" s="3" t="s">
        <v>1629</v>
      </c>
      <c r="G339" s="3" t="s">
        <v>1913</v>
      </c>
      <c r="H339" s="5">
        <f t="shared" si="114"/>
        <v>45840</v>
      </c>
      <c r="I339" t="str">
        <f t="shared" si="115"/>
        <v>АРТ-438</v>
      </c>
      <c r="J339" s="6">
        <f t="shared" si="116"/>
        <v>2</v>
      </c>
      <c r="K339" s="4">
        <f>VALUE(SUBSTITUTE(SUBSTITUTE(SUBSTITUTE(SUBSTITUTE(D339,"$",""),"€",""),"₽","")," ",""))*IF(ISNUMBER(FIND("$",D339)),Справочники!$H$3,IF(ISNUMBER(FIND("€",D339)),Справочники!$H$4,1))</f>
        <v>7000</v>
      </c>
      <c r="L339" t="str">
        <f>IFERROR(VLOOKUP(TRIM(G339),Справочники!$D$3:$E$13,2,0),"Нет в справочнике")</f>
        <v>Завершен</v>
      </c>
      <c r="M339" t="str">
        <f t="shared" si="117"/>
        <v/>
      </c>
      <c r="N339" t="str">
        <f>IFERROR(VLOOKUP(I339,Товары_очищенные!$H$2:$J$502,3,0),"Нет в каталоге")</f>
        <v>Аксессуары</v>
      </c>
      <c r="O339" s="4">
        <f>IFERROR(VLOOKUP(I339,Товары_очищенные!$H$2:$M$502,6,0),"")</f>
        <v>6800</v>
      </c>
      <c r="P339" t="str">
        <f t="shared" si="118"/>
        <v>ОК</v>
      </c>
    </row>
    <row r="340">
      <c r="A340" s="3" t="s">
        <v>2705</v>
      </c>
      <c r="B340" s="3" t="s">
        <v>2473</v>
      </c>
      <c r="C340" s="3" t="s">
        <v>1938</v>
      </c>
      <c r="D340" s="3" t="s">
        <v>1939</v>
      </c>
      <c r="E340" s="3" t="s">
        <v>2706</v>
      </c>
      <c r="F340" s="3" t="s">
        <v>1778</v>
      </c>
      <c r="G340" s="3" t="s">
        <v>1918</v>
      </c>
      <c r="H340" s="5">
        <f t="shared" si="114"/>
        <v>45841</v>
      </c>
      <c r="I340" t="str">
        <f t="shared" si="115"/>
        <v>АРТ-335</v>
      </c>
      <c r="J340" s="6">
        <f t="shared" si="116"/>
        <v>1</v>
      </c>
      <c r="K340" s="4">
        <f>VALUE(SUBSTITUTE(SUBSTITUTE(SUBSTITUTE(SUBSTITUTE(D340,"$",""),"€",""),"₽","")," ",""))*IF(ISNUMBER(FIND("$",D340)),Справочники!$H$3,IF(ISNUMBER(FIND("€",D340)),Справочники!$H$4,1))</f>
        <v>6500</v>
      </c>
      <c r="L340" t="str">
        <f>IFERROR(VLOOKUP(TRIM(G340),Справочники!$D$3:$E$13,2,0),"Нет в справочнике")</f>
        <v>Отменен</v>
      </c>
      <c r="M340" t="str">
        <f t="shared" si="117"/>
        <v/>
      </c>
      <c r="N340" t="str">
        <f>IFERROR(VLOOKUP(I340,Товары_очищенные!$H$2:$J$502,3,0),"Нет в каталоге")</f>
        <v>Планшеты</v>
      </c>
      <c r="O340" s="4">
        <f>IFERROR(VLOOKUP(I340,Товары_очищенные!$H$2:$M$502,6,0),"")</f>
        <v>47000</v>
      </c>
      <c r="P340" t="str">
        <f t="shared" si="118"/>
        <v xml:space="preserve">Цена отличается от каталога</v>
      </c>
    </row>
    <row r="341">
      <c r="A341" s="3" t="s">
        <v>2705</v>
      </c>
      <c r="B341" s="3" t="s">
        <v>1296</v>
      </c>
      <c r="C341" s="3" t="s">
        <v>1915</v>
      </c>
      <c r="D341" s="3" t="s">
        <v>1916</v>
      </c>
      <c r="E341" s="3" t="s">
        <v>2707</v>
      </c>
      <c r="F341" s="3" t="s">
        <v>1862</v>
      </c>
      <c r="G341" s="3" t="s">
        <v>1924</v>
      </c>
      <c r="H341" s="5">
        <f t="shared" si="114"/>
        <v>45841</v>
      </c>
      <c r="I341" t="str">
        <f t="shared" si="115"/>
        <v>АРТ-385</v>
      </c>
      <c r="J341" s="6">
        <f t="shared" si="116"/>
        <v>-1</v>
      </c>
      <c r="K341" s="4">
        <f>VALUE(SUBSTITUTE(SUBSTITUTE(SUBSTITUTE(SUBSTITUTE(D341,"$",""),"€",""),"₽","")," ",""))*IF(ISNUMBER(FIND("$",D341)),Справочники!$H$3,IF(ISNUMBER(FIND("€",D341)),Справочники!$H$4,1))</f>
        <v>10450</v>
      </c>
      <c r="L341" t="str">
        <f>IFERROR(VLOOKUP(TRIM(G341),Справочники!$D$3:$E$13,2,0),"Нет в справочнике")</f>
        <v>Отменен</v>
      </c>
      <c r="M341" t="str">
        <f t="shared" si="117"/>
        <v/>
      </c>
      <c r="N341" t="str">
        <f>IFERROR(VLOOKUP(I341,Товары_очищенные!$H$2:$J$502,3,0),"Нет в каталоге")</f>
        <v>Ноутбуки</v>
      </c>
      <c r="O341" s="4">
        <f>IFERROR(VLOOKUP(I341,Товары_очищенные!$H$2:$M$502,6,0),"")</f>
        <v>116990</v>
      </c>
      <c r="P341" t="str">
        <f t="shared" si="118"/>
        <v xml:space="preserve">Цена отличается от каталога</v>
      </c>
    </row>
    <row r="342">
      <c r="A342" s="3" t="s">
        <v>2708</v>
      </c>
      <c r="B342" s="3" t="s">
        <v>2709</v>
      </c>
      <c r="C342" s="3" t="s">
        <v>1930</v>
      </c>
      <c r="D342" s="3" t="s">
        <v>1922</v>
      </c>
      <c r="E342" s="3" t="s">
        <v>2710</v>
      </c>
      <c r="F342" s="3" t="s">
        <v>1695</v>
      </c>
      <c r="G342" s="3" t="s">
        <v>1903</v>
      </c>
      <c r="H342" s="5">
        <f t="shared" si="114"/>
        <v>45842</v>
      </c>
      <c r="I342" t="str">
        <f t="shared" si="115"/>
        <v>АРТ-267</v>
      </c>
      <c r="J342" s="6">
        <f t="shared" si="116"/>
        <v>3</v>
      </c>
      <c r="K342" s="4">
        <f>VALUE(SUBSTITUTE(SUBSTITUTE(SUBSTITUTE(SUBSTITUTE(D342,"$",""),"€",""),"₽","")," ",""))*IF(ISNUMBER(FIND("$",D342)),Справочники!$H$3,IF(ISNUMBER(FIND("€",D342)),Справочники!$H$4,1))</f>
        <v>9000</v>
      </c>
      <c r="L342" t="str">
        <f>IFERROR(VLOOKUP(TRIM(G342),Справочники!$D$3:$E$13,2,0),"Нет в справочнике")</f>
        <v>Завершен</v>
      </c>
      <c r="M342" t="str">
        <f t="shared" si="117"/>
        <v/>
      </c>
      <c r="N342" t="str">
        <f>IFERROR(VLOOKUP(I342,Товары_очищенные!$H$2:$J$502,3,0),"Нет в каталоге")</f>
        <v>Мониторы</v>
      </c>
      <c r="O342" s="4">
        <f>IFERROR(VLOOKUP(I342,Товары_очищенные!$H$2:$M$502,6,0),"")</f>
        <v>70000</v>
      </c>
      <c r="P342" t="str">
        <f t="shared" si="118"/>
        <v xml:space="preserve">Цена отличается от каталога</v>
      </c>
    </row>
    <row r="343">
      <c r="A343" s="3" t="s">
        <v>2708</v>
      </c>
      <c r="B343" s="3" t="s">
        <v>2711</v>
      </c>
      <c r="C343" s="3" t="s">
        <v>1900</v>
      </c>
      <c r="D343" s="3" t="s">
        <v>1925</v>
      </c>
      <c r="E343" s="3" t="s">
        <v>2712</v>
      </c>
      <c r="F343" s="3" t="s">
        <v>1573</v>
      </c>
      <c r="G343" s="3" t="s">
        <v>1927</v>
      </c>
      <c r="H343" s="5">
        <f t="shared" si="114"/>
        <v>45842</v>
      </c>
      <c r="I343" t="str">
        <f t="shared" si="115"/>
        <v>АРТ-095</v>
      </c>
      <c r="J343" s="6">
        <f t="shared" si="116"/>
        <v>2</v>
      </c>
      <c r="K343" s="4">
        <f>VALUE(SUBSTITUTE(SUBSTITUTE(SUBSTITUTE(SUBSTITUTE(D343,"$",""),"€",""),"₽","")," ",""))*IF(ISNUMBER(FIND("$",D343)),Справочники!$H$3,IF(ISNUMBER(FIND("€",D343)),Справочники!$H$4,1))</f>
        <v>8000</v>
      </c>
      <c r="L343" t="str">
        <f>IFERROR(VLOOKUP(TRIM(G343),Справочники!$D$3:$E$13,2,0),"Нет в справочнике")</f>
        <v>Возврат</v>
      </c>
      <c r="M343" t="str">
        <f t="shared" si="117"/>
        <v/>
      </c>
      <c r="N343" t="str">
        <f>IFERROR(VLOOKUP(I343,Товары_очищенные!$H$2:$J$502,3,0),"Нет в каталоге")</f>
        <v>Мониторы</v>
      </c>
      <c r="O343" s="4">
        <f>IFERROR(VLOOKUP(I343,Товары_очищенные!$H$2:$M$502,6,0),"")</f>
        <v>92000</v>
      </c>
      <c r="P343" t="str">
        <f t="shared" si="118"/>
        <v xml:space="preserve">Цена отличается от каталога</v>
      </c>
    </row>
    <row r="344">
      <c r="A344" s="3" t="s">
        <v>2713</v>
      </c>
      <c r="B344" s="3" t="s">
        <v>2714</v>
      </c>
      <c r="C344" s="3" t="s">
        <v>1905</v>
      </c>
      <c r="D344" s="3" t="s">
        <v>1964</v>
      </c>
      <c r="E344" s="3" t="s">
        <v>2715</v>
      </c>
      <c r="F344" s="3" t="s">
        <v>1808</v>
      </c>
      <c r="G344" s="3" t="s">
        <v>1908</v>
      </c>
      <c r="H344" s="5">
        <f t="shared" si="114"/>
        <v>45843</v>
      </c>
      <c r="I344" t="str">
        <f t="shared" si="115"/>
        <v>АРТ-030</v>
      </c>
      <c r="J344" s="6">
        <f t="shared" si="116"/>
        <v>1</v>
      </c>
      <c r="K344" s="4">
        <f>VALUE(SUBSTITUTE(SUBSTITUTE(SUBSTITUTE(SUBSTITUTE(D344,"$",""),"€",""),"₽","")," ",""))*IF(ISNUMBER(FIND("$",D344)),Справочники!$H$3,IF(ISNUMBER(FIND("€",D344)),Справочники!$H$4,1))</f>
        <v>9025</v>
      </c>
      <c r="L344" t="str">
        <f>IFERROR(VLOOKUP(TRIM(G344),Справочники!$D$3:$E$13,2,0),"Нет в справочнике")</f>
        <v>Завершен</v>
      </c>
      <c r="M344" t="str">
        <f t="shared" si="117"/>
        <v/>
      </c>
      <c r="N344" t="str">
        <f>IFERROR(VLOOKUP(I344,Товары_очищенные!$H$2:$J$502,3,0),"Нет в каталоге")</f>
        <v>Аксессуары</v>
      </c>
      <c r="O344" s="4">
        <f>IFERROR(VLOOKUP(I344,Товары_очищенные!$H$2:$M$502,6,0),"")</f>
        <v>10500</v>
      </c>
      <c r="P344" t="str">
        <f t="shared" si="118"/>
        <v>ОК</v>
      </c>
    </row>
    <row r="345">
      <c r="A345" s="3" t="s">
        <v>2713</v>
      </c>
      <c r="B345" s="3" t="s">
        <v>2716</v>
      </c>
      <c r="C345" s="3" t="s">
        <v>1900</v>
      </c>
      <c r="D345" s="3" t="s">
        <v>1968</v>
      </c>
      <c r="E345" s="3" t="s">
        <v>2717</v>
      </c>
      <c r="F345" s="3" t="s">
        <v>1670</v>
      </c>
      <c r="G345" s="3" t="s">
        <v>1913</v>
      </c>
      <c r="H345" s="5">
        <f t="shared" si="114"/>
        <v>45843</v>
      </c>
      <c r="I345" t="str">
        <f t="shared" si="115"/>
        <v>АРТ-493</v>
      </c>
      <c r="J345" s="6">
        <f t="shared" si="116"/>
        <v>2</v>
      </c>
      <c r="K345" s="4">
        <f>VALUE(SUBSTITUTE(SUBSTITUTE(SUBSTITUTE(SUBSTITUTE(D345,"$",""),"€",""),"₽","")," ",""))*IF(ISNUMBER(FIND("$",D345)),Справочники!$H$3,IF(ISNUMBER(FIND("€",D345)),Справочники!$H$4,1))</f>
        <v>7500</v>
      </c>
      <c r="L345" t="str">
        <f>IFERROR(VLOOKUP(TRIM(G345),Справочники!$D$3:$E$13,2,0),"Нет в справочнике")</f>
        <v>Завершен</v>
      </c>
      <c r="M345" t="str">
        <f t="shared" si="117"/>
        <v/>
      </c>
      <c r="N345" t="str">
        <f>IFERROR(VLOOKUP(I345,Товары_очищенные!$H$2:$J$502,3,0),"Нет в каталоге")</f>
        <v>Наушники</v>
      </c>
      <c r="O345" s="4">
        <f>IFERROR(VLOOKUP(I345,Товары_очищенные!$H$2:$M$502,6,0),"")</f>
        <v>14990</v>
      </c>
      <c r="P345" t="str">
        <f t="shared" si="118"/>
        <v xml:space="preserve">Цена отличается от каталога</v>
      </c>
    </row>
    <row r="346">
      <c r="A346" s="3" t="s">
        <v>2718</v>
      </c>
      <c r="B346" s="3" t="s">
        <v>2719</v>
      </c>
      <c r="C346" s="3" t="s">
        <v>1910</v>
      </c>
      <c r="D346" s="3" t="s">
        <v>1971</v>
      </c>
      <c r="E346" s="3" t="s">
        <v>2720</v>
      </c>
      <c r="F346" s="3" t="s">
        <v>1752</v>
      </c>
      <c r="G346" s="3" t="s">
        <v>1903</v>
      </c>
      <c r="H346" s="5">
        <f t="shared" si="114"/>
        <v>45844</v>
      </c>
      <c r="I346" t="str">
        <f t="shared" si="115"/>
        <v>АРТ-313</v>
      </c>
      <c r="J346" s="6">
        <f t="shared" si="116"/>
        <v>3</v>
      </c>
      <c r="K346" s="4">
        <f>VALUE(SUBSTITUTE(SUBSTITUTE(SUBSTITUTE(SUBSTITUTE(D346,"$",""),"€",""),"₽","")," ",""))*IF(ISNUMBER(FIND("$",D346)),Справочники!$H$3,IF(ISNUMBER(FIND("€",D346)),Справочники!$H$4,1))</f>
        <v>7000</v>
      </c>
      <c r="L346" t="str">
        <f>IFERROR(VLOOKUP(TRIM(G346),Справочники!$D$3:$E$13,2,0),"Нет в справочнике")</f>
        <v>Завершен</v>
      </c>
      <c r="M346" t="str">
        <f t="shared" si="117"/>
        <v/>
      </c>
      <c r="N346" t="str">
        <f>IFERROR(VLOOKUP(I346,Товары_очищенные!$H$2:$J$502,3,0),"Нет в каталоге")</f>
        <v>Смартфоны</v>
      </c>
      <c r="O346" s="4">
        <f>IFERROR(VLOOKUP(I346,Товары_очищенные!$H$2:$M$502,6,0),"")</f>
        <v>69990</v>
      </c>
      <c r="P346" t="str">
        <f t="shared" si="118"/>
        <v xml:space="preserve">Цена отличается от каталога</v>
      </c>
    </row>
    <row r="347">
      <c r="A347" s="3" t="s">
        <v>2718</v>
      </c>
      <c r="B347" s="3" t="s">
        <v>2721</v>
      </c>
      <c r="C347" s="3" t="s">
        <v>1942</v>
      </c>
      <c r="D347" s="3" t="s">
        <v>1943</v>
      </c>
      <c r="E347" s="3" t="s">
        <v>2722</v>
      </c>
      <c r="F347" s="3" t="s">
        <v>1790</v>
      </c>
      <c r="G347" s="3" t="s">
        <v>1924</v>
      </c>
      <c r="H347" s="5">
        <f t="shared" si="114"/>
        <v>45844</v>
      </c>
      <c r="I347" t="str">
        <f t="shared" si="115"/>
        <v>АРТ-200</v>
      </c>
      <c r="J347" s="6">
        <f t="shared" si="116"/>
        <v>-2</v>
      </c>
      <c r="K347" s="4">
        <f>VALUE(SUBSTITUTE(SUBSTITUTE(SUBSTITUTE(SUBSTITUTE(D347,"$",""),"€",""),"₽","")," ",""))*IF(ISNUMBER(FIND("$",D347)),Справочники!$H$3,IF(ISNUMBER(FIND("€",D347)),Справочники!$H$4,1))</f>
        <v>10925</v>
      </c>
      <c r="L347" t="str">
        <f>IFERROR(VLOOKUP(TRIM(G347),Справочники!$D$3:$E$13,2,0),"Нет в справочнике")</f>
        <v>Отменен</v>
      </c>
      <c r="M347" t="str">
        <f t="shared" si="117"/>
        <v/>
      </c>
      <c r="N347" t="str">
        <f>IFERROR(VLOOKUP(I347,Товары_очищенные!$H$2:$J$502,3,0),"Нет в каталоге")</f>
        <v>Телевизоры</v>
      </c>
      <c r="O347" s="4">
        <f>IFERROR(VLOOKUP(I347,Товары_очищенные!$H$2:$M$502,6,0),"")</f>
        <v>93000</v>
      </c>
      <c r="P347" t="str">
        <f t="shared" si="118"/>
        <v xml:space="preserve">Цена отличается от каталога</v>
      </c>
    </row>
    <row r="348">
      <c r="A348" s="3" t="s">
        <v>2723</v>
      </c>
      <c r="B348" s="3" t="s">
        <v>2724</v>
      </c>
      <c r="C348" s="3" t="s">
        <v>1905</v>
      </c>
      <c r="D348" s="3" t="s">
        <v>1934</v>
      </c>
      <c r="E348" s="3" t="s">
        <v>2725</v>
      </c>
      <c r="F348" s="3" t="s">
        <v>1856</v>
      </c>
      <c r="G348" s="3" t="s">
        <v>1918</v>
      </c>
      <c r="H348" s="5">
        <f t="shared" si="114"/>
        <v>45845</v>
      </c>
      <c r="I348" t="str">
        <f t="shared" si="115"/>
        <v>АРТ-253</v>
      </c>
      <c r="J348" s="6">
        <f t="shared" si="116"/>
        <v>1</v>
      </c>
      <c r="K348" s="4">
        <f>VALUE(SUBSTITUTE(SUBSTITUTE(SUBSTITUTE(SUBSTITUTE(D348,"$",""),"€",""),"₽","")," ",""))*IF(ISNUMBER(FIND("$",D348)),Справочники!$H$3,IF(ISNUMBER(FIND("€",D348)),Справочники!$H$4,1))</f>
        <v>9500</v>
      </c>
      <c r="L348" t="str">
        <f>IFERROR(VLOOKUP(TRIM(G348),Справочники!$D$3:$E$13,2,0),"Нет в справочнике")</f>
        <v>Отменен</v>
      </c>
      <c r="M348" t="str">
        <f t="shared" si="117"/>
        <v/>
      </c>
      <c r="N348" t="str">
        <f>IFERROR(VLOOKUP(I348,Товары_очищенные!$H$2:$J$502,3,0),"Нет в каталоге")</f>
        <v>Ноутбуки</v>
      </c>
      <c r="O348" s="4">
        <f>IFERROR(VLOOKUP(I348,Товары_очищенные!$H$2:$M$502,6,0),"")</f>
        <v>159990</v>
      </c>
      <c r="P348" t="str">
        <f t="shared" si="118"/>
        <v xml:space="preserve">Цена отличается от каталога</v>
      </c>
    </row>
    <row r="349">
      <c r="A349" s="3" t="s">
        <v>2723</v>
      </c>
      <c r="B349" s="3" t="s">
        <v>2726</v>
      </c>
      <c r="C349" s="3" t="s">
        <v>1900</v>
      </c>
      <c r="D349" s="3" t="s">
        <v>1951</v>
      </c>
      <c r="E349" s="3" t="s">
        <v>2727</v>
      </c>
      <c r="F349" s="3" t="s">
        <v>1708</v>
      </c>
      <c r="G349" s="3" t="s">
        <v>1927</v>
      </c>
      <c r="H349" s="5">
        <f t="shared" si="114"/>
        <v>45845</v>
      </c>
      <c r="I349" t="str">
        <f t="shared" si="115"/>
        <v>АРТ-105</v>
      </c>
      <c r="J349" s="6">
        <f t="shared" si="116"/>
        <v>2</v>
      </c>
      <c r="K349" s="4">
        <f>VALUE(SUBSTITUTE(SUBSTITUTE(SUBSTITUTE(SUBSTITUTE(D349,"$",""),"€",""),"₽","")," ",""))*IF(ISNUMBER(FIND("$",D349)),Справочники!$H$3,IF(ISNUMBER(FIND("€",D349)),Справочники!$H$4,1))</f>
        <v>8500</v>
      </c>
      <c r="L349" t="str">
        <f>IFERROR(VLOOKUP(TRIM(G349),Справочники!$D$3:$E$13,2,0),"Нет в справочнике")</f>
        <v>Возврат</v>
      </c>
      <c r="M349" t="str">
        <f t="shared" si="117"/>
        <v/>
      </c>
      <c r="N349" t="str">
        <f>IFERROR(VLOOKUP(I349,Товары_очищенные!$H$2:$J$502,3,0),"Нет в каталоге")</f>
        <v>Ноутбуки</v>
      </c>
      <c r="O349" s="4">
        <f>IFERROR(VLOOKUP(I349,Товары_очищенные!$H$2:$M$502,6,0),"")</f>
        <v>152000</v>
      </c>
      <c r="P349" t="str">
        <f t="shared" si="118"/>
        <v xml:space="preserve">Цена отличается от каталога</v>
      </c>
    </row>
    <row r="350">
      <c r="A350" s="3" t="s">
        <v>2728</v>
      </c>
      <c r="B350" s="3" t="s">
        <v>627</v>
      </c>
      <c r="C350" s="3" t="s">
        <v>1930</v>
      </c>
      <c r="D350" s="3" t="s">
        <v>1931</v>
      </c>
      <c r="E350" s="3" t="s">
        <v>2729</v>
      </c>
      <c r="F350" s="3" t="s">
        <v>1838</v>
      </c>
      <c r="G350" s="3" t="s">
        <v>1903</v>
      </c>
      <c r="H350" s="5">
        <f t="shared" si="114"/>
        <v>45846</v>
      </c>
      <c r="I350" t="str">
        <f t="shared" si="115"/>
        <v>АРТ-148</v>
      </c>
      <c r="J350" s="6">
        <f t="shared" si="116"/>
        <v>3</v>
      </c>
      <c r="K350" s="4">
        <f>VALUE(SUBSTITUTE(SUBSTITUTE(SUBSTITUTE(SUBSTITUTE(D350,"$",""),"€",""),"₽","")," ",""))*IF(ISNUMBER(FIND("$",D350)),Справочники!$H$3,IF(ISNUMBER(FIND("€",D350)),Справочники!$H$4,1))</f>
        <v>9975</v>
      </c>
      <c r="L350" t="str">
        <f>IFERROR(VLOOKUP(TRIM(G350),Справочники!$D$3:$E$13,2,0),"Нет в справочнике")</f>
        <v>Завершен</v>
      </c>
      <c r="M350" t="str">
        <f t="shared" si="117"/>
        <v/>
      </c>
      <c r="N350" t="str">
        <f>IFERROR(VLOOKUP(I350,Товары_очищенные!$H$2:$J$502,3,0),"Нет в каталоге")</f>
        <v>Ноутбуки</v>
      </c>
      <c r="O350" s="4">
        <f>IFERROR(VLOOKUP(I350,Товары_очищенные!$H$2:$M$502,6,0),"")</f>
        <v>139990</v>
      </c>
      <c r="P350" t="str">
        <f t="shared" si="118"/>
        <v xml:space="preserve">Цена отличается от каталога</v>
      </c>
    </row>
    <row r="351">
      <c r="A351" s="3" t="s">
        <v>2728</v>
      </c>
      <c r="B351" s="3" t="s">
        <v>2170</v>
      </c>
      <c r="C351" s="3" t="s">
        <v>1900</v>
      </c>
      <c r="D351" s="3" t="s">
        <v>1906</v>
      </c>
      <c r="E351" s="3" t="s">
        <v>2730</v>
      </c>
      <c r="F351" s="3" t="s">
        <v>1759</v>
      </c>
      <c r="G351" s="3" t="s">
        <v>1908</v>
      </c>
      <c r="H351" s="5">
        <f t="shared" si="114"/>
        <v>45846</v>
      </c>
      <c r="I351" t="str">
        <f t="shared" si="115"/>
        <v>АРТ-490</v>
      </c>
      <c r="J351" s="6">
        <f t="shared" si="116"/>
        <v>2</v>
      </c>
      <c r="K351" s="4">
        <f>VALUE(SUBSTITUTE(SUBSTITUTE(SUBSTITUTE(SUBSTITUTE(D351,"$",""),"€",""),"₽","")," ",""))*IF(ISNUMBER(FIND("$",D351)),Справочники!$H$3,IF(ISNUMBER(FIND("€",D351)),Справочники!$H$4,1))</f>
        <v>8500</v>
      </c>
      <c r="L351" t="str">
        <f>IFERROR(VLOOKUP(TRIM(G351),Справочники!$D$3:$E$13,2,0),"Нет в справочнике")</f>
        <v>Завершен</v>
      </c>
      <c r="M351" t="str">
        <f t="shared" si="117"/>
        <v/>
      </c>
      <c r="N351" t="str">
        <f>IFERROR(VLOOKUP(I351,Товары_очищенные!$H$2:$J$502,3,0),"Нет в каталоге")</f>
        <v>Телевизоры</v>
      </c>
      <c r="O351" s="4">
        <f>IFERROR(VLOOKUP(I351,Товары_очищенные!$H$2:$M$502,6,0),"")</f>
        <v>61990</v>
      </c>
      <c r="P351" t="str">
        <f t="shared" si="118"/>
        <v xml:space="preserve">Цена отличается от каталога</v>
      </c>
    </row>
    <row r="352">
      <c r="A352" s="3" t="s">
        <v>2731</v>
      </c>
      <c r="B352" s="3" t="s">
        <v>1261</v>
      </c>
      <c r="C352" s="3" t="s">
        <v>1938</v>
      </c>
      <c r="D352" s="3" t="s">
        <v>2166</v>
      </c>
      <c r="E352" s="3" t="s">
        <v>2732</v>
      </c>
      <c r="F352" s="3" t="s">
        <v>1642</v>
      </c>
      <c r="G352" s="3" t="s">
        <v>1913</v>
      </c>
      <c r="H352" s="5">
        <f t="shared" si="114"/>
        <v>45847</v>
      </c>
      <c r="I352" t="str">
        <f t="shared" si="115"/>
        <v>АРТ-369</v>
      </c>
      <c r="J352" s="6">
        <f t="shared" si="116"/>
        <v>1</v>
      </c>
      <c r="K352" s="4">
        <f>VALUE(SUBSTITUTE(SUBSTITUTE(SUBSTITUTE(SUBSTITUTE(D352,"$",""),"€",""),"₽","")," ",""))*IF(ISNUMBER(FIND("$",D352)),Справочники!$H$3,IF(ISNUMBER(FIND("€",D352)),Справочники!$H$4,1))</f>
        <v>7800</v>
      </c>
      <c r="L352" t="str">
        <f>IFERROR(VLOOKUP(TRIM(G352),Справочники!$D$3:$E$13,2,0),"Нет в справочнике")</f>
        <v>Завершен</v>
      </c>
      <c r="M352" t="str">
        <f t="shared" si="117"/>
        <v/>
      </c>
      <c r="N352" t="str">
        <f>IFERROR(VLOOKUP(I352,Товары_очищенные!$H$2:$J$502,3,0),"Нет в каталоге")</f>
        <v>Наушники</v>
      </c>
      <c r="O352" s="4">
        <f>IFERROR(VLOOKUP(I352,Товары_очищенные!$H$2:$M$502,6,0),"")</f>
        <v>20800</v>
      </c>
      <c r="P352" t="str">
        <f t="shared" si="118"/>
        <v xml:space="preserve">Цена отличается от каталога</v>
      </c>
    </row>
    <row r="353">
      <c r="A353" s="3" t="s">
        <v>2731</v>
      </c>
      <c r="B353" s="3" t="s">
        <v>2501</v>
      </c>
      <c r="C353" s="3" t="s">
        <v>1985</v>
      </c>
      <c r="D353" s="3" t="s">
        <v>2044</v>
      </c>
      <c r="E353" s="3" t="s">
        <v>2733</v>
      </c>
      <c r="F353" s="3" t="s">
        <v>1608</v>
      </c>
      <c r="G353" s="3" t="s">
        <v>1918</v>
      </c>
      <c r="H353" s="5">
        <f t="shared" si="114"/>
        <v>45847</v>
      </c>
      <c r="I353" t="str">
        <f t="shared" si="115"/>
        <v>АРТ-423</v>
      </c>
      <c r="J353" s="6">
        <f t="shared" si="116"/>
        <v>-3</v>
      </c>
      <c r="K353" s="4">
        <f>VALUE(SUBSTITUTE(SUBSTITUTE(SUBSTITUTE(SUBSTITUTE(D353,"$",""),"€",""),"₽","")," ",""))*IF(ISNUMBER(FIND("$",D353)),Справочники!$H$3,IF(ISNUMBER(FIND("€",D353)),Справочники!$H$4,1))</f>
        <v>11400</v>
      </c>
      <c r="L353" t="str">
        <f>IFERROR(VLOOKUP(TRIM(G353),Справочники!$D$3:$E$13,2,0),"Нет в справочнике")</f>
        <v>Отменен</v>
      </c>
      <c r="M353" t="str">
        <f t="shared" si="117"/>
        <v/>
      </c>
      <c r="N353" t="str">
        <f>IFERROR(VLOOKUP(I353,Товары_очищенные!$H$2:$J$502,3,0),"Нет в каталоге")</f>
        <v>Ноутбуки</v>
      </c>
      <c r="O353" s="4">
        <f>IFERROR(VLOOKUP(I353,Товары_очищенные!$H$2:$M$502,6,0),"")</f>
        <v>129500</v>
      </c>
      <c r="P353" t="str">
        <f t="shared" si="118"/>
        <v xml:space="preserve">Цена отличается от каталога</v>
      </c>
    </row>
    <row r="354">
      <c r="A354" s="3" t="s">
        <v>2734</v>
      </c>
      <c r="B354" s="3" t="s">
        <v>2735</v>
      </c>
      <c r="C354" s="3" t="s">
        <v>1900</v>
      </c>
      <c r="D354" s="3" t="s">
        <v>2046</v>
      </c>
      <c r="E354" s="3" t="s">
        <v>2736</v>
      </c>
      <c r="F354" s="3" t="s">
        <v>1715</v>
      </c>
      <c r="G354" s="3" t="s">
        <v>1924</v>
      </c>
      <c r="H354" s="5">
        <f t="shared" si="114"/>
        <v>45848</v>
      </c>
      <c r="I354" t="str">
        <f t="shared" si="115"/>
        <v>АРТ-328</v>
      </c>
      <c r="J354" s="6">
        <f t="shared" si="116"/>
        <v>2</v>
      </c>
      <c r="K354" s="4">
        <f>VALUE(SUBSTITUTE(SUBSTITUTE(SUBSTITUTE(SUBSTITUTE(D354,"$",""),"€",""),"₽","")," ",""))*IF(ISNUMBER(FIND("$",D354)),Справочники!$H$3,IF(ISNUMBER(FIND("€",D354)),Справочники!$H$4,1))</f>
        <v>10000</v>
      </c>
      <c r="L354" t="str">
        <f>IFERROR(VLOOKUP(TRIM(G354),Справочники!$D$3:$E$13,2,0),"Нет в справочнике")</f>
        <v>Отменен</v>
      </c>
      <c r="M354" t="str">
        <f t="shared" si="117"/>
        <v/>
      </c>
      <c r="N354" t="str">
        <f>IFERROR(VLOOKUP(I354,Товары_очищенные!$H$2:$J$502,3,0),"Нет в каталоге")</f>
        <v>Аксессуары</v>
      </c>
      <c r="O354" s="4">
        <f>IFERROR(VLOOKUP(I354,Товары_очищенные!$H$2:$M$502,6,0),"")</f>
        <v>11990</v>
      </c>
      <c r="P354" t="str">
        <f t="shared" si="118"/>
        <v>ОК</v>
      </c>
    </row>
    <row r="355">
      <c r="A355" s="3" t="s">
        <v>2734</v>
      </c>
      <c r="B355" s="3" t="s">
        <v>2388</v>
      </c>
      <c r="C355" s="3" t="s">
        <v>1905</v>
      </c>
      <c r="D355" s="3" t="s">
        <v>2087</v>
      </c>
      <c r="E355" s="3" t="s">
        <v>2737</v>
      </c>
      <c r="F355" s="3" t="s">
        <v>1850</v>
      </c>
      <c r="G355" s="3" t="s">
        <v>1903</v>
      </c>
      <c r="H355" s="5">
        <f t="shared" si="114"/>
        <v>45848</v>
      </c>
      <c r="I355" t="str">
        <f t="shared" si="115"/>
        <v>АРТ-289</v>
      </c>
      <c r="J355" s="6">
        <f t="shared" si="116"/>
        <v>1</v>
      </c>
      <c r="K355" s="4">
        <f>VALUE(SUBSTITUTE(SUBSTITUTE(SUBSTITUTE(SUBSTITUTE(D355,"$",""),"€",""),"₽","")," ",""))*IF(ISNUMBER(FIND("$",D355)),Справочники!$H$3,IF(ISNUMBER(FIND("€",D355)),Справочники!$H$4,1))</f>
        <v>9200</v>
      </c>
      <c r="L355" t="str">
        <f>IFERROR(VLOOKUP(TRIM(G355),Справочники!$D$3:$E$13,2,0),"Нет в справочнике")</f>
        <v>Завершен</v>
      </c>
      <c r="M355" t="str">
        <f t="shared" si="117"/>
        <v/>
      </c>
      <c r="N355" t="str">
        <f>IFERROR(VLOOKUP(I355,Товары_очищенные!$H$2:$J$502,3,0),"Нет в каталоге")</f>
        <v>Часы</v>
      </c>
      <c r="O355" s="4">
        <f>IFERROR(VLOOKUP(I355,Товары_очищенные!$H$2:$M$502,6,0),"")</f>
        <v>62990</v>
      </c>
      <c r="P355" t="str">
        <f t="shared" si="118"/>
        <v xml:space="preserve">Цена отличается от каталога</v>
      </c>
    </row>
    <row r="356">
      <c r="A356" s="3" t="s">
        <v>2738</v>
      </c>
      <c r="B356" s="3" t="s">
        <v>222</v>
      </c>
      <c r="C356" s="3" t="s">
        <v>1930</v>
      </c>
      <c r="D356" s="3" t="s">
        <v>1986</v>
      </c>
      <c r="E356" s="3" t="s">
        <v>2739</v>
      </c>
      <c r="F356" s="3" t="s">
        <v>1615</v>
      </c>
      <c r="G356" s="3" t="s">
        <v>1927</v>
      </c>
      <c r="H356" s="5">
        <f t="shared" ref="H356:H419" si="119">DATE(VALUE(RIGHT(A356,4)),VALUE(LEFT(A356,2)),VALUE(MID(A356,4,2)))</f>
        <v>45849</v>
      </c>
      <c r="I356" t="str">
        <f t="shared" ref="I356:I419" si="120">"АРТ-"&amp;TEXT(VALUE(LEFT(SUBSTITUTE(SUBSTITUTE(SUBSTITUTE(SUBSTITUTE(TRIM(B356),"№",""),"АРТ-",""),"АРТ_",""),"АРТ",""),3)),"000")</f>
        <v>АРТ-043</v>
      </c>
      <c r="J356" s="6">
        <f t="shared" ref="J356:J419" si="121">VALUE(TRIM(SUBSTITUTE(SUBSTITUTE(TRIM(C356),"шт.",""),"шт","")))</f>
        <v>3</v>
      </c>
      <c r="K356" s="4">
        <f>VALUE(SUBSTITUTE(SUBSTITUTE(SUBSTITUTE(SUBSTITUTE(D356,"$",""),"€",""),"₽","")," ",""))*IF(ISNUMBER(FIND("$",D356)),Справочники!$H$3,IF(ISNUMBER(FIND("€",D356)),Справочники!$H$4,1))</f>
        <v>8550</v>
      </c>
      <c r="L356" t="str">
        <f>IFERROR(VLOOKUP(TRIM(G356),Справочники!$D$3:$E$13,2,0),"Нет в справочнике")</f>
        <v>Возврат</v>
      </c>
      <c r="M356" t="str">
        <f t="shared" ref="M356:M419" si="122">IF(COUNTIFS($H$2:H356,H356,$I$2:I356,I356,$E$2:E356,E356)&gt;1,"Дубликат","")</f>
        <v/>
      </c>
      <c r="N356" t="str">
        <f>IFERROR(VLOOKUP(I356,Товары_очищенные!$H$2:$J$502,3,0),"Нет в каталоге")</f>
        <v>Телевизоры</v>
      </c>
      <c r="O356" s="4">
        <f>IFERROR(VLOOKUP(I356,Товары_очищенные!$H$2:$M$502,6,0),"")</f>
        <v>134990</v>
      </c>
      <c r="P356" t="str">
        <f t="shared" ref="P356:P419" si="123">IF(O356="","Нет в каталоге",IF(ABS(K356/O356-1)&lt;=0.2,"ОК","Цена отличается от каталога"))</f>
        <v xml:space="preserve">Цена отличается от каталога</v>
      </c>
    </row>
    <row r="357">
      <c r="A357" s="3" t="s">
        <v>2738</v>
      </c>
      <c r="B357" s="3" t="s">
        <v>2740</v>
      </c>
      <c r="C357" s="3" t="s">
        <v>1900</v>
      </c>
      <c r="D357" s="3" t="s">
        <v>1989</v>
      </c>
      <c r="E357" s="3" t="s">
        <v>2741</v>
      </c>
      <c r="F357" s="3" t="s">
        <v>1765</v>
      </c>
      <c r="G357" s="3" t="s">
        <v>1908</v>
      </c>
      <c r="H357" s="5">
        <f t="shared" si="119"/>
        <v>45849</v>
      </c>
      <c r="I357" t="str">
        <f t="shared" si="120"/>
        <v>АРТ-466</v>
      </c>
      <c r="J357" s="6">
        <f t="shared" si="121"/>
        <v>2</v>
      </c>
      <c r="K357" s="4">
        <f>VALUE(SUBSTITUTE(SUBSTITUTE(SUBSTITUTE(SUBSTITUTE(D357,"$",""),"€",""),"₽","")," ",""))*IF(ISNUMBER(FIND("$",D357)),Справочники!$H$3,IF(ISNUMBER(FIND("€",D357)),Справочники!$H$4,1))</f>
        <v>7000</v>
      </c>
      <c r="L357" t="str">
        <f>IFERROR(VLOOKUP(TRIM(G357),Справочники!$D$3:$E$13,2,0),"Нет в справочнике")</f>
        <v>Завершен</v>
      </c>
      <c r="M357" t="str">
        <f t="shared" si="122"/>
        <v/>
      </c>
      <c r="N357" t="str">
        <f>IFERROR(VLOOKUP(I357,Товары_очищенные!$H$2:$J$502,3,0),"Нет в каталоге")</f>
        <v>Смартфоны</v>
      </c>
      <c r="O357" s="4">
        <f>IFERROR(VLOOKUP(I357,Товары_очищенные!$H$2:$M$502,6,0),"")</f>
        <v>22990</v>
      </c>
      <c r="P357" t="str">
        <f t="shared" si="123"/>
        <v xml:space="preserve">Цена отличается от каталога</v>
      </c>
    </row>
    <row r="358">
      <c r="A358" s="3" t="s">
        <v>2742</v>
      </c>
      <c r="B358" s="3" t="s">
        <v>2743</v>
      </c>
      <c r="C358" s="3" t="s">
        <v>1938</v>
      </c>
      <c r="D358" s="3" t="s">
        <v>1939</v>
      </c>
      <c r="E358" s="3" t="s">
        <v>2744</v>
      </c>
      <c r="F358" s="3" t="s">
        <v>1688</v>
      </c>
      <c r="G358" s="3" t="s">
        <v>1913</v>
      </c>
      <c r="H358" s="5">
        <f t="shared" si="119"/>
        <v>45850</v>
      </c>
      <c r="I358" t="str">
        <f t="shared" si="120"/>
        <v>АРТ-334</v>
      </c>
      <c r="J358" s="6">
        <f t="shared" si="121"/>
        <v>1</v>
      </c>
      <c r="K358" s="4">
        <f>VALUE(SUBSTITUTE(SUBSTITUTE(SUBSTITUTE(SUBSTITUTE(D358,"$",""),"€",""),"₽","")," ",""))*IF(ISNUMBER(FIND("$",D358)),Справочники!$H$3,IF(ISNUMBER(FIND("€",D358)),Справочники!$H$4,1))</f>
        <v>6500</v>
      </c>
      <c r="L358" t="str">
        <f>IFERROR(VLOOKUP(TRIM(G358),Справочники!$D$3:$E$13,2,0),"Нет в справочнике")</f>
        <v>Завершен</v>
      </c>
      <c r="M358" t="str">
        <f t="shared" si="122"/>
        <v/>
      </c>
      <c r="N358" t="str">
        <f>IFERROR(VLOOKUP(I358,Товары_очищенные!$H$2:$J$502,3,0),"Нет в каталоге")</f>
        <v>Планшеты</v>
      </c>
      <c r="O358" s="4">
        <f>IFERROR(VLOOKUP(I358,Товары_очищенные!$H$2:$M$502,6,0),"")</f>
        <v>48990</v>
      </c>
      <c r="P358" t="str">
        <f t="shared" si="123"/>
        <v xml:space="preserve">Цена отличается от каталога</v>
      </c>
    </row>
    <row r="359">
      <c r="A359" s="3" t="s">
        <v>2742</v>
      </c>
      <c r="B359" s="3" t="s">
        <v>2081</v>
      </c>
      <c r="C359" s="3" t="s">
        <v>1915</v>
      </c>
      <c r="D359" s="3" t="s">
        <v>1916</v>
      </c>
      <c r="E359" s="3" t="s">
        <v>2745</v>
      </c>
      <c r="F359" s="3" t="s">
        <v>1832</v>
      </c>
      <c r="G359" s="3" t="s">
        <v>1903</v>
      </c>
      <c r="H359" s="5">
        <f t="shared" si="119"/>
        <v>45850</v>
      </c>
      <c r="I359" t="str">
        <f t="shared" si="120"/>
        <v>АРТ-368</v>
      </c>
      <c r="J359" s="6">
        <f t="shared" si="121"/>
        <v>-1</v>
      </c>
      <c r="K359" s="4">
        <f>VALUE(SUBSTITUTE(SUBSTITUTE(SUBSTITUTE(SUBSTITUTE(D359,"$",""),"€",""),"₽","")," ",""))*IF(ISNUMBER(FIND("$",D359)),Справочники!$H$3,IF(ISNUMBER(FIND("€",D359)),Справочники!$H$4,1))</f>
        <v>10450</v>
      </c>
      <c r="L359" t="str">
        <f>IFERROR(VLOOKUP(TRIM(G359),Справочники!$D$3:$E$13,2,0),"Нет в справочнике")</f>
        <v>Завершен</v>
      </c>
      <c r="M359" t="str">
        <f t="shared" si="122"/>
        <v/>
      </c>
      <c r="N359" t="str">
        <f>IFERROR(VLOOKUP(I359,Товары_очищенные!$H$2:$J$502,3,0),"Нет в каталоге")</f>
        <v>Наушники</v>
      </c>
      <c r="O359" s="4">
        <f>IFERROR(VLOOKUP(I359,Товары_очищенные!$H$2:$M$502,6,0),"")</f>
        <v>19000</v>
      </c>
      <c r="P359" t="str">
        <f t="shared" si="123"/>
        <v xml:space="preserve">Цена отличается от каталога</v>
      </c>
    </row>
    <row r="360">
      <c r="A360" s="3" t="s">
        <v>2746</v>
      </c>
      <c r="B360" s="3" t="s">
        <v>2747</v>
      </c>
      <c r="C360" s="3" t="s">
        <v>1930</v>
      </c>
      <c r="D360" s="3" t="s">
        <v>1922</v>
      </c>
      <c r="E360" s="3" t="s">
        <v>2748</v>
      </c>
      <c r="F360" s="3" t="s">
        <v>1594</v>
      </c>
      <c r="G360" s="3" t="s">
        <v>1924</v>
      </c>
      <c r="H360" s="5">
        <f t="shared" si="119"/>
        <v>45851</v>
      </c>
      <c r="I360" t="str">
        <f t="shared" si="120"/>
        <v>АРТ-223</v>
      </c>
      <c r="J360" s="6">
        <f t="shared" si="121"/>
        <v>3</v>
      </c>
      <c r="K360" s="4">
        <f>VALUE(SUBSTITUTE(SUBSTITUTE(SUBSTITUTE(SUBSTITUTE(D360,"$",""),"€",""),"₽","")," ",""))*IF(ISNUMBER(FIND("$",D360)),Справочники!$H$3,IF(ISNUMBER(FIND("€",D360)),Справочники!$H$4,1))</f>
        <v>9000</v>
      </c>
      <c r="L360" t="str">
        <f>IFERROR(VLOOKUP(TRIM(G360),Справочники!$D$3:$E$13,2,0),"Нет в справочнике")</f>
        <v>Отменен</v>
      </c>
      <c r="M360" t="str">
        <f t="shared" si="122"/>
        <v/>
      </c>
      <c r="N360" t="str">
        <f>IFERROR(VLOOKUP(I360,Товары_очищенные!$H$2:$J$502,3,0),"Нет в каталоге")</f>
        <v>Мониторы</v>
      </c>
      <c r="O360" s="4">
        <f>IFERROR(VLOOKUP(I360,Товары_очищенные!$H$2:$M$502,6,0),"")</f>
        <v>54990</v>
      </c>
      <c r="P360" t="str">
        <f t="shared" si="123"/>
        <v xml:space="preserve">Цена отличается от каталога</v>
      </c>
    </row>
    <row r="361">
      <c r="A361" s="3" t="s">
        <v>2746</v>
      </c>
      <c r="B361" s="3" t="s">
        <v>2749</v>
      </c>
      <c r="C361" s="3" t="s">
        <v>1900</v>
      </c>
      <c r="D361" s="3" t="s">
        <v>1925</v>
      </c>
      <c r="E361" s="3" t="s">
        <v>2750</v>
      </c>
      <c r="F361" s="3" t="s">
        <v>1796</v>
      </c>
      <c r="G361" s="3" t="s">
        <v>1918</v>
      </c>
      <c r="H361" s="5">
        <f t="shared" si="119"/>
        <v>45851</v>
      </c>
      <c r="I361" t="str">
        <f t="shared" si="120"/>
        <v>АРТ-137</v>
      </c>
      <c r="J361" s="6">
        <f t="shared" si="121"/>
        <v>2</v>
      </c>
      <c r="K361" s="4">
        <f>VALUE(SUBSTITUTE(SUBSTITUTE(SUBSTITUTE(SUBSTITUTE(D361,"$",""),"€",""),"₽","")," ",""))*IF(ISNUMBER(FIND("$",D361)),Справочники!$H$3,IF(ISNUMBER(FIND("€",D361)),Справочники!$H$4,1))</f>
        <v>8000</v>
      </c>
      <c r="L361" t="str">
        <f>IFERROR(VLOOKUP(TRIM(G361),Справочники!$D$3:$E$13,2,0),"Нет в справочнике")</f>
        <v>Отменен</v>
      </c>
      <c r="M361" t="str">
        <f t="shared" si="122"/>
        <v/>
      </c>
      <c r="N361" t="str">
        <f>IFERROR(VLOOKUP(I361,Товары_очищенные!$H$2:$J$502,3,0),"Нет в каталоге")</f>
        <v>Наушники</v>
      </c>
      <c r="O361" s="4">
        <f>IFERROR(VLOOKUP(I361,Товары_очищенные!$H$2:$M$502,6,0),"")</f>
        <v>22000</v>
      </c>
      <c r="P361" t="str">
        <f t="shared" si="123"/>
        <v xml:space="preserve">Цена отличается от каталога</v>
      </c>
    </row>
    <row r="362">
      <c r="A362" s="3" t="s">
        <v>2751</v>
      </c>
      <c r="B362" s="3" t="s">
        <v>2752</v>
      </c>
      <c r="C362" s="3" t="s">
        <v>1905</v>
      </c>
      <c r="D362" s="3" t="s">
        <v>1964</v>
      </c>
      <c r="E362" s="3" t="s">
        <v>2753</v>
      </c>
      <c r="F362" s="3" t="s">
        <v>1656</v>
      </c>
      <c r="G362" s="3" t="s">
        <v>1927</v>
      </c>
      <c r="H362" s="5">
        <f t="shared" si="119"/>
        <v>45852</v>
      </c>
      <c r="I362" t="str">
        <f t="shared" si="120"/>
        <v>АРТ-096</v>
      </c>
      <c r="J362" s="6">
        <f t="shared" si="121"/>
        <v>1</v>
      </c>
      <c r="K362" s="4">
        <f>VALUE(SUBSTITUTE(SUBSTITUTE(SUBSTITUTE(SUBSTITUTE(D362,"$",""),"€",""),"₽","")," ",""))*IF(ISNUMBER(FIND("$",D362)),Справочники!$H$3,IF(ISNUMBER(FIND("€",D362)),Справочники!$H$4,1))</f>
        <v>9025</v>
      </c>
      <c r="L362" t="str">
        <f>IFERROR(VLOOKUP(TRIM(G362),Справочники!$D$3:$E$13,2,0),"Нет в справочнике")</f>
        <v>Возврат</v>
      </c>
      <c r="M362" t="str">
        <f t="shared" si="122"/>
        <v/>
      </c>
      <c r="N362" t="str">
        <f>IFERROR(VLOOKUP(I362,Товары_очищенные!$H$2:$J$502,3,0),"Нет в каталоге")</f>
        <v>Мониторы</v>
      </c>
      <c r="O362" s="4">
        <f>IFERROR(VLOOKUP(I362,Товары_очищенные!$H$2:$M$502,6,0),"")</f>
        <v>97000</v>
      </c>
      <c r="P362" t="str">
        <f t="shared" si="123"/>
        <v xml:space="preserve">Цена отличается от каталога</v>
      </c>
    </row>
    <row r="363">
      <c r="A363" s="3" t="s">
        <v>2751</v>
      </c>
      <c r="B363" s="3" t="s">
        <v>2497</v>
      </c>
      <c r="C363" s="3" t="s">
        <v>1900</v>
      </c>
      <c r="D363" s="3" t="s">
        <v>1968</v>
      </c>
      <c r="E363" s="3" t="s">
        <v>2754</v>
      </c>
      <c r="F363" s="3" t="s">
        <v>1746</v>
      </c>
      <c r="G363" s="3" t="s">
        <v>1903</v>
      </c>
      <c r="H363" s="5">
        <f t="shared" si="119"/>
        <v>45852</v>
      </c>
      <c r="I363" t="str">
        <f t="shared" si="120"/>
        <v>АРТ-439</v>
      </c>
      <c r="J363" s="6">
        <f t="shared" si="121"/>
        <v>2</v>
      </c>
      <c r="K363" s="4">
        <f>VALUE(SUBSTITUTE(SUBSTITUTE(SUBSTITUTE(SUBSTITUTE(D363,"$",""),"€",""),"₽","")," ",""))*IF(ISNUMBER(FIND("$",D363)),Справочники!$H$3,IF(ISNUMBER(FIND("€",D363)),Справочники!$H$4,1))</f>
        <v>7500</v>
      </c>
      <c r="L363" t="str">
        <f>IFERROR(VLOOKUP(TRIM(G363),Справочники!$D$3:$E$13,2,0),"Нет в справочнике")</f>
        <v>Завершен</v>
      </c>
      <c r="M363" t="str">
        <f t="shared" si="122"/>
        <v/>
      </c>
      <c r="N363" t="str">
        <f>IFERROR(VLOOKUP(I363,Товары_очищенные!$H$2:$J$502,3,0),"Нет в каталоге")</f>
        <v>Планшеты</v>
      </c>
      <c r="O363" s="4">
        <f>IFERROR(VLOOKUP(I363,Товары_очищенные!$H$2:$M$502,6,0),"")</f>
        <v>29990</v>
      </c>
      <c r="P363" t="str">
        <f t="shared" si="123"/>
        <v xml:space="preserve">Цена отличается от каталога</v>
      </c>
    </row>
    <row r="364">
      <c r="A364" s="3" t="s">
        <v>2755</v>
      </c>
      <c r="B364" s="3" t="s">
        <v>2756</v>
      </c>
      <c r="C364" s="3" t="s">
        <v>1910</v>
      </c>
      <c r="D364" s="3" t="s">
        <v>1971</v>
      </c>
      <c r="E364" s="3" t="s">
        <v>2757</v>
      </c>
      <c r="F364" s="3" t="s">
        <v>1622</v>
      </c>
      <c r="G364" s="3" t="s">
        <v>1908</v>
      </c>
      <c r="H364" s="5">
        <f t="shared" si="119"/>
        <v>45853</v>
      </c>
      <c r="I364" t="str">
        <f t="shared" si="120"/>
        <v>АРТ-304</v>
      </c>
      <c r="J364" s="6">
        <f t="shared" si="121"/>
        <v>3</v>
      </c>
      <c r="K364" s="4">
        <f>VALUE(SUBSTITUTE(SUBSTITUTE(SUBSTITUTE(SUBSTITUTE(D364,"$",""),"€",""),"₽","")," ",""))*IF(ISNUMBER(FIND("$",D364)),Справочники!$H$3,IF(ISNUMBER(FIND("€",D364)),Справочники!$H$4,1))</f>
        <v>7000</v>
      </c>
      <c r="L364" t="str">
        <f>IFERROR(VLOOKUP(TRIM(G364),Справочники!$D$3:$E$13,2,0),"Нет в справочнике")</f>
        <v>Завершен</v>
      </c>
      <c r="M364" t="str">
        <f t="shared" si="122"/>
        <v/>
      </c>
      <c r="N364" t="str">
        <f>IFERROR(VLOOKUP(I364,Товары_очищенные!$H$2:$J$502,3,0),"Нет в каталоге")</f>
        <v>Мониторы</v>
      </c>
      <c r="O364" s="4">
        <f>IFERROR(VLOOKUP(I364,Товары_очищенные!$H$2:$M$502,6,0),"")</f>
        <v>59990</v>
      </c>
      <c r="P364" t="str">
        <f t="shared" si="123"/>
        <v xml:space="preserve">Цена отличается от каталога</v>
      </c>
    </row>
    <row r="365">
      <c r="A365" s="3" t="s">
        <v>2755</v>
      </c>
      <c r="B365" s="3" t="s">
        <v>2758</v>
      </c>
      <c r="C365" s="3" t="s">
        <v>1942</v>
      </c>
      <c r="D365" s="3" t="s">
        <v>1943</v>
      </c>
      <c r="E365" s="3" t="s">
        <v>2759</v>
      </c>
      <c r="F365" s="3" t="s">
        <v>1826</v>
      </c>
      <c r="G365" s="3" t="s">
        <v>1913</v>
      </c>
      <c r="H365" s="5">
        <f t="shared" si="119"/>
        <v>45853</v>
      </c>
      <c r="I365" t="str">
        <f t="shared" si="120"/>
        <v>АРТ-179</v>
      </c>
      <c r="J365" s="6">
        <f t="shared" si="121"/>
        <v>-2</v>
      </c>
      <c r="K365" s="4">
        <f>VALUE(SUBSTITUTE(SUBSTITUTE(SUBSTITUTE(SUBSTITUTE(D365,"$",""),"€",""),"₽","")," ",""))*IF(ISNUMBER(FIND("$",D365)),Справочники!$H$3,IF(ISNUMBER(FIND("€",D365)),Справочники!$H$4,1))</f>
        <v>10925</v>
      </c>
      <c r="L365" t="str">
        <f>IFERROR(VLOOKUP(TRIM(G365),Справочники!$D$3:$E$13,2,0),"Нет в справочнике")</f>
        <v>Завершен</v>
      </c>
      <c r="M365" t="str">
        <f t="shared" si="122"/>
        <v/>
      </c>
      <c r="N365" t="str">
        <f>IFERROR(VLOOKUP(I365,Товары_очищенные!$H$2:$J$502,3,0),"Нет в каталоге")</f>
        <v>Наушники</v>
      </c>
      <c r="O365" s="4">
        <f>IFERROR(VLOOKUP(I365,Товары_очищенные!$H$2:$M$502,6,0),"")</f>
        <v>13000</v>
      </c>
      <c r="P365" t="str">
        <f t="shared" si="123"/>
        <v>ОК</v>
      </c>
    </row>
    <row r="366">
      <c r="A366" s="3" t="s">
        <v>2760</v>
      </c>
      <c r="B366" s="3" t="s">
        <v>2761</v>
      </c>
      <c r="C366" s="3" t="s">
        <v>1905</v>
      </c>
      <c r="D366" s="3" t="s">
        <v>1934</v>
      </c>
      <c r="E366" s="3" t="s">
        <v>2762</v>
      </c>
      <c r="F366" s="3" t="s">
        <v>1676</v>
      </c>
      <c r="G366" s="3" t="s">
        <v>1918</v>
      </c>
      <c r="H366" s="5">
        <f t="shared" si="119"/>
        <v>45854</v>
      </c>
      <c r="I366" t="str">
        <f t="shared" si="120"/>
        <v>АРТ-364</v>
      </c>
      <c r="J366" s="6">
        <f t="shared" si="121"/>
        <v>1</v>
      </c>
      <c r="K366" s="4">
        <f>VALUE(SUBSTITUTE(SUBSTITUTE(SUBSTITUTE(SUBSTITUTE(D366,"$",""),"€",""),"₽","")," ",""))*IF(ISNUMBER(FIND("$",D366)),Справочники!$H$3,IF(ISNUMBER(FIND("€",D366)),Справочники!$H$4,1))</f>
        <v>9500</v>
      </c>
      <c r="L366" t="str">
        <f>IFERROR(VLOOKUP(TRIM(G366),Справочники!$D$3:$E$13,2,0),"Нет в справочнике")</f>
        <v>Отменен</v>
      </c>
      <c r="M366" t="str">
        <f t="shared" si="122"/>
        <v/>
      </c>
      <c r="N366" t="str">
        <f>IFERROR(VLOOKUP(I366,Товары_очищенные!$H$2:$J$502,3,0),"Нет в каталоге")</f>
        <v>Телевизоры</v>
      </c>
      <c r="O366" s="4">
        <f>IFERROR(VLOOKUP(I366,Товары_очищенные!$H$2:$M$502,6,0),"")</f>
        <v>139990</v>
      </c>
      <c r="P366" t="str">
        <f t="shared" si="123"/>
        <v xml:space="preserve">Цена отличается от каталога</v>
      </c>
    </row>
    <row r="367">
      <c r="A367" s="3" t="s">
        <v>2760</v>
      </c>
      <c r="B367" s="3" t="s">
        <v>2281</v>
      </c>
      <c r="C367" s="3" t="s">
        <v>1900</v>
      </c>
      <c r="D367" s="3" t="s">
        <v>1951</v>
      </c>
      <c r="E367" s="3" t="s">
        <v>2763</v>
      </c>
      <c r="F367" s="3" t="s">
        <v>1772</v>
      </c>
      <c r="G367" s="3" t="s">
        <v>1924</v>
      </c>
      <c r="H367" s="5">
        <f t="shared" si="119"/>
        <v>45854</v>
      </c>
      <c r="I367" t="str">
        <f t="shared" si="120"/>
        <v>АРТ-112</v>
      </c>
      <c r="J367" s="6">
        <f t="shared" si="121"/>
        <v>2</v>
      </c>
      <c r="K367" s="4">
        <f>VALUE(SUBSTITUTE(SUBSTITUTE(SUBSTITUTE(SUBSTITUTE(D367,"$",""),"€",""),"₽","")," ",""))*IF(ISNUMBER(FIND("$",D367)),Справочники!$H$3,IF(ISNUMBER(FIND("€",D367)),Справочники!$H$4,1))</f>
        <v>8500</v>
      </c>
      <c r="L367" t="str">
        <f>IFERROR(VLOOKUP(TRIM(G367),Справочники!$D$3:$E$13,2,0),"Нет в справочнике")</f>
        <v>Отменен</v>
      </c>
      <c r="M367" t="str">
        <f t="shared" si="122"/>
        <v/>
      </c>
      <c r="N367" t="str">
        <f>IFERROR(VLOOKUP(I367,Товары_очищенные!$H$2:$J$502,3,0),"Нет в каталоге")</f>
        <v>Наушники</v>
      </c>
      <c r="O367" s="4">
        <f>IFERROR(VLOOKUP(I367,Товары_очищенные!$H$2:$M$502,6,0),"")</f>
        <v>34990</v>
      </c>
      <c r="P367" t="str">
        <f t="shared" si="123"/>
        <v xml:space="preserve">Цена отличается от каталога</v>
      </c>
    </row>
    <row r="368">
      <c r="A368" s="3" t="s">
        <v>2764</v>
      </c>
      <c r="B368" s="3" t="s">
        <v>2765</v>
      </c>
      <c r="C368" s="3" t="s">
        <v>1930</v>
      </c>
      <c r="D368" s="3" t="s">
        <v>1931</v>
      </c>
      <c r="E368" s="3" t="s">
        <v>2766</v>
      </c>
      <c r="F368" s="3" t="s">
        <v>1874</v>
      </c>
      <c r="G368" s="3" t="s">
        <v>1903</v>
      </c>
      <c r="H368" s="5">
        <f t="shared" si="119"/>
        <v>45855</v>
      </c>
      <c r="I368" t="str">
        <f t="shared" si="120"/>
        <v>АРТ-044</v>
      </c>
      <c r="J368" s="6">
        <f t="shared" si="121"/>
        <v>3</v>
      </c>
      <c r="K368" s="4">
        <f>VALUE(SUBSTITUTE(SUBSTITUTE(SUBSTITUTE(SUBSTITUTE(D368,"$",""),"€",""),"₽","")," ",""))*IF(ISNUMBER(FIND("$",D368)),Справочники!$H$3,IF(ISNUMBER(FIND("€",D368)),Справочники!$H$4,1))</f>
        <v>9975</v>
      </c>
      <c r="L368" t="str">
        <f>IFERROR(VLOOKUP(TRIM(G368),Справочники!$D$3:$E$13,2,0),"Нет в справочнике")</f>
        <v>Завершен</v>
      </c>
      <c r="M368" t="str">
        <f t="shared" si="122"/>
        <v/>
      </c>
      <c r="N368" t="str">
        <f>IFERROR(VLOOKUP(I368,Товары_очищенные!$H$2:$J$502,3,0),"Нет в каталоге")</f>
        <v>Телевизоры</v>
      </c>
      <c r="O368" s="4">
        <f>IFERROR(VLOOKUP(I368,Товары_очищенные!$H$2:$M$502,6,0),"")</f>
        <v>132000</v>
      </c>
      <c r="P368" t="str">
        <f t="shared" si="123"/>
        <v xml:space="preserve">Цена отличается от каталога</v>
      </c>
    </row>
    <row r="369">
      <c r="A369" s="3" t="s">
        <v>2764</v>
      </c>
      <c r="B369" s="3" t="s">
        <v>2767</v>
      </c>
      <c r="C369" s="3" t="s">
        <v>1900</v>
      </c>
      <c r="D369" s="3" t="s">
        <v>1906</v>
      </c>
      <c r="E369" s="3" t="s">
        <v>2768</v>
      </c>
      <c r="F369" s="3" t="s">
        <v>1601</v>
      </c>
      <c r="G369" s="3" t="s">
        <v>1927</v>
      </c>
      <c r="H369" s="5">
        <f t="shared" si="119"/>
        <v>45855</v>
      </c>
      <c r="I369" t="str">
        <f t="shared" si="120"/>
        <v>АРТ-448</v>
      </c>
      <c r="J369" s="6">
        <f t="shared" si="121"/>
        <v>2</v>
      </c>
      <c r="K369" s="4">
        <f>VALUE(SUBSTITUTE(SUBSTITUTE(SUBSTITUTE(SUBSTITUTE(D369,"$",""),"€",""),"₽","")," ",""))*IF(ISNUMBER(FIND("$",D369)),Справочники!$H$3,IF(ISNUMBER(FIND("€",D369)),Справочники!$H$4,1))</f>
        <v>8500</v>
      </c>
      <c r="L369" t="str">
        <f>IFERROR(VLOOKUP(TRIM(G369),Справочники!$D$3:$E$13,2,0),"Нет в справочнике")</f>
        <v>Возврат</v>
      </c>
      <c r="M369" t="str">
        <f t="shared" si="122"/>
        <v/>
      </c>
      <c r="N369" t="str">
        <f>IFERROR(VLOOKUP(I369,Товары_очищенные!$H$2:$J$502,3,0),"Нет в каталоге")</f>
        <v>Телевизоры</v>
      </c>
      <c r="O369" s="4">
        <f>IFERROR(VLOOKUP(I369,Товары_очищенные!$H$2:$M$502,6,0),"")</f>
        <v>73990</v>
      </c>
      <c r="P369" t="str">
        <f t="shared" si="123"/>
        <v xml:space="preserve">Цена отличается от каталога</v>
      </c>
    </row>
    <row r="370">
      <c r="A370" s="3" t="s">
        <v>2769</v>
      </c>
      <c r="B370" s="3" t="s">
        <v>2770</v>
      </c>
      <c r="C370" s="3" t="s">
        <v>1938</v>
      </c>
      <c r="D370" s="3" t="s">
        <v>2166</v>
      </c>
      <c r="E370" s="3" t="s">
        <v>2771</v>
      </c>
      <c r="F370" s="3" t="s">
        <v>1721</v>
      </c>
      <c r="G370" s="3" t="s">
        <v>1908</v>
      </c>
      <c r="H370" s="5">
        <f t="shared" si="119"/>
        <v>45856</v>
      </c>
      <c r="I370" t="str">
        <f t="shared" si="120"/>
        <v>АРТ-389</v>
      </c>
      <c r="J370" s="6">
        <f t="shared" si="121"/>
        <v>1</v>
      </c>
      <c r="K370" s="4">
        <f>VALUE(SUBSTITUTE(SUBSTITUTE(SUBSTITUTE(SUBSTITUTE(D370,"$",""),"€",""),"₽","")," ",""))*IF(ISNUMBER(FIND("$",D370)),Справочники!$H$3,IF(ISNUMBER(FIND("€",D370)),Справочники!$H$4,1))</f>
        <v>7800</v>
      </c>
      <c r="L370" t="str">
        <f>IFERROR(VLOOKUP(TRIM(G370),Справочники!$D$3:$E$13,2,0),"Нет в справочнике")</f>
        <v>Завершен</v>
      </c>
      <c r="M370" t="str">
        <f t="shared" si="122"/>
        <v/>
      </c>
      <c r="N370" t="str">
        <f>IFERROR(VLOOKUP(I370,Товары_очищенные!$H$2:$J$502,3,0),"Нет в каталоге")</f>
        <v>Телевизоры</v>
      </c>
      <c r="O370" s="4">
        <f>IFERROR(VLOOKUP(I370,Товары_очищенные!$H$2:$M$502,6,0),"")</f>
        <v>75000</v>
      </c>
      <c r="P370" t="str">
        <f t="shared" si="123"/>
        <v xml:space="preserve">Цена отличается от каталога</v>
      </c>
    </row>
    <row r="371">
      <c r="A371" s="3" t="s">
        <v>2769</v>
      </c>
      <c r="B371" s="3" t="s">
        <v>2772</v>
      </c>
      <c r="C371" s="3" t="s">
        <v>1985</v>
      </c>
      <c r="D371" s="3" t="s">
        <v>2044</v>
      </c>
      <c r="E371" s="3" t="s">
        <v>2773</v>
      </c>
      <c r="F371" s="3" t="s">
        <v>1663</v>
      </c>
      <c r="G371" s="3" t="s">
        <v>1913</v>
      </c>
      <c r="H371" s="5">
        <f t="shared" si="119"/>
        <v>45856</v>
      </c>
      <c r="I371" t="str">
        <f t="shared" si="120"/>
        <v>АРТ-419</v>
      </c>
      <c r="J371" s="6">
        <f t="shared" si="121"/>
        <v>-3</v>
      </c>
      <c r="K371" s="4">
        <f>VALUE(SUBSTITUTE(SUBSTITUTE(SUBSTITUTE(SUBSTITUTE(D371,"$",""),"€",""),"₽","")," ",""))*IF(ISNUMBER(FIND("$",D371)),Справочники!$H$3,IF(ISNUMBER(FIND("€",D371)),Справочники!$H$4,1))</f>
        <v>11400</v>
      </c>
      <c r="L371" t="str">
        <f>IFERROR(VLOOKUP(TRIM(G371),Справочники!$D$3:$E$13,2,0),"Нет в справочнике")</f>
        <v>Завершен</v>
      </c>
      <c r="M371" t="str">
        <f t="shared" si="122"/>
        <v/>
      </c>
      <c r="N371" t="str">
        <f>IFERROR(VLOOKUP(I371,Товары_очищенные!$H$2:$J$502,3,0),"Нет в каталоге")</f>
        <v>Часы</v>
      </c>
      <c r="O371" s="4">
        <f>IFERROR(VLOOKUP(I371,Товары_очищенные!$H$2:$M$502,6,0),"")</f>
        <v>28500</v>
      </c>
      <c r="P371" t="str">
        <f t="shared" si="123"/>
        <v xml:space="preserve">Цена отличается от каталога</v>
      </c>
    </row>
    <row r="372">
      <c r="A372" s="3" t="s">
        <v>2774</v>
      </c>
      <c r="B372" s="3" t="s">
        <v>2775</v>
      </c>
      <c r="C372" s="3" t="s">
        <v>1900</v>
      </c>
      <c r="D372" s="3" t="s">
        <v>2046</v>
      </c>
      <c r="E372" s="3" t="s">
        <v>2776</v>
      </c>
      <c r="F372" s="3" t="s">
        <v>1802</v>
      </c>
      <c r="G372" s="3" t="s">
        <v>1903</v>
      </c>
      <c r="H372" s="5">
        <f t="shared" si="119"/>
        <v>45857</v>
      </c>
      <c r="I372" t="str">
        <f t="shared" si="120"/>
        <v>АРТ-258</v>
      </c>
      <c r="J372" s="6">
        <f t="shared" si="121"/>
        <v>2</v>
      </c>
      <c r="K372" s="4">
        <f>VALUE(SUBSTITUTE(SUBSTITUTE(SUBSTITUTE(SUBSTITUTE(D372,"$",""),"€",""),"₽","")," ",""))*IF(ISNUMBER(FIND("$",D372)),Справочники!$H$3,IF(ISNUMBER(FIND("€",D372)),Справочники!$H$4,1))</f>
        <v>10000</v>
      </c>
      <c r="L372" t="str">
        <f>IFERROR(VLOOKUP(TRIM(G372),Справочники!$D$3:$E$13,2,0),"Нет в справочнике")</f>
        <v>Завершен</v>
      </c>
      <c r="M372" t="str">
        <f t="shared" si="122"/>
        <v/>
      </c>
      <c r="N372" t="str">
        <f>IFERROR(VLOOKUP(I372,Товары_очищенные!$H$2:$J$502,3,0),"Нет в каталоге")</f>
        <v>Смартфоны</v>
      </c>
      <c r="O372" s="4">
        <f>IFERROR(VLOOKUP(I372,Товары_очищенные!$H$2:$M$502,6,0),"")</f>
        <v>39500</v>
      </c>
      <c r="P372" t="str">
        <f t="shared" si="123"/>
        <v xml:space="preserve">Цена отличается от каталога</v>
      </c>
    </row>
    <row r="373">
      <c r="A373" s="3" t="s">
        <v>2774</v>
      </c>
      <c r="B373" s="3" t="s">
        <v>761</v>
      </c>
      <c r="C373" s="3" t="s">
        <v>1905</v>
      </c>
      <c r="D373" s="3" t="s">
        <v>2087</v>
      </c>
      <c r="E373" s="3" t="s">
        <v>2777</v>
      </c>
      <c r="F373" s="3" t="s">
        <v>1868</v>
      </c>
      <c r="G373" s="3" t="s">
        <v>1924</v>
      </c>
      <c r="H373" s="5">
        <f t="shared" si="119"/>
        <v>45857</v>
      </c>
      <c r="I373" t="str">
        <f t="shared" si="120"/>
        <v>АРТ-186</v>
      </c>
      <c r="J373" s="6">
        <f t="shared" si="121"/>
        <v>1</v>
      </c>
      <c r="K373" s="4">
        <f>VALUE(SUBSTITUTE(SUBSTITUTE(SUBSTITUTE(SUBSTITUTE(D373,"$",""),"€",""),"₽","")," ",""))*IF(ISNUMBER(FIND("$",D373)),Справочники!$H$3,IF(ISNUMBER(FIND("€",D373)),Справочники!$H$4,1))</f>
        <v>9200</v>
      </c>
      <c r="L373" t="str">
        <f>IFERROR(VLOOKUP(TRIM(G373),Справочники!$D$3:$E$13,2,0),"Нет в справочнике")</f>
        <v>Отменен</v>
      </c>
      <c r="M373" t="str">
        <f t="shared" si="122"/>
        <v/>
      </c>
      <c r="N373" t="str">
        <f>IFERROR(VLOOKUP(I373,Товары_очищенные!$H$2:$J$502,3,0),"Нет в каталоге")</f>
        <v>Аксессуары</v>
      </c>
      <c r="O373" s="4">
        <f>IFERROR(VLOOKUP(I373,Товары_очищенные!$H$2:$M$502,6,0),"")</f>
        <v>20800</v>
      </c>
      <c r="P373" t="str">
        <f t="shared" si="123"/>
        <v xml:space="preserve">Цена отличается от каталога</v>
      </c>
    </row>
    <row r="374">
      <c r="A374" s="3" t="s">
        <v>2778</v>
      </c>
      <c r="B374" s="3" t="s">
        <v>1040</v>
      </c>
      <c r="C374" s="3" t="s">
        <v>1930</v>
      </c>
      <c r="D374" s="3" t="s">
        <v>1986</v>
      </c>
      <c r="E374" s="3" t="s">
        <v>2779</v>
      </c>
      <c r="F374" s="3" t="s">
        <v>1587</v>
      </c>
      <c r="G374" s="3" t="s">
        <v>1918</v>
      </c>
      <c r="H374" s="5">
        <f t="shared" si="119"/>
        <v>45858</v>
      </c>
      <c r="I374" t="str">
        <f t="shared" si="120"/>
        <v>АРТ-280</v>
      </c>
      <c r="J374" s="6">
        <f t="shared" si="121"/>
        <v>3</v>
      </c>
      <c r="K374" s="4">
        <f>VALUE(SUBSTITUTE(SUBSTITUTE(SUBSTITUTE(SUBSTITUTE(D374,"$",""),"€",""),"₽","")," ",""))*IF(ISNUMBER(FIND("$",D374)),Справочники!$H$3,IF(ISNUMBER(FIND("€",D374)),Справочники!$H$4,1))</f>
        <v>8550</v>
      </c>
      <c r="L374" t="str">
        <f>IFERROR(VLOOKUP(TRIM(G374),Справочники!$D$3:$E$13,2,0),"Нет в справочнике")</f>
        <v>Отменен</v>
      </c>
      <c r="M374" t="str">
        <f t="shared" si="122"/>
        <v/>
      </c>
      <c r="N374" t="str">
        <f>IFERROR(VLOOKUP(I374,Товары_очищенные!$H$2:$J$502,3,0),"Нет в каталоге")</f>
        <v>Наушники</v>
      </c>
      <c r="O374" s="4">
        <f>IFERROR(VLOOKUP(I374,Товары_очищенные!$H$2:$M$502,6,0),"")</f>
        <v>32990</v>
      </c>
      <c r="P374" t="str">
        <f t="shared" si="123"/>
        <v xml:space="preserve">Цена отличается от каталога</v>
      </c>
    </row>
    <row r="375">
      <c r="A375" s="3" t="s">
        <v>2778</v>
      </c>
      <c r="B375" s="3" t="s">
        <v>2780</v>
      </c>
      <c r="C375" s="3" t="s">
        <v>1900</v>
      </c>
      <c r="D375" s="3" t="s">
        <v>1989</v>
      </c>
      <c r="E375" s="3" t="s">
        <v>2781</v>
      </c>
      <c r="F375" s="3" t="s">
        <v>1734</v>
      </c>
      <c r="G375" s="3" t="s">
        <v>1927</v>
      </c>
      <c r="H375" s="5">
        <f t="shared" si="119"/>
        <v>45858</v>
      </c>
      <c r="I375" t="str">
        <f t="shared" si="120"/>
        <v>АРТ-477</v>
      </c>
      <c r="J375" s="6">
        <f t="shared" si="121"/>
        <v>2</v>
      </c>
      <c r="K375" s="4">
        <f>VALUE(SUBSTITUTE(SUBSTITUTE(SUBSTITUTE(SUBSTITUTE(D375,"$",""),"€",""),"₽","")," ",""))*IF(ISNUMBER(FIND("$",D375)),Справочники!$H$3,IF(ISNUMBER(FIND("€",D375)),Справочники!$H$4,1))</f>
        <v>7000</v>
      </c>
      <c r="L375" t="str">
        <f>IFERROR(VLOOKUP(TRIM(G375),Справочники!$D$3:$E$13,2,0),"Нет в справочнике")</f>
        <v>Возврат</v>
      </c>
      <c r="M375" t="str">
        <f t="shared" si="122"/>
        <v/>
      </c>
      <c r="N375" t="str">
        <f>IFERROR(VLOOKUP(I375,Товары_очищенные!$H$2:$J$502,3,0),"Нет в каталоге")</f>
        <v>Мониторы</v>
      </c>
      <c r="O375" s="4">
        <f>IFERROR(VLOOKUP(I375,Товары_очищенные!$H$2:$M$502,6,0),"")</f>
        <v>55000</v>
      </c>
      <c r="P375" t="str">
        <f t="shared" si="123"/>
        <v xml:space="preserve">Цена отличается от каталога</v>
      </c>
    </row>
    <row r="376">
      <c r="A376" s="3" t="s">
        <v>2782</v>
      </c>
      <c r="B376" s="3" t="s">
        <v>2783</v>
      </c>
      <c r="C376" s="3" t="s">
        <v>1938</v>
      </c>
      <c r="D376" s="3" t="s">
        <v>1939</v>
      </c>
      <c r="E376" s="3" t="s">
        <v>2784</v>
      </c>
      <c r="F376" s="3" t="s">
        <v>1649</v>
      </c>
      <c r="G376" s="3" t="s">
        <v>1903</v>
      </c>
      <c r="H376" s="5">
        <f t="shared" si="119"/>
        <v>45859</v>
      </c>
      <c r="I376" t="str">
        <f t="shared" si="120"/>
        <v>АРТ-342</v>
      </c>
      <c r="J376" s="6">
        <f t="shared" si="121"/>
        <v>1</v>
      </c>
      <c r="K376" s="4">
        <f>VALUE(SUBSTITUTE(SUBSTITUTE(SUBSTITUTE(SUBSTITUTE(D376,"$",""),"€",""),"₽","")," ",""))*IF(ISNUMBER(FIND("$",D376)),Справочники!$H$3,IF(ISNUMBER(FIND("€",D376)),Справочники!$H$4,1))</f>
        <v>6500</v>
      </c>
      <c r="L376" t="str">
        <f>IFERROR(VLOOKUP(TRIM(G376),Справочники!$D$3:$E$13,2,0),"Нет в справочнике")</f>
        <v>Завершен</v>
      </c>
      <c r="M376" t="str">
        <f t="shared" si="122"/>
        <v/>
      </c>
      <c r="N376" t="str">
        <f>IFERROR(VLOOKUP(I376,Товары_очищенные!$H$2:$J$502,3,0),"Нет в каталоге")</f>
        <v>Ноутбуки</v>
      </c>
      <c r="O376" s="4">
        <f>IFERROR(VLOOKUP(I376,Товары_очищенные!$H$2:$M$502,6,0),"")</f>
        <v>137500</v>
      </c>
      <c r="P376" t="str">
        <f t="shared" si="123"/>
        <v xml:space="preserve">Цена отличается от каталога</v>
      </c>
    </row>
    <row r="377">
      <c r="A377" s="3" t="s">
        <v>2782</v>
      </c>
      <c r="B377" s="3" t="s">
        <v>1173</v>
      </c>
      <c r="C377" s="3" t="s">
        <v>1915</v>
      </c>
      <c r="D377" s="3" t="s">
        <v>1916</v>
      </c>
      <c r="E377" s="3" t="s">
        <v>2785</v>
      </c>
      <c r="F377" s="3" t="s">
        <v>1784</v>
      </c>
      <c r="G377" s="3" t="s">
        <v>1908</v>
      </c>
      <c r="H377" s="5">
        <f t="shared" si="119"/>
        <v>45859</v>
      </c>
      <c r="I377" t="str">
        <f t="shared" si="120"/>
        <v>АРТ-328</v>
      </c>
      <c r="J377" s="6">
        <f t="shared" si="121"/>
        <v>-1</v>
      </c>
      <c r="K377" s="4">
        <f>VALUE(SUBSTITUTE(SUBSTITUTE(SUBSTITUTE(SUBSTITUTE(D377,"$",""),"€",""),"₽","")," ",""))*IF(ISNUMBER(FIND("$",D377)),Справочники!$H$3,IF(ISNUMBER(FIND("€",D377)),Справочники!$H$4,1))</f>
        <v>10450</v>
      </c>
      <c r="L377" t="str">
        <f>IFERROR(VLOOKUP(TRIM(G377),Справочники!$D$3:$E$13,2,0),"Нет в справочнике")</f>
        <v>Завершен</v>
      </c>
      <c r="M377" t="str">
        <f t="shared" si="122"/>
        <v/>
      </c>
      <c r="N377" t="str">
        <f>IFERROR(VLOOKUP(I377,Товары_очищенные!$H$2:$J$502,3,0),"Нет в каталоге")</f>
        <v>Аксессуары</v>
      </c>
      <c r="O377" s="4">
        <f>IFERROR(VLOOKUP(I377,Товары_очищенные!$H$2:$M$502,6,0),"")</f>
        <v>11990</v>
      </c>
      <c r="P377" t="str">
        <f t="shared" si="123"/>
        <v>ОК</v>
      </c>
    </row>
    <row r="378">
      <c r="A378" s="3" t="s">
        <v>2786</v>
      </c>
      <c r="B378" s="3" t="s">
        <v>2787</v>
      </c>
      <c r="C378" s="3" t="s">
        <v>1930</v>
      </c>
      <c r="D378" s="3" t="s">
        <v>1922</v>
      </c>
      <c r="E378" s="3" t="s">
        <v>2788</v>
      </c>
      <c r="F378" s="3" t="s">
        <v>1844</v>
      </c>
      <c r="G378" s="3" t="s">
        <v>1913</v>
      </c>
      <c r="H378" s="5">
        <f t="shared" si="119"/>
        <v>45860</v>
      </c>
      <c r="I378" t="str">
        <f t="shared" si="120"/>
        <v>АРТ-216</v>
      </c>
      <c r="J378" s="6">
        <f t="shared" si="121"/>
        <v>3</v>
      </c>
      <c r="K378" s="4">
        <f>VALUE(SUBSTITUTE(SUBSTITUTE(SUBSTITUTE(SUBSTITUTE(D378,"$",""),"€",""),"₽","")," ",""))*IF(ISNUMBER(FIND("$",D378)),Справочники!$H$3,IF(ISNUMBER(FIND("€",D378)),Справочники!$H$4,1))</f>
        <v>9000</v>
      </c>
      <c r="L378" t="str">
        <f>IFERROR(VLOOKUP(TRIM(G378),Справочники!$D$3:$E$13,2,0),"Нет в справочнике")</f>
        <v>Завершен</v>
      </c>
      <c r="M378" t="str">
        <f t="shared" si="122"/>
        <v/>
      </c>
      <c r="N378" t="str">
        <f>IFERROR(VLOOKUP(I378,Товары_очищенные!$H$2:$J$502,3,0),"Нет в каталоге")</f>
        <v>Планшеты</v>
      </c>
      <c r="O378" s="4">
        <f>IFERROR(VLOOKUP(I378,Товары_очищенные!$H$2:$M$502,6,0),"")</f>
        <v>28500</v>
      </c>
      <c r="P378" t="str">
        <f t="shared" si="123"/>
        <v xml:space="preserve">Цена отличается от каталога</v>
      </c>
    </row>
    <row r="379">
      <c r="A379" s="3" t="s">
        <v>2786</v>
      </c>
      <c r="B379" s="3" t="s">
        <v>2789</v>
      </c>
      <c r="C379" s="3" t="s">
        <v>1900</v>
      </c>
      <c r="D379" s="3" t="s">
        <v>1925</v>
      </c>
      <c r="E379" s="3" t="s">
        <v>2790</v>
      </c>
      <c r="F379" s="3" t="s">
        <v>1566</v>
      </c>
      <c r="G379" s="3" t="s">
        <v>1918</v>
      </c>
      <c r="H379" s="5">
        <f t="shared" si="119"/>
        <v>45860</v>
      </c>
      <c r="I379" t="str">
        <f t="shared" si="120"/>
        <v>АРТ-257</v>
      </c>
      <c r="J379" s="6">
        <f t="shared" si="121"/>
        <v>2</v>
      </c>
      <c r="K379" s="4">
        <f>VALUE(SUBSTITUTE(SUBSTITUTE(SUBSTITUTE(SUBSTITUTE(D379,"$",""),"€",""),"₽","")," ",""))*IF(ISNUMBER(FIND("$",D379)),Справочники!$H$3,IF(ISNUMBER(FIND("€",D379)),Справочники!$H$4,1))</f>
        <v>8000</v>
      </c>
      <c r="L379" t="str">
        <f>IFERROR(VLOOKUP(TRIM(G379),Справочники!$D$3:$E$13,2,0),"Нет в справочнике")</f>
        <v>Отменен</v>
      </c>
      <c r="M379" t="str">
        <f t="shared" si="122"/>
        <v/>
      </c>
      <c r="N379" t="str">
        <f>IFERROR(VLOOKUP(I379,Товары_очищенные!$H$2:$J$502,3,0),"Нет в каталоге")</f>
        <v>Смартфоны</v>
      </c>
      <c r="O379" s="4">
        <f>IFERROR(VLOOKUP(I379,Товары_очищенные!$H$2:$M$502,6,0),"")</f>
        <v>36500</v>
      </c>
      <c r="P379" t="str">
        <f t="shared" si="123"/>
        <v xml:space="preserve">Цена отличается от каталога</v>
      </c>
    </row>
    <row r="380">
      <c r="A380" s="3" t="s">
        <v>2791</v>
      </c>
      <c r="B380" s="3" t="s">
        <v>2792</v>
      </c>
      <c r="C380" s="3" t="s">
        <v>1905</v>
      </c>
      <c r="D380" s="3" t="s">
        <v>1964</v>
      </c>
      <c r="E380" s="3" t="s">
        <v>2793</v>
      </c>
      <c r="F380" s="3" t="s">
        <v>1701</v>
      </c>
      <c r="G380" s="3" t="s">
        <v>1924</v>
      </c>
      <c r="H380" s="5">
        <f t="shared" si="119"/>
        <v>45861</v>
      </c>
      <c r="I380" t="str">
        <f t="shared" si="120"/>
        <v>АРТ-080</v>
      </c>
      <c r="J380" s="6">
        <f t="shared" si="121"/>
        <v>1</v>
      </c>
      <c r="K380" s="4">
        <f>VALUE(SUBSTITUTE(SUBSTITUTE(SUBSTITUTE(SUBSTITUTE(D380,"$",""),"€",""),"₽","")," ",""))*IF(ISNUMBER(FIND("$",D380)),Справочники!$H$3,IF(ISNUMBER(FIND("€",D380)),Справочники!$H$4,1))</f>
        <v>9025</v>
      </c>
      <c r="L380" t="str">
        <f>IFERROR(VLOOKUP(TRIM(G380),Справочники!$D$3:$E$13,2,0),"Нет в справочнике")</f>
        <v>Отменен</v>
      </c>
      <c r="M380" t="str">
        <f t="shared" si="122"/>
        <v/>
      </c>
      <c r="N380" t="str">
        <f>IFERROR(VLOOKUP(I380,Товары_очищенные!$H$2:$J$502,3,0),"Нет в каталоге")</f>
        <v>Планшеты</v>
      </c>
      <c r="O380" s="4">
        <f>IFERROR(VLOOKUP(I380,Товары_очищенные!$H$2:$M$502,6,0),"")</f>
        <v>44500</v>
      </c>
      <c r="P380" t="str">
        <f t="shared" si="123"/>
        <v xml:space="preserve">Цена отличается от каталога</v>
      </c>
    </row>
    <row r="381">
      <c r="A381" s="3" t="s">
        <v>2791</v>
      </c>
      <c r="B381" s="3" t="s">
        <v>2716</v>
      </c>
      <c r="C381" s="3" t="s">
        <v>1900</v>
      </c>
      <c r="D381" s="3" t="s">
        <v>1968</v>
      </c>
      <c r="E381" s="3" t="s">
        <v>2794</v>
      </c>
      <c r="F381" s="3" t="s">
        <v>1814</v>
      </c>
      <c r="G381" s="3" t="s">
        <v>1903</v>
      </c>
      <c r="H381" s="5">
        <f t="shared" si="119"/>
        <v>45861</v>
      </c>
      <c r="I381" t="str">
        <f t="shared" si="120"/>
        <v>АРТ-493</v>
      </c>
      <c r="J381" s="6">
        <f t="shared" si="121"/>
        <v>2</v>
      </c>
      <c r="K381" s="4">
        <f>VALUE(SUBSTITUTE(SUBSTITUTE(SUBSTITUTE(SUBSTITUTE(D381,"$",""),"€",""),"₽","")," ",""))*IF(ISNUMBER(FIND("$",D381)),Справочники!$H$3,IF(ISNUMBER(FIND("€",D381)),Справочники!$H$4,1))</f>
        <v>7500</v>
      </c>
      <c r="L381" t="str">
        <f>IFERROR(VLOOKUP(TRIM(G381),Справочники!$D$3:$E$13,2,0),"Нет в справочнике")</f>
        <v>Завершен</v>
      </c>
      <c r="M381" t="str">
        <f t="shared" si="122"/>
        <v/>
      </c>
      <c r="N381" t="str">
        <f>IFERROR(VLOOKUP(I381,Товары_очищенные!$H$2:$J$502,3,0),"Нет в каталоге")</f>
        <v>Наушники</v>
      </c>
      <c r="O381" s="4">
        <f>IFERROR(VLOOKUP(I381,Товары_очищенные!$H$2:$M$502,6,0),"")</f>
        <v>14990</v>
      </c>
      <c r="P381" t="str">
        <f t="shared" si="123"/>
        <v xml:space="preserve">Цена отличается от каталога</v>
      </c>
    </row>
    <row r="382">
      <c r="A382" s="3" t="s">
        <v>2795</v>
      </c>
      <c r="B382" s="3" t="s">
        <v>2796</v>
      </c>
      <c r="C382" s="3" t="s">
        <v>1910</v>
      </c>
      <c r="D382" s="3" t="s">
        <v>1971</v>
      </c>
      <c r="E382" s="3" t="s">
        <v>2797</v>
      </c>
      <c r="F382" s="3" t="s">
        <v>1880</v>
      </c>
      <c r="G382" s="3" t="s">
        <v>1927</v>
      </c>
      <c r="H382" s="5">
        <f t="shared" si="119"/>
        <v>45862</v>
      </c>
      <c r="I382" t="str">
        <f t="shared" si="120"/>
        <v>АРТ-328</v>
      </c>
      <c r="J382" s="6">
        <f t="shared" si="121"/>
        <v>3</v>
      </c>
      <c r="K382" s="4">
        <f>VALUE(SUBSTITUTE(SUBSTITUTE(SUBSTITUTE(SUBSTITUTE(D382,"$",""),"€",""),"₽","")," ",""))*IF(ISNUMBER(FIND("$",D382)),Справочники!$H$3,IF(ISNUMBER(FIND("€",D382)),Справочники!$H$4,1))</f>
        <v>7000</v>
      </c>
      <c r="L382" t="str">
        <f>IFERROR(VLOOKUP(TRIM(G382),Справочники!$D$3:$E$13,2,0),"Нет в справочнике")</f>
        <v>Возврат</v>
      </c>
      <c r="M382" t="str">
        <f t="shared" si="122"/>
        <v/>
      </c>
      <c r="N382" t="str">
        <f>IFERROR(VLOOKUP(I382,Товары_очищенные!$H$2:$J$502,3,0),"Нет в каталоге")</f>
        <v>Аксессуары</v>
      </c>
      <c r="O382" s="4">
        <f>IFERROR(VLOOKUP(I382,Товары_очищенные!$H$2:$M$502,6,0),"")</f>
        <v>11990</v>
      </c>
      <c r="P382" t="str">
        <f t="shared" si="123"/>
        <v xml:space="preserve">Цена отличается от каталога</v>
      </c>
    </row>
    <row r="383">
      <c r="A383" s="3" t="s">
        <v>2795</v>
      </c>
      <c r="B383" s="3" t="s">
        <v>555</v>
      </c>
      <c r="C383" s="3" t="s">
        <v>1942</v>
      </c>
      <c r="D383" s="3" t="s">
        <v>1943</v>
      </c>
      <c r="E383" s="3" t="s">
        <v>2798</v>
      </c>
      <c r="F383" s="3" t="s">
        <v>1636</v>
      </c>
      <c r="G383" s="3" t="s">
        <v>1908</v>
      </c>
      <c r="H383" s="5">
        <f t="shared" si="119"/>
        <v>45862</v>
      </c>
      <c r="I383" t="str">
        <f t="shared" si="120"/>
        <v>АРТ-127</v>
      </c>
      <c r="J383" s="6">
        <f t="shared" si="121"/>
        <v>-2</v>
      </c>
      <c r="K383" s="4">
        <f>VALUE(SUBSTITUTE(SUBSTITUTE(SUBSTITUTE(SUBSTITUTE(D383,"$",""),"€",""),"₽","")," ",""))*IF(ISNUMBER(FIND("$",D383)),Справочники!$H$3,IF(ISNUMBER(FIND("€",D383)),Справочники!$H$4,1))</f>
        <v>10925</v>
      </c>
      <c r="L383" t="str">
        <f>IFERROR(VLOOKUP(TRIM(G383),Справочники!$D$3:$E$13,2,0),"Нет в справочнике")</f>
        <v>Завершен</v>
      </c>
      <c r="M383" t="str">
        <f t="shared" si="122"/>
        <v/>
      </c>
      <c r="N383" t="str">
        <f>IFERROR(VLOOKUP(I383,Товары_очищенные!$H$2:$J$502,3,0),"Нет в каталоге")</f>
        <v>Смартфоны</v>
      </c>
      <c r="O383" s="4">
        <f>IFERROR(VLOOKUP(I383,Товары_очищенные!$H$2:$M$502,6,0),"")</f>
        <v>51990</v>
      </c>
      <c r="P383" t="str">
        <f t="shared" si="123"/>
        <v xml:space="preserve">Цена отличается от каталога</v>
      </c>
    </row>
    <row r="384">
      <c r="A384" s="3" t="s">
        <v>2799</v>
      </c>
      <c r="B384" s="3" t="s">
        <v>2800</v>
      </c>
      <c r="C384" s="3" t="s">
        <v>1905</v>
      </c>
      <c r="D384" s="3" t="s">
        <v>1934</v>
      </c>
      <c r="E384" s="3" t="s">
        <v>2801</v>
      </c>
      <c r="F384" s="3" t="s">
        <v>1740</v>
      </c>
      <c r="G384" s="3" t="s">
        <v>1913</v>
      </c>
      <c r="H384" s="5">
        <f t="shared" si="119"/>
        <v>45863</v>
      </c>
      <c r="I384" t="str">
        <f t="shared" si="120"/>
        <v>АРТ-342</v>
      </c>
      <c r="J384" s="6">
        <f t="shared" si="121"/>
        <v>1</v>
      </c>
      <c r="K384" s="4">
        <f>VALUE(SUBSTITUTE(SUBSTITUTE(SUBSTITUTE(SUBSTITUTE(D384,"$",""),"€",""),"₽","")," ",""))*IF(ISNUMBER(FIND("$",D384)),Справочники!$H$3,IF(ISNUMBER(FIND("€",D384)),Справочники!$H$4,1))</f>
        <v>9500</v>
      </c>
      <c r="L384" t="str">
        <f>IFERROR(VLOOKUP(TRIM(G384),Справочники!$D$3:$E$13,2,0),"Нет в справочнике")</f>
        <v>Завершен</v>
      </c>
      <c r="M384" t="str">
        <f t="shared" si="122"/>
        <v/>
      </c>
      <c r="N384" t="str">
        <f>IFERROR(VLOOKUP(I384,Товары_очищенные!$H$2:$J$502,3,0),"Нет в каталоге")</f>
        <v>Ноутбуки</v>
      </c>
      <c r="O384" s="4">
        <f>IFERROR(VLOOKUP(I384,Товары_очищенные!$H$2:$M$502,6,0),"")</f>
        <v>137500</v>
      </c>
      <c r="P384" t="str">
        <f t="shared" si="123"/>
        <v xml:space="preserve">Цена отличается от каталога</v>
      </c>
    </row>
    <row r="385">
      <c r="A385" s="3" t="s">
        <v>2799</v>
      </c>
      <c r="B385" s="3" t="s">
        <v>2802</v>
      </c>
      <c r="C385" s="3" t="s">
        <v>1900</v>
      </c>
      <c r="D385" s="3" t="s">
        <v>1951</v>
      </c>
      <c r="E385" s="3" t="s">
        <v>2803</v>
      </c>
      <c r="F385" s="3" t="s">
        <v>1682</v>
      </c>
      <c r="G385" s="3" t="s">
        <v>1903</v>
      </c>
      <c r="H385" s="5">
        <f t="shared" si="119"/>
        <v>45863</v>
      </c>
      <c r="I385" t="str">
        <f t="shared" si="120"/>
        <v>АРТ-181</v>
      </c>
      <c r="J385" s="6">
        <f t="shared" si="121"/>
        <v>2</v>
      </c>
      <c r="K385" s="4">
        <f>VALUE(SUBSTITUTE(SUBSTITUTE(SUBSTITUTE(SUBSTITUTE(D385,"$",""),"€",""),"₽","")," ",""))*IF(ISNUMBER(FIND("$",D385)),Справочники!$H$3,IF(ISNUMBER(FIND("€",D385)),Справочники!$H$4,1))</f>
        <v>8500</v>
      </c>
      <c r="L385" t="str">
        <f>IFERROR(VLOOKUP(TRIM(G385),Справочники!$D$3:$E$13,2,0),"Нет в справочнике")</f>
        <v>Завершен</v>
      </c>
      <c r="M385" t="str">
        <f t="shared" si="122"/>
        <v/>
      </c>
      <c r="N385" t="str">
        <f>IFERROR(VLOOKUP(I385,Товары_очищенные!$H$2:$J$502,3,0),"Нет в каталоге")</f>
        <v>Мониторы</v>
      </c>
      <c r="O385" s="4">
        <f>IFERROR(VLOOKUP(I385,Товары_очищенные!$H$2:$M$502,6,0),"")</f>
        <v>169990</v>
      </c>
      <c r="P385" t="str">
        <f t="shared" si="123"/>
        <v xml:space="preserve">Цена отличается от каталога</v>
      </c>
    </row>
    <row r="386">
      <c r="A386" s="3" t="s">
        <v>2804</v>
      </c>
      <c r="B386" s="3" t="s">
        <v>2133</v>
      </c>
      <c r="C386" s="3" t="s">
        <v>1930</v>
      </c>
      <c r="D386" s="3" t="s">
        <v>1931</v>
      </c>
      <c r="E386" s="3" t="s">
        <v>2805</v>
      </c>
      <c r="F386" s="3" t="s">
        <v>1820</v>
      </c>
      <c r="G386" s="3" t="s">
        <v>1924</v>
      </c>
      <c r="H386" s="5">
        <f t="shared" si="119"/>
        <v>45864</v>
      </c>
      <c r="I386" t="str">
        <f t="shared" si="120"/>
        <v>АРТ-266</v>
      </c>
      <c r="J386" s="6">
        <f t="shared" si="121"/>
        <v>3</v>
      </c>
      <c r="K386" s="4">
        <f>VALUE(SUBSTITUTE(SUBSTITUTE(SUBSTITUTE(SUBSTITUTE(D386,"$",""),"€",""),"₽","")," ",""))*IF(ISNUMBER(FIND("$",D386)),Справочники!$H$3,IF(ISNUMBER(FIND("€",D386)),Справочники!$H$4,1))</f>
        <v>9975</v>
      </c>
      <c r="L386" t="str">
        <f>IFERROR(VLOOKUP(TRIM(G386),Справочники!$D$3:$E$13,2,0),"Нет в справочнике")</f>
        <v>Отменен</v>
      </c>
      <c r="M386" t="str">
        <f t="shared" si="122"/>
        <v/>
      </c>
      <c r="N386" t="str">
        <f>IFERROR(VLOOKUP(I386,Товары_очищенные!$H$2:$J$502,3,0),"Нет в каталоге")</f>
        <v>Мониторы</v>
      </c>
      <c r="O386" s="4">
        <f>IFERROR(VLOOKUP(I386,Товары_очищенные!$H$2:$M$502,6,0),"")</f>
        <v>65500</v>
      </c>
      <c r="P386" t="str">
        <f t="shared" si="123"/>
        <v xml:space="preserve">Цена отличается от каталога</v>
      </c>
    </row>
    <row r="387">
      <c r="A387" s="3" t="s">
        <v>2804</v>
      </c>
      <c r="B387" s="3" t="s">
        <v>2806</v>
      </c>
      <c r="C387" s="3" t="s">
        <v>1900</v>
      </c>
      <c r="D387" s="3" t="s">
        <v>1906</v>
      </c>
      <c r="E387" s="3" t="s">
        <v>2807</v>
      </c>
      <c r="F387" s="3" t="s">
        <v>1580</v>
      </c>
      <c r="G387" s="3" t="s">
        <v>1918</v>
      </c>
      <c r="H387" s="5">
        <f t="shared" si="119"/>
        <v>45864</v>
      </c>
      <c r="I387" t="str">
        <f t="shared" si="120"/>
        <v>АРТ-489</v>
      </c>
      <c r="J387" s="6">
        <f t="shared" si="121"/>
        <v>2</v>
      </c>
      <c r="K387" s="4">
        <f>VALUE(SUBSTITUTE(SUBSTITUTE(SUBSTITUTE(SUBSTITUTE(D387,"$",""),"€",""),"₽","")," ",""))*IF(ISNUMBER(FIND("$",D387)),Справочники!$H$3,IF(ISNUMBER(FIND("€",D387)),Справочники!$H$4,1))</f>
        <v>8500</v>
      </c>
      <c r="L387" t="str">
        <f>IFERROR(VLOOKUP(TRIM(G387),Справочники!$D$3:$E$13,2,0),"Нет в справочнике")</f>
        <v>Отменен</v>
      </c>
      <c r="M387" t="str">
        <f t="shared" si="122"/>
        <v/>
      </c>
      <c r="N387" t="str">
        <f>IFERROR(VLOOKUP(I387,Товары_очищенные!$H$2:$J$502,3,0),"Нет в каталоге")</f>
        <v>Ноутбуки</v>
      </c>
      <c r="O387" s="4">
        <f>IFERROR(VLOOKUP(I387,Товары_очищенные!$H$2:$M$502,6,0),"")</f>
        <v>113500</v>
      </c>
      <c r="P387" t="str">
        <f t="shared" si="123"/>
        <v xml:space="preserve">Цена отличается от каталога</v>
      </c>
    </row>
    <row r="388">
      <c r="A388" s="3" t="s">
        <v>2808</v>
      </c>
      <c r="B388" s="3" t="s">
        <v>1089</v>
      </c>
      <c r="C388" s="3" t="s">
        <v>1938</v>
      </c>
      <c r="D388" s="3" t="s">
        <v>2166</v>
      </c>
      <c r="E388" s="3" t="s">
        <v>2809</v>
      </c>
      <c r="F388" s="3" t="s">
        <v>1727</v>
      </c>
      <c r="G388" s="3" t="s">
        <v>1927</v>
      </c>
      <c r="H388" s="5">
        <f t="shared" si="119"/>
        <v>45865</v>
      </c>
      <c r="I388" t="str">
        <f t="shared" si="120"/>
        <v>АРТ-297</v>
      </c>
      <c r="J388" s="6">
        <f t="shared" si="121"/>
        <v>1</v>
      </c>
      <c r="K388" s="4">
        <f>VALUE(SUBSTITUTE(SUBSTITUTE(SUBSTITUTE(SUBSTITUTE(D388,"$",""),"€",""),"₽","")," ",""))*IF(ISNUMBER(FIND("$",D388)),Справочники!$H$3,IF(ISNUMBER(FIND("€",D388)),Справочники!$H$4,1))</f>
        <v>7800</v>
      </c>
      <c r="L388" t="str">
        <f>IFERROR(VLOOKUP(TRIM(G388),Справочники!$D$3:$E$13,2,0),"Нет в справочнике")</f>
        <v>Возврат</v>
      </c>
      <c r="M388" t="str">
        <f t="shared" si="122"/>
        <v/>
      </c>
      <c r="N388" t="str">
        <f>IFERROR(VLOOKUP(I388,Товары_очищенные!$H$2:$J$502,3,0),"Нет в каталоге")</f>
        <v>Смартфоны</v>
      </c>
      <c r="O388" s="4">
        <f>IFERROR(VLOOKUP(I388,Товары_очищенные!$H$2:$M$502,6,0),"")</f>
        <v>36500</v>
      </c>
      <c r="P388" t="str">
        <f t="shared" si="123"/>
        <v xml:space="preserve">Цена отличается от каталога</v>
      </c>
    </row>
    <row r="389">
      <c r="A389" s="3" t="s">
        <v>2808</v>
      </c>
      <c r="B389" s="3" t="s">
        <v>2810</v>
      </c>
      <c r="C389" s="3" t="s">
        <v>1985</v>
      </c>
      <c r="D389" s="3" t="s">
        <v>2044</v>
      </c>
      <c r="E389" s="3" t="s">
        <v>2811</v>
      </c>
      <c r="F389" s="3" t="s">
        <v>1629</v>
      </c>
      <c r="G389" s="3" t="s">
        <v>1903</v>
      </c>
      <c r="H389" s="5">
        <f t="shared" si="119"/>
        <v>45865</v>
      </c>
      <c r="I389" t="str">
        <f t="shared" si="120"/>
        <v>АРТ-413</v>
      </c>
      <c r="J389" s="6">
        <f t="shared" si="121"/>
        <v>-3</v>
      </c>
      <c r="K389" s="4">
        <f>VALUE(SUBSTITUTE(SUBSTITUTE(SUBSTITUTE(SUBSTITUTE(D389,"$",""),"€",""),"₽","")," ",""))*IF(ISNUMBER(FIND("$",D389)),Справочники!$H$3,IF(ISNUMBER(FIND("€",D389)),Справочники!$H$4,1))</f>
        <v>11400</v>
      </c>
      <c r="L389" t="str">
        <f>IFERROR(VLOOKUP(TRIM(G389),Справочники!$D$3:$E$13,2,0),"Нет в справочнике")</f>
        <v>Завершен</v>
      </c>
      <c r="M389" t="str">
        <f t="shared" si="122"/>
        <v/>
      </c>
      <c r="N389" t="str">
        <f>IFERROR(VLOOKUP(I389,Товары_очищенные!$H$2:$J$502,3,0),"Нет в каталоге")</f>
        <v>Мониторы</v>
      </c>
      <c r="O389" s="4">
        <f>IFERROR(VLOOKUP(I389,Товары_очищенные!$H$2:$M$502,6,0),"")</f>
        <v>52500</v>
      </c>
      <c r="P389" t="str">
        <f t="shared" si="123"/>
        <v xml:space="preserve">Цена отличается от каталога</v>
      </c>
    </row>
    <row r="390">
      <c r="A390" s="3" t="s">
        <v>2812</v>
      </c>
      <c r="B390" s="3" t="s">
        <v>2813</v>
      </c>
      <c r="C390" s="3" t="s">
        <v>1900</v>
      </c>
      <c r="D390" s="3" t="s">
        <v>2046</v>
      </c>
      <c r="E390" s="3" t="s">
        <v>2814</v>
      </c>
      <c r="F390" s="3" t="s">
        <v>1778</v>
      </c>
      <c r="G390" s="3" t="s">
        <v>1908</v>
      </c>
      <c r="H390" s="5">
        <f t="shared" si="119"/>
        <v>45866</v>
      </c>
      <c r="I390" t="str">
        <f t="shared" si="120"/>
        <v>АРТ-357</v>
      </c>
      <c r="J390" s="6">
        <f t="shared" si="121"/>
        <v>2</v>
      </c>
      <c r="K390" s="4">
        <f>VALUE(SUBSTITUTE(SUBSTITUTE(SUBSTITUTE(SUBSTITUTE(D390,"$",""),"€",""),"₽","")," ",""))*IF(ISNUMBER(FIND("$",D390)),Справочники!$H$3,IF(ISNUMBER(FIND("€",D390)),Справочники!$H$4,1))</f>
        <v>10000</v>
      </c>
      <c r="L390" t="str">
        <f>IFERROR(VLOOKUP(TRIM(G390),Справочники!$D$3:$E$13,2,0),"Нет в справочнике")</f>
        <v>Завершен</v>
      </c>
      <c r="M390" t="str">
        <f t="shared" si="122"/>
        <v/>
      </c>
      <c r="N390" t="str">
        <f>IFERROR(VLOOKUP(I390,Товары_очищенные!$H$2:$J$502,3,0),"Нет в каталоге")</f>
        <v>Смартфоны</v>
      </c>
      <c r="O390" s="4">
        <f>IFERROR(VLOOKUP(I390,Товары_очищенные!$H$2:$M$502,6,0),"")</f>
        <v>88000</v>
      </c>
      <c r="P390" t="str">
        <f t="shared" si="123"/>
        <v xml:space="preserve">Цена отличается от каталога</v>
      </c>
    </row>
    <row r="391">
      <c r="A391" s="3" t="s">
        <v>2812</v>
      </c>
      <c r="B391" s="3" t="s">
        <v>2815</v>
      </c>
      <c r="C391" s="3" t="s">
        <v>1905</v>
      </c>
      <c r="D391" s="3" t="s">
        <v>2087</v>
      </c>
      <c r="E391" s="3" t="s">
        <v>2816</v>
      </c>
      <c r="F391" s="3" t="s">
        <v>1862</v>
      </c>
      <c r="G391" s="3" t="s">
        <v>1913</v>
      </c>
      <c r="H391" s="5">
        <f t="shared" si="119"/>
        <v>45866</v>
      </c>
      <c r="I391" t="str">
        <f t="shared" si="120"/>
        <v>АРТ-238</v>
      </c>
      <c r="J391" s="6">
        <f t="shared" si="121"/>
        <v>1</v>
      </c>
      <c r="K391" s="4">
        <f>VALUE(SUBSTITUTE(SUBSTITUTE(SUBSTITUTE(SUBSTITUTE(D391,"$",""),"€",""),"₽","")," ",""))*IF(ISNUMBER(FIND("$",D391)),Справочники!$H$3,IF(ISNUMBER(FIND("€",D391)),Справочники!$H$4,1))</f>
        <v>9200</v>
      </c>
      <c r="L391" t="str">
        <f>IFERROR(VLOOKUP(TRIM(G391),Справочники!$D$3:$E$13,2,0),"Нет в справочнике")</f>
        <v>Завершен</v>
      </c>
      <c r="M391" t="str">
        <f t="shared" si="122"/>
        <v/>
      </c>
      <c r="N391" t="str">
        <f>IFERROR(VLOOKUP(I391,Товары_очищенные!$H$2:$J$502,3,0),"Нет в каталоге")</f>
        <v>Телевизоры</v>
      </c>
      <c r="O391" s="4">
        <f>IFERROR(VLOOKUP(I391,Товары_очищенные!$H$2:$M$502,6,0),"")</f>
        <v>110990</v>
      </c>
      <c r="P391" t="str">
        <f t="shared" si="123"/>
        <v xml:space="preserve">Цена отличается от каталога</v>
      </c>
    </row>
    <row r="392">
      <c r="A392" s="3" t="s">
        <v>2817</v>
      </c>
      <c r="B392" s="3" t="s">
        <v>2818</v>
      </c>
      <c r="C392" s="3" t="s">
        <v>1930</v>
      </c>
      <c r="D392" s="3" t="s">
        <v>1986</v>
      </c>
      <c r="E392" s="3" t="s">
        <v>2819</v>
      </c>
      <c r="F392" s="3" t="s">
        <v>1695</v>
      </c>
      <c r="G392" s="3" t="s">
        <v>1918</v>
      </c>
      <c r="H392" s="5">
        <f t="shared" si="119"/>
        <v>45867</v>
      </c>
      <c r="I392" t="str">
        <f t="shared" si="120"/>
        <v>АРТ-168</v>
      </c>
      <c r="J392" s="6">
        <f t="shared" si="121"/>
        <v>3</v>
      </c>
      <c r="K392" s="4">
        <f>VALUE(SUBSTITUTE(SUBSTITUTE(SUBSTITUTE(SUBSTITUTE(D392,"$",""),"€",""),"₽","")," ",""))*IF(ISNUMBER(FIND("$",D392)),Справочники!$H$3,IF(ISNUMBER(FIND("€",D392)),Справочники!$H$4,1))</f>
        <v>8550</v>
      </c>
      <c r="L392" t="str">
        <f>IFERROR(VLOOKUP(TRIM(G392),Справочники!$D$3:$E$13,2,0),"Нет в справочнике")</f>
        <v>Отменен</v>
      </c>
      <c r="M392" t="str">
        <f t="shared" si="122"/>
        <v/>
      </c>
      <c r="N392" t="str">
        <f>IFERROR(VLOOKUP(I392,Товары_очищенные!$H$2:$J$502,3,0),"Нет в каталоге")</f>
        <v>Планшеты</v>
      </c>
      <c r="O392" s="4">
        <f>IFERROR(VLOOKUP(I392,Товары_очищенные!$H$2:$M$502,6,0),"")</f>
        <v>85000</v>
      </c>
      <c r="P392" t="str">
        <f t="shared" si="123"/>
        <v xml:space="preserve">Цена отличается от каталога</v>
      </c>
    </row>
    <row r="393">
      <c r="A393" s="3" t="s">
        <v>2817</v>
      </c>
      <c r="B393" s="3" t="s">
        <v>2820</v>
      </c>
      <c r="C393" s="3" t="s">
        <v>1900</v>
      </c>
      <c r="D393" s="3" t="s">
        <v>1989</v>
      </c>
      <c r="E393" s="3" t="s">
        <v>2821</v>
      </c>
      <c r="F393" s="3" t="s">
        <v>1573</v>
      </c>
      <c r="G393" s="3" t="s">
        <v>1924</v>
      </c>
      <c r="H393" s="5">
        <f t="shared" si="119"/>
        <v>45867</v>
      </c>
      <c r="I393" t="str">
        <f t="shared" si="120"/>
        <v>АРТ-426</v>
      </c>
      <c r="J393" s="6">
        <f t="shared" si="121"/>
        <v>2</v>
      </c>
      <c r="K393" s="4">
        <f>VALUE(SUBSTITUTE(SUBSTITUTE(SUBSTITUTE(SUBSTITUTE(D393,"$",""),"€",""),"₽","")," ",""))*IF(ISNUMBER(FIND("$",D393)),Справочники!$H$3,IF(ISNUMBER(FIND("€",D393)),Справочники!$H$4,1))</f>
        <v>7000</v>
      </c>
      <c r="L393" t="str">
        <f>IFERROR(VLOOKUP(TRIM(G393),Справочники!$D$3:$E$13,2,0),"Нет в справочнике")</f>
        <v>Отменен</v>
      </c>
      <c r="M393" t="str">
        <f t="shared" si="122"/>
        <v/>
      </c>
      <c r="N393" t="str">
        <f>IFERROR(VLOOKUP(I393,Товары_очищенные!$H$2:$J$502,3,0),"Нет в каталоге")</f>
        <v>Смартфоны</v>
      </c>
      <c r="O393" s="4">
        <f>IFERROR(VLOOKUP(I393,Товары_очищенные!$H$2:$M$502,6,0),"")</f>
        <v>50500</v>
      </c>
      <c r="P393" t="str">
        <f t="shared" si="123"/>
        <v xml:space="preserve">Цена отличается от каталога</v>
      </c>
    </row>
    <row r="394">
      <c r="A394" s="3" t="s">
        <v>2822</v>
      </c>
      <c r="B394" s="3" t="s">
        <v>1222</v>
      </c>
      <c r="C394" s="3" t="s">
        <v>1938</v>
      </c>
      <c r="D394" s="3" t="s">
        <v>1939</v>
      </c>
      <c r="E394" s="3" t="s">
        <v>2823</v>
      </c>
      <c r="F394" s="3" t="s">
        <v>1808</v>
      </c>
      <c r="G394" s="3" t="s">
        <v>1903</v>
      </c>
      <c r="H394" s="5">
        <f t="shared" si="119"/>
        <v>45868</v>
      </c>
      <c r="I394" t="str">
        <f t="shared" si="120"/>
        <v>АРТ-351</v>
      </c>
      <c r="J394" s="6">
        <f t="shared" si="121"/>
        <v>1</v>
      </c>
      <c r="K394" s="4">
        <f>VALUE(SUBSTITUTE(SUBSTITUTE(SUBSTITUTE(SUBSTITUTE(D394,"$",""),"€",""),"₽","")," ",""))*IF(ISNUMBER(FIND("$",D394)),Справочники!$H$3,IF(ISNUMBER(FIND("€",D394)),Справочники!$H$4,1))</f>
        <v>6500</v>
      </c>
      <c r="L394" t="str">
        <f>IFERROR(VLOOKUP(TRIM(G394),Справочники!$D$3:$E$13,2,0),"Нет в справочнике")</f>
        <v>Завершен</v>
      </c>
      <c r="M394" t="str">
        <f t="shared" si="122"/>
        <v/>
      </c>
      <c r="N394" t="str">
        <f>IFERROR(VLOOKUP(I394,Товары_очищенные!$H$2:$J$502,3,0),"Нет в каталоге")</f>
        <v>Мониторы</v>
      </c>
      <c r="O394" s="4">
        <f>IFERROR(VLOOKUP(I394,Товары_очищенные!$H$2:$M$502,6,0),"")</f>
        <v>57000</v>
      </c>
      <c r="P394" t="str">
        <f t="shared" si="123"/>
        <v xml:space="preserve">Цена отличается от каталога</v>
      </c>
    </row>
    <row r="395">
      <c r="A395" s="3" t="s">
        <v>2822</v>
      </c>
      <c r="B395" s="3" t="s">
        <v>2824</v>
      </c>
      <c r="C395" s="3" t="s">
        <v>1915</v>
      </c>
      <c r="D395" s="3" t="s">
        <v>1916</v>
      </c>
      <c r="E395" s="3" t="s">
        <v>2825</v>
      </c>
      <c r="F395" s="3" t="s">
        <v>1670</v>
      </c>
      <c r="G395" s="3" t="s">
        <v>1927</v>
      </c>
      <c r="H395" s="5">
        <f t="shared" si="119"/>
        <v>45868</v>
      </c>
      <c r="I395" t="str">
        <f t="shared" si="120"/>
        <v>АРТ-360</v>
      </c>
      <c r="J395" s="6">
        <f t="shared" si="121"/>
        <v>-1</v>
      </c>
      <c r="K395" s="4">
        <f>VALUE(SUBSTITUTE(SUBSTITUTE(SUBSTITUTE(SUBSTITUTE(D395,"$",""),"€",""),"₽","")," ",""))*IF(ISNUMBER(FIND("$",D395)),Справочники!$H$3,IF(ISNUMBER(FIND("€",D395)),Справочники!$H$4,1))</f>
        <v>10450</v>
      </c>
      <c r="L395" t="str">
        <f>IFERROR(VLOOKUP(TRIM(G395),Справочники!$D$3:$E$13,2,0),"Нет в справочнике")</f>
        <v>Возврат</v>
      </c>
      <c r="M395" t="str">
        <f t="shared" si="122"/>
        <v/>
      </c>
      <c r="N395" t="str">
        <f>IFERROR(VLOOKUP(I395,Товары_очищенные!$H$2:$J$502,3,0),"Нет в каталоге")</f>
        <v>Планшеты</v>
      </c>
      <c r="O395" s="4">
        <f>IFERROR(VLOOKUP(I395,Товары_очищенные!$H$2:$M$502,6,0),"")</f>
        <v>62000</v>
      </c>
      <c r="P395" t="str">
        <f t="shared" si="123"/>
        <v xml:space="preserve">Цена отличается от каталога</v>
      </c>
    </row>
    <row r="396">
      <c r="A396" s="3" t="s">
        <v>2826</v>
      </c>
      <c r="B396" s="3" t="s">
        <v>1025</v>
      </c>
      <c r="C396" s="3" t="s">
        <v>1930</v>
      </c>
      <c r="D396" s="3" t="s">
        <v>1922</v>
      </c>
      <c r="E396" s="3" t="s">
        <v>2827</v>
      </c>
      <c r="F396" s="3" t="s">
        <v>1752</v>
      </c>
      <c r="G396" s="3" t="s">
        <v>1908</v>
      </c>
      <c r="H396" s="5">
        <f t="shared" si="119"/>
        <v>45869</v>
      </c>
      <c r="I396" t="str">
        <f t="shared" si="120"/>
        <v>АРТ-275</v>
      </c>
      <c r="J396" s="6">
        <f t="shared" si="121"/>
        <v>3</v>
      </c>
      <c r="K396" s="4">
        <f>VALUE(SUBSTITUTE(SUBSTITUTE(SUBSTITUTE(SUBSTITUTE(D396,"$",""),"€",""),"₽","")," ",""))*IF(ISNUMBER(FIND("$",D396)),Справочники!$H$3,IF(ISNUMBER(FIND("€",D396)),Справочники!$H$4,1))</f>
        <v>9000</v>
      </c>
      <c r="L396" t="str">
        <f>IFERROR(VLOOKUP(TRIM(G396),Справочники!$D$3:$E$13,2,0),"Нет в справочнике")</f>
        <v>Завершен</v>
      </c>
      <c r="M396" t="str">
        <f t="shared" si="122"/>
        <v/>
      </c>
      <c r="N396" t="str">
        <f>IFERROR(VLOOKUP(I396,Товары_очищенные!$H$2:$J$502,3,0),"Нет в каталоге")</f>
        <v>Планшеты</v>
      </c>
      <c r="O396" s="4">
        <f>IFERROR(VLOOKUP(I396,Товары_очищенные!$H$2:$M$502,6,0),"")</f>
        <v>47000</v>
      </c>
      <c r="P396" t="str">
        <f t="shared" si="123"/>
        <v xml:space="preserve">Цена отличается от каталога</v>
      </c>
    </row>
    <row r="397">
      <c r="A397" s="3" t="s">
        <v>2826</v>
      </c>
      <c r="B397" s="3" t="s">
        <v>2480</v>
      </c>
      <c r="C397" s="3" t="s">
        <v>1900</v>
      </c>
      <c r="D397" s="3" t="s">
        <v>1925</v>
      </c>
      <c r="E397" s="3" t="s">
        <v>2828</v>
      </c>
      <c r="F397" s="3" t="s">
        <v>1790</v>
      </c>
      <c r="G397" s="3" t="s">
        <v>1913</v>
      </c>
      <c r="H397" s="5">
        <f t="shared" si="119"/>
        <v>45869</v>
      </c>
      <c r="I397" t="str">
        <f t="shared" si="120"/>
        <v>АРТ-098</v>
      </c>
      <c r="J397" s="6">
        <f t="shared" si="121"/>
        <v>2</v>
      </c>
      <c r="K397" s="4">
        <f>VALUE(SUBSTITUTE(SUBSTITUTE(SUBSTITUTE(SUBSTITUTE(D397,"$",""),"€",""),"₽","")," ",""))*IF(ISNUMBER(FIND("$",D397)),Справочники!$H$3,IF(ISNUMBER(FIND("€",D397)),Справочники!$H$4,1))</f>
        <v>8000</v>
      </c>
      <c r="L397" t="str">
        <f>IFERROR(VLOOKUP(TRIM(G397),Справочники!$D$3:$E$13,2,0),"Нет в справочнике")</f>
        <v>Завершен</v>
      </c>
      <c r="M397" t="str">
        <f t="shared" si="122"/>
        <v/>
      </c>
      <c r="N397" t="str">
        <f>IFERROR(VLOOKUP(I397,Товары_очищенные!$H$2:$J$502,3,0),"Нет в каталоге")</f>
        <v>Аксессуары</v>
      </c>
      <c r="O397" s="4">
        <f>IFERROR(VLOOKUP(I397,Товары_очищенные!$H$2:$M$502,6,0),"")</f>
        <v>6500</v>
      </c>
      <c r="P397" t="str">
        <f t="shared" si="123"/>
        <v xml:space="preserve">Цена отличается от каталога</v>
      </c>
    </row>
    <row r="398">
      <c r="A398" s="3" t="s">
        <v>2829</v>
      </c>
      <c r="B398" s="3" t="s">
        <v>2830</v>
      </c>
      <c r="C398" s="3" t="s">
        <v>1905</v>
      </c>
      <c r="D398" s="3" t="s">
        <v>1964</v>
      </c>
      <c r="E398" s="3" t="s">
        <v>2831</v>
      </c>
      <c r="F398" s="3" t="s">
        <v>1856</v>
      </c>
      <c r="G398" s="3" t="s">
        <v>1903</v>
      </c>
      <c r="H398" s="5">
        <f t="shared" si="119"/>
        <v>45870</v>
      </c>
      <c r="I398" t="str">
        <f t="shared" si="120"/>
        <v>АРТ-141</v>
      </c>
      <c r="J398" s="6">
        <f t="shared" si="121"/>
        <v>1</v>
      </c>
      <c r="K398" s="4">
        <f>VALUE(SUBSTITUTE(SUBSTITUTE(SUBSTITUTE(SUBSTITUTE(D398,"$",""),"€",""),"₽","")," ",""))*IF(ISNUMBER(FIND("$",D398)),Справочники!$H$3,IF(ISNUMBER(FIND("€",D398)),Справочники!$H$4,1))</f>
        <v>9025</v>
      </c>
      <c r="L398" t="str">
        <f>IFERROR(VLOOKUP(TRIM(G398),Справочники!$D$3:$E$13,2,0),"Нет в справочнике")</f>
        <v>Завершен</v>
      </c>
      <c r="M398" t="str">
        <f t="shared" si="122"/>
        <v/>
      </c>
      <c r="N398" t="str">
        <f>IFERROR(VLOOKUP(I398,Товары_очищенные!$H$2:$J$502,3,0),"Нет в каталоге")</f>
        <v>Мониторы</v>
      </c>
      <c r="O398" s="4">
        <f>IFERROR(VLOOKUP(I398,Товары_очищенные!$H$2:$M$502,6,0),"")</f>
        <v>92500</v>
      </c>
      <c r="P398" t="str">
        <f t="shared" si="123"/>
        <v xml:space="preserve">Цена отличается от каталога</v>
      </c>
    </row>
    <row r="399">
      <c r="A399" s="3" t="s">
        <v>2829</v>
      </c>
      <c r="B399" s="3" t="s">
        <v>2832</v>
      </c>
      <c r="C399" s="3" t="s">
        <v>1900</v>
      </c>
      <c r="D399" s="3" t="s">
        <v>1968</v>
      </c>
      <c r="E399" s="3" t="s">
        <v>2833</v>
      </c>
      <c r="F399" s="3" t="s">
        <v>1708</v>
      </c>
      <c r="G399" s="3" t="s">
        <v>1924</v>
      </c>
      <c r="H399" s="5">
        <f t="shared" si="119"/>
        <v>45870</v>
      </c>
      <c r="I399" t="str">
        <f t="shared" si="120"/>
        <v>АРТ-495</v>
      </c>
      <c r="J399" s="6">
        <f t="shared" si="121"/>
        <v>2</v>
      </c>
      <c r="K399" s="4">
        <f>VALUE(SUBSTITUTE(SUBSTITUTE(SUBSTITUTE(SUBSTITUTE(D399,"$",""),"€",""),"₽","")," ",""))*IF(ISNUMBER(FIND("$",D399)),Справочники!$H$3,IF(ISNUMBER(FIND("€",D399)),Справочники!$H$4,1))</f>
        <v>7500</v>
      </c>
      <c r="L399" t="str">
        <f>IFERROR(VLOOKUP(TRIM(G399),Справочники!$D$3:$E$13,2,0),"Нет в справочнике")</f>
        <v>Отменен</v>
      </c>
      <c r="M399" t="str">
        <f t="shared" si="122"/>
        <v/>
      </c>
      <c r="N399" t="str">
        <f>IFERROR(VLOOKUP(I399,Товары_очищенные!$H$2:$J$502,3,0),"Нет в каталоге")</f>
        <v>Наушники</v>
      </c>
      <c r="O399" s="4">
        <f>IFERROR(VLOOKUP(I399,Товары_очищенные!$H$2:$M$502,6,0),"")</f>
        <v>15800</v>
      </c>
      <c r="P399" t="str">
        <f t="shared" si="123"/>
        <v xml:space="preserve">Цена отличается от каталога</v>
      </c>
    </row>
    <row r="400">
      <c r="A400" s="3" t="s">
        <v>2834</v>
      </c>
      <c r="B400" s="3" t="s">
        <v>2835</v>
      </c>
      <c r="C400" s="3" t="s">
        <v>1910</v>
      </c>
      <c r="D400" s="3" t="s">
        <v>1971</v>
      </c>
      <c r="E400" s="3" t="s">
        <v>2836</v>
      </c>
      <c r="F400" s="3" t="s">
        <v>1838</v>
      </c>
      <c r="G400" s="3" t="s">
        <v>1918</v>
      </c>
      <c r="H400" s="5">
        <f t="shared" si="119"/>
        <v>45871</v>
      </c>
      <c r="I400" t="str">
        <f t="shared" si="120"/>
        <v>АРТ-331</v>
      </c>
      <c r="J400" s="6">
        <f t="shared" si="121"/>
        <v>3</v>
      </c>
      <c r="K400" s="4">
        <f>VALUE(SUBSTITUTE(SUBSTITUTE(SUBSTITUTE(SUBSTITUTE(D400,"$",""),"€",""),"₽","")," ",""))*IF(ISNUMBER(FIND("$",D400)),Справочники!$H$3,IF(ISNUMBER(FIND("€",D400)),Справочники!$H$4,1))</f>
        <v>7000</v>
      </c>
      <c r="L400" t="str">
        <f>IFERROR(VLOOKUP(TRIM(G400),Справочники!$D$3:$E$13,2,0),"Нет в справочнике")</f>
        <v>Отменен</v>
      </c>
      <c r="M400" t="str">
        <f t="shared" si="122"/>
        <v/>
      </c>
      <c r="N400" t="str">
        <f>IFERROR(VLOOKUP(I400,Товары_очищенные!$H$2:$J$502,3,0),"Нет в каталоге")</f>
        <v>Часы</v>
      </c>
      <c r="O400" s="4">
        <f>IFERROR(VLOOKUP(I400,Товары_очищенные!$H$2:$M$502,6,0),"")</f>
        <v>69990</v>
      </c>
      <c r="P400" t="str">
        <f t="shared" si="123"/>
        <v xml:space="preserve">Цена отличается от каталога</v>
      </c>
    </row>
    <row r="401">
      <c r="A401" s="3" t="s">
        <v>2834</v>
      </c>
      <c r="B401" s="3" t="s">
        <v>2081</v>
      </c>
      <c r="C401" s="3" t="s">
        <v>1942</v>
      </c>
      <c r="D401" s="3" t="s">
        <v>1943</v>
      </c>
      <c r="E401" s="3" t="s">
        <v>2837</v>
      </c>
      <c r="F401" s="3" t="s">
        <v>1759</v>
      </c>
      <c r="G401" s="3" t="s">
        <v>1927</v>
      </c>
      <c r="H401" s="5">
        <f t="shared" si="119"/>
        <v>45871</v>
      </c>
      <c r="I401" t="str">
        <f t="shared" si="120"/>
        <v>АРТ-368</v>
      </c>
      <c r="J401" s="6">
        <f t="shared" si="121"/>
        <v>-2</v>
      </c>
      <c r="K401" s="4">
        <f>VALUE(SUBSTITUTE(SUBSTITUTE(SUBSTITUTE(SUBSTITUTE(D401,"$",""),"€",""),"₽","")," ",""))*IF(ISNUMBER(FIND("$",D401)),Справочники!$H$3,IF(ISNUMBER(FIND("€",D401)),Справочники!$H$4,1))</f>
        <v>10925</v>
      </c>
      <c r="L401" t="str">
        <f>IFERROR(VLOOKUP(TRIM(G401),Справочники!$D$3:$E$13,2,0),"Нет в справочнике")</f>
        <v>Возврат</v>
      </c>
      <c r="M401" t="str">
        <f t="shared" si="122"/>
        <v/>
      </c>
      <c r="N401" t="str">
        <f>IFERROR(VLOOKUP(I401,Товары_очищенные!$H$2:$J$502,3,0),"Нет в каталоге")</f>
        <v>Наушники</v>
      </c>
      <c r="O401" s="4">
        <f>IFERROR(VLOOKUP(I401,Товары_очищенные!$H$2:$M$502,6,0),"")</f>
        <v>19000</v>
      </c>
      <c r="P401" t="str">
        <f t="shared" si="123"/>
        <v xml:space="preserve">Цена отличается от каталога</v>
      </c>
    </row>
    <row r="402">
      <c r="A402" s="3" t="s">
        <v>2838</v>
      </c>
      <c r="B402" s="3" t="s">
        <v>2839</v>
      </c>
      <c r="C402" s="3" t="s">
        <v>1905</v>
      </c>
      <c r="D402" s="3" t="s">
        <v>1934</v>
      </c>
      <c r="E402" s="3" t="s">
        <v>2840</v>
      </c>
      <c r="F402" s="3" t="s">
        <v>1642</v>
      </c>
      <c r="G402" s="3" t="s">
        <v>1903</v>
      </c>
      <c r="H402" s="5">
        <f t="shared" si="119"/>
        <v>45872</v>
      </c>
      <c r="I402" t="str">
        <f t="shared" si="120"/>
        <v>АРТ-256</v>
      </c>
      <c r="J402" s="6">
        <f t="shared" si="121"/>
        <v>1</v>
      </c>
      <c r="K402" s="4">
        <f>VALUE(SUBSTITUTE(SUBSTITUTE(SUBSTITUTE(SUBSTITUTE(D402,"$",""),"€",""),"₽","")," ",""))*IF(ISNUMBER(FIND("$",D402)),Справочники!$H$3,IF(ISNUMBER(FIND("€",D402)),Справочники!$H$4,1))</f>
        <v>9500</v>
      </c>
      <c r="L402" t="str">
        <f>IFERROR(VLOOKUP(TRIM(G402),Справочники!$D$3:$E$13,2,0),"Нет в справочнике")</f>
        <v>Завершен</v>
      </c>
      <c r="M402" t="str">
        <f t="shared" si="122"/>
        <v/>
      </c>
      <c r="N402" t="str">
        <f>IFERROR(VLOOKUP(I402,Товары_очищенные!$H$2:$J$502,3,0),"Нет в каталоге")</f>
        <v>Смартфоны</v>
      </c>
      <c r="O402" s="4">
        <f>IFERROR(VLOOKUP(I402,Товары_очищенные!$H$2:$M$502,6,0),"")</f>
        <v>37990</v>
      </c>
      <c r="P402" t="str">
        <f t="shared" si="123"/>
        <v xml:space="preserve">Цена отличается от каталога</v>
      </c>
    </row>
    <row r="403">
      <c r="A403" s="3" t="s">
        <v>2838</v>
      </c>
      <c r="B403" s="3" t="s">
        <v>2841</v>
      </c>
      <c r="C403" s="3" t="s">
        <v>1900</v>
      </c>
      <c r="D403" s="3" t="s">
        <v>1951</v>
      </c>
      <c r="E403" s="3" t="s">
        <v>2842</v>
      </c>
      <c r="F403" s="3" t="s">
        <v>1608</v>
      </c>
      <c r="G403" s="3" t="s">
        <v>1908</v>
      </c>
      <c r="H403" s="5">
        <f t="shared" si="119"/>
        <v>45872</v>
      </c>
      <c r="I403" t="str">
        <f t="shared" si="120"/>
        <v>АРТ-139</v>
      </c>
      <c r="J403" s="6">
        <f t="shared" si="121"/>
        <v>2</v>
      </c>
      <c r="K403" s="4">
        <f>VALUE(SUBSTITUTE(SUBSTITUTE(SUBSTITUTE(SUBSTITUTE(D403,"$",""),"€",""),"₽","")," ",""))*IF(ISNUMBER(FIND("$",D403)),Справочники!$H$3,IF(ISNUMBER(FIND("€",D403)),Справочники!$H$4,1))</f>
        <v>8500</v>
      </c>
      <c r="L403" t="str">
        <f>IFERROR(VLOOKUP(TRIM(G403),Справочники!$D$3:$E$13,2,0),"Нет в справочнике")</f>
        <v>Завершен</v>
      </c>
      <c r="M403" t="str">
        <f t="shared" si="122"/>
        <v/>
      </c>
      <c r="N403" t="str">
        <f>IFERROR(VLOOKUP(I403,Товары_очищенные!$H$2:$J$502,3,0),"Нет в каталоге")</f>
        <v>Мониторы</v>
      </c>
      <c r="O403" s="4">
        <f>IFERROR(VLOOKUP(I403,Товары_очищенные!$H$2:$M$502,6,0),"")</f>
        <v>89900</v>
      </c>
      <c r="P403" t="str">
        <f t="shared" si="123"/>
        <v xml:space="preserve">Цена отличается от каталога</v>
      </c>
    </row>
    <row r="404">
      <c r="A404" s="3" t="s">
        <v>2843</v>
      </c>
      <c r="B404" s="3" t="s">
        <v>522</v>
      </c>
      <c r="C404" s="3" t="s">
        <v>1930</v>
      </c>
      <c r="D404" s="3" t="s">
        <v>1931</v>
      </c>
      <c r="E404" s="3" t="s">
        <v>2844</v>
      </c>
      <c r="F404" s="3" t="s">
        <v>1715</v>
      </c>
      <c r="G404" s="3" t="s">
        <v>1913</v>
      </c>
      <c r="H404" s="5">
        <f t="shared" si="119"/>
        <v>45873</v>
      </c>
      <c r="I404" t="str">
        <f t="shared" si="120"/>
        <v>АРТ-118</v>
      </c>
      <c r="J404" s="6">
        <f t="shared" si="121"/>
        <v>3</v>
      </c>
      <c r="K404" s="4">
        <f>VALUE(SUBSTITUTE(SUBSTITUTE(SUBSTITUTE(SUBSTITUTE(D404,"$",""),"€",""),"₽","")," ",""))*IF(ISNUMBER(FIND("$",D404)),Справочники!$H$3,IF(ISNUMBER(FIND("€",D404)),Справочники!$H$4,1))</f>
        <v>9975</v>
      </c>
      <c r="L404" t="str">
        <f>IFERROR(VLOOKUP(TRIM(G404),Справочники!$D$3:$E$13,2,0),"Нет в справочнике")</f>
        <v>Завершен</v>
      </c>
      <c r="M404" t="str">
        <f t="shared" si="122"/>
        <v/>
      </c>
      <c r="N404" t="str">
        <f>IFERROR(VLOOKUP(I404,Товары_очищенные!$H$2:$J$502,3,0),"Нет в каталоге")</f>
        <v>Аксессуары</v>
      </c>
      <c r="O404" s="4">
        <f>IFERROR(VLOOKUP(I404,Товары_очищенные!$H$2:$M$502,6,0),"")</f>
        <v>7990</v>
      </c>
      <c r="P404" t="str">
        <f t="shared" si="123"/>
        <v xml:space="preserve">Цена отличается от каталога</v>
      </c>
    </row>
    <row r="405">
      <c r="A405" s="3" t="s">
        <v>2843</v>
      </c>
      <c r="B405" s="3" t="s">
        <v>2845</v>
      </c>
      <c r="C405" s="3" t="s">
        <v>1900</v>
      </c>
      <c r="D405" s="3" t="s">
        <v>1906</v>
      </c>
      <c r="E405" s="3" t="s">
        <v>2846</v>
      </c>
      <c r="F405" s="3" t="s">
        <v>1850</v>
      </c>
      <c r="G405" s="3" t="s">
        <v>1918</v>
      </c>
      <c r="H405" s="5">
        <f t="shared" si="119"/>
        <v>45873</v>
      </c>
      <c r="I405" t="str">
        <f t="shared" si="120"/>
        <v>АРТ-436</v>
      </c>
      <c r="J405" s="6">
        <f t="shared" si="121"/>
        <v>2</v>
      </c>
      <c r="K405" s="4">
        <f>VALUE(SUBSTITUTE(SUBSTITUTE(SUBSTITUTE(SUBSTITUTE(D405,"$",""),"€",""),"₽","")," ",""))*IF(ISNUMBER(FIND("$",D405)),Справочники!$H$3,IF(ISNUMBER(FIND("€",D405)),Справочники!$H$4,1))</f>
        <v>8500</v>
      </c>
      <c r="L405" t="str">
        <f>IFERROR(VLOOKUP(TRIM(G405),Справочники!$D$3:$E$13,2,0),"Нет в справочнике")</f>
        <v>Отменен</v>
      </c>
      <c r="M405" t="str">
        <f t="shared" si="122"/>
        <v/>
      </c>
      <c r="N405" t="str">
        <f>IFERROR(VLOOKUP(I405,Товары_очищенные!$H$2:$J$502,3,0),"Нет в каталоге")</f>
        <v>Аксессуары</v>
      </c>
      <c r="O405" s="4">
        <f>IFERROR(VLOOKUP(I405,Товары_очищенные!$H$2:$M$502,6,0),"")</f>
        <v>5990</v>
      </c>
      <c r="P405" t="str">
        <f t="shared" si="123"/>
        <v xml:space="preserve">Цена отличается от каталога</v>
      </c>
    </row>
    <row r="406">
      <c r="A406" s="3" t="s">
        <v>2847</v>
      </c>
      <c r="B406" s="3" t="s">
        <v>2551</v>
      </c>
      <c r="C406" s="3" t="s">
        <v>1938</v>
      </c>
      <c r="D406" s="3" t="s">
        <v>2166</v>
      </c>
      <c r="E406" s="3" t="s">
        <v>2848</v>
      </c>
      <c r="F406" s="3" t="s">
        <v>1615</v>
      </c>
      <c r="G406" s="3" t="s">
        <v>1924</v>
      </c>
      <c r="H406" s="5">
        <f t="shared" si="119"/>
        <v>45874</v>
      </c>
      <c r="I406" t="str">
        <f t="shared" si="120"/>
        <v>АРТ-311</v>
      </c>
      <c r="J406" s="6">
        <f t="shared" si="121"/>
        <v>1</v>
      </c>
      <c r="K406" s="4">
        <f>VALUE(SUBSTITUTE(SUBSTITUTE(SUBSTITUTE(SUBSTITUTE(D406,"$",""),"€",""),"₽","")," ",""))*IF(ISNUMBER(FIND("$",D406)),Справочники!$H$3,IF(ISNUMBER(FIND("€",D406)),Справочники!$H$4,1))</f>
        <v>7800</v>
      </c>
      <c r="L406" t="str">
        <f>IFERROR(VLOOKUP(TRIM(G406),Справочники!$D$3:$E$13,2,0),"Нет в справочнике")</f>
        <v>Отменен</v>
      </c>
      <c r="M406" t="str">
        <f t="shared" si="122"/>
        <v/>
      </c>
      <c r="N406" t="str">
        <f>IFERROR(VLOOKUP(I406,Товары_очищенные!$H$2:$J$502,3,0),"Нет в каталоге")</f>
        <v>Планшеты</v>
      </c>
      <c r="O406" s="4">
        <f>IFERROR(VLOOKUP(I406,Товары_очищенные!$H$2:$M$502,6,0),"")</f>
        <v>62500</v>
      </c>
      <c r="P406" t="str">
        <f t="shared" si="123"/>
        <v xml:space="preserve">Цена отличается от каталога</v>
      </c>
    </row>
    <row r="407">
      <c r="A407" s="3" t="s">
        <v>2847</v>
      </c>
      <c r="B407" s="3" t="s">
        <v>2849</v>
      </c>
      <c r="C407" s="3" t="s">
        <v>1985</v>
      </c>
      <c r="D407" s="3" t="s">
        <v>2044</v>
      </c>
      <c r="E407" s="3" t="s">
        <v>2850</v>
      </c>
      <c r="F407" s="3" t="s">
        <v>1765</v>
      </c>
      <c r="G407" s="3" t="s">
        <v>1903</v>
      </c>
      <c r="H407" s="5">
        <f t="shared" si="119"/>
        <v>45874</v>
      </c>
      <c r="I407" t="str">
        <f t="shared" si="120"/>
        <v>АРТ-437</v>
      </c>
      <c r="J407" s="6">
        <f t="shared" si="121"/>
        <v>-3</v>
      </c>
      <c r="K407" s="4">
        <f>VALUE(SUBSTITUTE(SUBSTITUTE(SUBSTITUTE(SUBSTITUTE(D407,"$",""),"€",""),"₽","")," ",""))*IF(ISNUMBER(FIND("$",D407)),Справочники!$H$3,IF(ISNUMBER(FIND("€",D407)),Справочники!$H$4,1))</f>
        <v>11400</v>
      </c>
      <c r="L407" t="str">
        <f>IFERROR(VLOOKUP(TRIM(G407),Справочники!$D$3:$E$13,2,0),"Нет в справочнике")</f>
        <v>Завершен</v>
      </c>
      <c r="M407" t="str">
        <f t="shared" si="122"/>
        <v/>
      </c>
      <c r="N407" t="str">
        <f>IFERROR(VLOOKUP(I407,Товары_очищенные!$H$2:$J$502,3,0),"Нет в каталоге")</f>
        <v>Аксессуары</v>
      </c>
      <c r="O407" s="4">
        <f>IFERROR(VLOOKUP(I407,Товары_очищенные!$H$2:$M$502,6,0),"")</f>
        <v>5500</v>
      </c>
      <c r="P407" t="str">
        <f t="shared" si="123"/>
        <v xml:space="preserve">Цена отличается от каталога</v>
      </c>
    </row>
    <row r="408">
      <c r="A408" s="3" t="s">
        <v>2851</v>
      </c>
      <c r="B408" s="3" t="s">
        <v>1095</v>
      </c>
      <c r="C408" s="3" t="s">
        <v>1900</v>
      </c>
      <c r="D408" s="3" t="s">
        <v>2046</v>
      </c>
      <c r="E408" s="3" t="s">
        <v>2852</v>
      </c>
      <c r="F408" s="3" t="s">
        <v>1688</v>
      </c>
      <c r="G408" s="3" t="s">
        <v>1927</v>
      </c>
      <c r="H408" s="5">
        <f t="shared" si="119"/>
        <v>45875</v>
      </c>
      <c r="I408" t="str">
        <f t="shared" si="120"/>
        <v>АРТ-299</v>
      </c>
      <c r="J408" s="6">
        <f t="shared" si="121"/>
        <v>2</v>
      </c>
      <c r="K408" s="4">
        <f>VALUE(SUBSTITUTE(SUBSTITUTE(SUBSTITUTE(SUBSTITUTE(D408,"$",""),"€",""),"₽","")," ",""))*IF(ISNUMBER(FIND("$",D408)),Справочники!$H$3,IF(ISNUMBER(FIND("€",D408)),Справочники!$H$4,1))</f>
        <v>10000</v>
      </c>
      <c r="L408" t="str">
        <f>IFERROR(VLOOKUP(TRIM(G408),Справочники!$D$3:$E$13,2,0),"Нет в справочнике")</f>
        <v>Возврат</v>
      </c>
      <c r="M408" t="str">
        <f t="shared" si="122"/>
        <v/>
      </c>
      <c r="N408" t="str">
        <f>IFERROR(VLOOKUP(I408,Товары_очищенные!$H$2:$J$502,3,0),"Нет в каталоге")</f>
        <v>Телевизоры</v>
      </c>
      <c r="O408" s="4">
        <f>IFERROR(VLOOKUP(I408,Товары_очищенные!$H$2:$M$502,6,0),"")</f>
        <v>63500</v>
      </c>
      <c r="P408" t="str">
        <f t="shared" si="123"/>
        <v xml:space="preserve">Цена отличается от каталога</v>
      </c>
    </row>
    <row r="409">
      <c r="A409" s="3" t="s">
        <v>2851</v>
      </c>
      <c r="B409" s="3" t="s">
        <v>2853</v>
      </c>
      <c r="C409" s="3" t="s">
        <v>1905</v>
      </c>
      <c r="D409" s="3" t="s">
        <v>2087</v>
      </c>
      <c r="E409" s="3" t="s">
        <v>2854</v>
      </c>
      <c r="F409" s="3" t="s">
        <v>1832</v>
      </c>
      <c r="G409" s="3" t="s">
        <v>1908</v>
      </c>
      <c r="H409" s="5">
        <f t="shared" si="119"/>
        <v>45875</v>
      </c>
      <c r="I409" t="str">
        <f t="shared" si="120"/>
        <v>АРТ-217</v>
      </c>
      <c r="J409" s="6">
        <f t="shared" si="121"/>
        <v>1</v>
      </c>
      <c r="K409" s="4">
        <f>VALUE(SUBSTITUTE(SUBSTITUTE(SUBSTITUTE(SUBSTITUTE(D409,"$",""),"€",""),"₽","")," ",""))*IF(ISNUMBER(FIND("$",D409)),Справочники!$H$3,IF(ISNUMBER(FIND("€",D409)),Справочники!$H$4,1))</f>
        <v>9200</v>
      </c>
      <c r="L409" t="str">
        <f>IFERROR(VLOOKUP(TRIM(G409),Справочники!$D$3:$E$13,2,0),"Нет в справочнике")</f>
        <v>Завершен</v>
      </c>
      <c r="M409" t="str">
        <f t="shared" si="122"/>
        <v/>
      </c>
      <c r="N409" t="str">
        <f>IFERROR(VLOOKUP(I409,Товары_очищенные!$H$2:$J$502,3,0),"Нет в каталоге")</f>
        <v>Телевизоры</v>
      </c>
      <c r="O409" s="4">
        <f>IFERROR(VLOOKUP(I409,Товары_очищенные!$H$2:$M$502,6,0),"")</f>
        <v>69990</v>
      </c>
      <c r="P409" t="str">
        <f t="shared" si="123"/>
        <v xml:space="preserve">Цена отличается от каталога</v>
      </c>
    </row>
    <row r="410">
      <c r="A410" s="3" t="s">
        <v>2855</v>
      </c>
      <c r="B410" s="3" t="s">
        <v>877</v>
      </c>
      <c r="C410" s="3" t="s">
        <v>1930</v>
      </c>
      <c r="D410" s="3" t="s">
        <v>1986</v>
      </c>
      <c r="E410" s="3" t="s">
        <v>2856</v>
      </c>
      <c r="F410" s="3" t="s">
        <v>1594</v>
      </c>
      <c r="G410" s="3" t="s">
        <v>1913</v>
      </c>
      <c r="H410" s="5">
        <f t="shared" si="119"/>
        <v>45876</v>
      </c>
      <c r="I410" t="str">
        <f t="shared" si="120"/>
        <v>АРТ-223</v>
      </c>
      <c r="J410" s="6">
        <f t="shared" si="121"/>
        <v>3</v>
      </c>
      <c r="K410" s="4">
        <f>VALUE(SUBSTITUTE(SUBSTITUTE(SUBSTITUTE(SUBSTITUTE(D410,"$",""),"€",""),"₽","")," ",""))*IF(ISNUMBER(FIND("$",D410)),Справочники!$H$3,IF(ISNUMBER(FIND("€",D410)),Справочники!$H$4,1))</f>
        <v>8550</v>
      </c>
      <c r="L410" t="str">
        <f>IFERROR(VLOOKUP(TRIM(G410),Справочники!$D$3:$E$13,2,0),"Нет в справочнике")</f>
        <v>Завершен</v>
      </c>
      <c r="M410" t="str">
        <f t="shared" si="122"/>
        <v/>
      </c>
      <c r="N410" t="str">
        <f>IFERROR(VLOOKUP(I410,Товары_очищенные!$H$2:$J$502,3,0),"Нет в каталоге")</f>
        <v>Мониторы</v>
      </c>
      <c r="O410" s="4">
        <f>IFERROR(VLOOKUP(I410,Товары_очищенные!$H$2:$M$502,6,0),"")</f>
        <v>54990</v>
      </c>
      <c r="P410" t="str">
        <f t="shared" si="123"/>
        <v xml:space="preserve">Цена отличается от каталога</v>
      </c>
    </row>
    <row r="411">
      <c r="A411" s="3" t="s">
        <v>2855</v>
      </c>
      <c r="B411" s="3" t="s">
        <v>1459</v>
      </c>
      <c r="C411" s="3" t="s">
        <v>1900</v>
      </c>
      <c r="D411" s="3" t="s">
        <v>1989</v>
      </c>
      <c r="E411" s="3" t="s">
        <v>2857</v>
      </c>
      <c r="F411" s="3" t="s">
        <v>1796</v>
      </c>
      <c r="G411" s="3" t="s">
        <v>1903</v>
      </c>
      <c r="H411" s="5">
        <f t="shared" si="119"/>
        <v>45876</v>
      </c>
      <c r="I411" t="str">
        <f t="shared" si="120"/>
        <v>АРТ-458</v>
      </c>
      <c r="J411" s="6">
        <f t="shared" si="121"/>
        <v>2</v>
      </c>
      <c r="K411" s="4">
        <f>VALUE(SUBSTITUTE(SUBSTITUTE(SUBSTITUTE(SUBSTITUTE(D411,"$",""),"€",""),"₽","")," ",""))*IF(ISNUMBER(FIND("$",D411)),Справочники!$H$3,IF(ISNUMBER(FIND("€",D411)),Справочники!$H$4,1))</f>
        <v>7000</v>
      </c>
      <c r="L411" t="str">
        <f>IFERROR(VLOOKUP(TRIM(G411),Справочники!$D$3:$E$13,2,0),"Нет в справочнике")</f>
        <v>Завершен</v>
      </c>
      <c r="M411" t="str">
        <f t="shared" si="122"/>
        <v/>
      </c>
      <c r="N411" t="str">
        <f>IFERROR(VLOOKUP(I411,Товары_очищенные!$H$2:$J$502,3,0),"Нет в каталоге")</f>
        <v>Аксессуары</v>
      </c>
      <c r="O411" s="4">
        <f>IFERROR(VLOOKUP(I411,Товары_очищенные!$H$2:$M$502,6,0),"")</f>
        <v>6500</v>
      </c>
      <c r="P411" t="str">
        <f t="shared" si="123"/>
        <v>ОК</v>
      </c>
    </row>
    <row r="412">
      <c r="A412" s="3" t="s">
        <v>2858</v>
      </c>
      <c r="B412" s="3" t="s">
        <v>2590</v>
      </c>
      <c r="C412" s="3" t="s">
        <v>1938</v>
      </c>
      <c r="D412" s="3" t="s">
        <v>1939</v>
      </c>
      <c r="E412" s="3" t="s">
        <v>2859</v>
      </c>
      <c r="F412" s="3" t="s">
        <v>1656</v>
      </c>
      <c r="G412" s="3" t="s">
        <v>1924</v>
      </c>
      <c r="H412" s="5">
        <f t="shared" si="119"/>
        <v>45877</v>
      </c>
      <c r="I412" t="str">
        <f t="shared" si="120"/>
        <v>АРТ-359</v>
      </c>
      <c r="J412" s="6">
        <f t="shared" si="121"/>
        <v>1</v>
      </c>
      <c r="K412" s="4">
        <f>VALUE(SUBSTITUTE(SUBSTITUTE(SUBSTITUTE(SUBSTITUTE(D412,"$",""),"€",""),"₽","")," ",""))*IF(ISNUMBER(FIND("$",D412)),Справочники!$H$3,IF(ISNUMBER(FIND("€",D412)),Справочники!$H$4,1))</f>
        <v>6500</v>
      </c>
      <c r="L412" t="str">
        <f>IFERROR(VLOOKUP(TRIM(G412),Справочники!$D$3:$E$13,2,0),"Нет в справочнике")</f>
        <v>Отменен</v>
      </c>
      <c r="M412" t="str">
        <f t="shared" si="122"/>
        <v/>
      </c>
      <c r="N412" t="str">
        <f>IFERROR(VLOOKUP(I412,Товары_очищенные!$H$2:$J$502,3,0),"Нет в каталоге")</f>
        <v>Планшеты</v>
      </c>
      <c r="O412" s="4">
        <f>IFERROR(VLOOKUP(I412,Товары_очищенные!$H$2:$M$502,6,0),"")</f>
        <v>58000</v>
      </c>
      <c r="P412" t="str">
        <f t="shared" si="123"/>
        <v xml:space="preserve">Цена отличается от каталога</v>
      </c>
    </row>
    <row r="413">
      <c r="A413" s="3" t="s">
        <v>2858</v>
      </c>
      <c r="B413" s="3" t="s">
        <v>2860</v>
      </c>
      <c r="C413" s="3" t="s">
        <v>1915</v>
      </c>
      <c r="D413" s="3" t="s">
        <v>1916</v>
      </c>
      <c r="E413" s="3" t="s">
        <v>2861</v>
      </c>
      <c r="F413" s="3" t="s">
        <v>1746</v>
      </c>
      <c r="G413" s="3" t="s">
        <v>1918</v>
      </c>
      <c r="H413" s="5">
        <f t="shared" si="119"/>
        <v>45877</v>
      </c>
      <c r="I413" t="str">
        <f t="shared" si="120"/>
        <v>АРТ-408</v>
      </c>
      <c r="J413" s="6">
        <f t="shared" si="121"/>
        <v>-1</v>
      </c>
      <c r="K413" s="4">
        <f>VALUE(SUBSTITUTE(SUBSTITUTE(SUBSTITUTE(SUBSTITUTE(D413,"$",""),"€",""),"₽","")," ",""))*IF(ISNUMBER(FIND("$",D413)),Справочники!$H$3,IF(ISNUMBER(FIND("€",D413)),Справочники!$H$4,1))</f>
        <v>10450</v>
      </c>
      <c r="L413" t="str">
        <f>IFERROR(VLOOKUP(TRIM(G413),Справочники!$D$3:$E$13,2,0),"Нет в справочнике")</f>
        <v>Отменен</v>
      </c>
      <c r="M413" t="str">
        <f t="shared" si="122"/>
        <v/>
      </c>
      <c r="N413" t="str">
        <f>IFERROR(VLOOKUP(I413,Товары_очищенные!$H$2:$J$502,3,0),"Нет в каталоге")</f>
        <v>Телевизоры</v>
      </c>
      <c r="O413" s="4">
        <f>IFERROR(VLOOKUP(I413,Товары_очищенные!$H$2:$M$502,6,0),"")</f>
        <v>107500</v>
      </c>
      <c r="P413" t="str">
        <f t="shared" si="123"/>
        <v xml:space="preserve">Цена отличается от каталога</v>
      </c>
    </row>
    <row r="414">
      <c r="A414" s="3" t="s">
        <v>2862</v>
      </c>
      <c r="B414" s="3" t="s">
        <v>1285</v>
      </c>
      <c r="C414" s="3" t="s">
        <v>1930</v>
      </c>
      <c r="D414" s="3" t="s">
        <v>1922</v>
      </c>
      <c r="E414" s="3" t="s">
        <v>2863</v>
      </c>
      <c r="F414" s="3" t="s">
        <v>1622</v>
      </c>
      <c r="G414" s="3" t="s">
        <v>1927</v>
      </c>
      <c r="H414" s="5">
        <f t="shared" si="119"/>
        <v>45878</v>
      </c>
      <c r="I414" t="str">
        <f t="shared" si="120"/>
        <v>АРТ-380</v>
      </c>
      <c r="J414" s="6">
        <f t="shared" si="121"/>
        <v>3</v>
      </c>
      <c r="K414" s="4">
        <f>VALUE(SUBSTITUTE(SUBSTITUTE(SUBSTITUTE(SUBSTITUTE(D414,"$",""),"€",""),"₽","")," ",""))*IF(ISNUMBER(FIND("$",D414)),Справочники!$H$3,IF(ISNUMBER(FIND("€",D414)),Справочники!$H$4,1))</f>
        <v>9000</v>
      </c>
      <c r="L414" t="str">
        <f>IFERROR(VLOOKUP(TRIM(G414),Справочники!$D$3:$E$13,2,0),"Нет в справочнике")</f>
        <v>Возврат</v>
      </c>
      <c r="M414" t="str">
        <f t="shared" si="122"/>
        <v/>
      </c>
      <c r="N414" t="str">
        <f>IFERROR(VLOOKUP(I414,Товары_очищенные!$H$2:$J$502,3,0),"Нет в каталоге")</f>
        <v>Планшеты</v>
      </c>
      <c r="O414" s="4">
        <f>IFERROR(VLOOKUP(I414,Товары_очищенные!$H$2:$M$502,6,0),"")</f>
        <v>35500</v>
      </c>
      <c r="P414" t="str">
        <f t="shared" si="123"/>
        <v xml:space="preserve">Цена отличается от каталога</v>
      </c>
    </row>
    <row r="415">
      <c r="A415" s="3" t="s">
        <v>2862</v>
      </c>
      <c r="B415" s="3" t="s">
        <v>2864</v>
      </c>
      <c r="C415" s="3" t="s">
        <v>1900</v>
      </c>
      <c r="D415" s="3" t="s">
        <v>1925</v>
      </c>
      <c r="E415" s="3" t="s">
        <v>2865</v>
      </c>
      <c r="F415" s="3" t="s">
        <v>1826</v>
      </c>
      <c r="G415" s="3" t="s">
        <v>1903</v>
      </c>
      <c r="H415" s="5">
        <f t="shared" si="119"/>
        <v>45878</v>
      </c>
      <c r="I415" t="str">
        <f t="shared" si="120"/>
        <v>АРТ-278</v>
      </c>
      <c r="J415" s="6">
        <f t="shared" si="121"/>
        <v>2</v>
      </c>
      <c r="K415" s="4">
        <f>VALUE(SUBSTITUTE(SUBSTITUTE(SUBSTITUTE(SUBSTITUTE(D415,"$",""),"€",""),"₽","")," ",""))*IF(ISNUMBER(FIND("$",D415)),Справочники!$H$3,IF(ISNUMBER(FIND("€",D415)),Справочники!$H$4,1))</f>
        <v>8000</v>
      </c>
      <c r="L415" t="str">
        <f>IFERROR(VLOOKUP(TRIM(G415),Справочники!$D$3:$E$13,2,0),"Нет в справочнике")</f>
        <v>Завершен</v>
      </c>
      <c r="M415" t="str">
        <f t="shared" si="122"/>
        <v/>
      </c>
      <c r="N415" t="str">
        <f>IFERROR(VLOOKUP(I415,Товары_очищенные!$H$2:$J$502,3,0),"Нет в каталоге")</f>
        <v>Телевизоры</v>
      </c>
      <c r="O415" s="4">
        <f>IFERROR(VLOOKUP(I415,Товары_очищенные!$H$2:$M$502,6,0),"")</f>
        <v>112000</v>
      </c>
      <c r="P415" t="str">
        <f t="shared" si="123"/>
        <v xml:space="preserve">Цена отличается от каталога</v>
      </c>
    </row>
    <row r="416">
      <c r="A416" s="3" t="s">
        <v>2866</v>
      </c>
      <c r="B416" s="3" t="s">
        <v>2867</v>
      </c>
      <c r="C416" s="3" t="s">
        <v>1905</v>
      </c>
      <c r="D416" s="3" t="s">
        <v>1964</v>
      </c>
      <c r="E416" s="3" t="s">
        <v>2868</v>
      </c>
      <c r="F416" s="3" t="s">
        <v>1676</v>
      </c>
      <c r="G416" s="3" t="s">
        <v>1908</v>
      </c>
      <c r="H416" s="5">
        <f t="shared" si="119"/>
        <v>45879</v>
      </c>
      <c r="I416" t="str">
        <f t="shared" si="120"/>
        <v>АРТ-038</v>
      </c>
      <c r="J416" s="6">
        <f t="shared" si="121"/>
        <v>1</v>
      </c>
      <c r="K416" s="4">
        <f>VALUE(SUBSTITUTE(SUBSTITUTE(SUBSTITUTE(SUBSTITUTE(D416,"$",""),"€",""),"₽","")," ",""))*IF(ISNUMBER(FIND("$",D416)),Справочники!$H$3,IF(ISNUMBER(FIND("€",D416)),Справочники!$H$4,1))</f>
        <v>9025</v>
      </c>
      <c r="L416" t="str">
        <f>IFERROR(VLOOKUP(TRIM(G416),Справочники!$D$3:$E$13,2,0),"Нет в справочнике")</f>
        <v>Завершен</v>
      </c>
      <c r="M416" t="str">
        <f t="shared" si="122"/>
        <v/>
      </c>
      <c r="N416" t="str">
        <f>IFERROR(VLOOKUP(I416,Товары_очищенные!$H$2:$J$502,3,0),"Нет в каталоге")</f>
        <v>Часы</v>
      </c>
      <c r="O416" s="4">
        <f>IFERROR(VLOOKUP(I416,Товары_очищенные!$H$2:$M$502,6,0),"")</f>
        <v>68500</v>
      </c>
      <c r="P416" t="str">
        <f t="shared" si="123"/>
        <v xml:space="preserve">Цена отличается от каталога</v>
      </c>
    </row>
    <row r="417">
      <c r="A417" s="3" t="s">
        <v>2866</v>
      </c>
      <c r="B417" s="3" t="s">
        <v>1477</v>
      </c>
      <c r="C417" s="3" t="s">
        <v>1900</v>
      </c>
      <c r="D417" s="3" t="s">
        <v>1968</v>
      </c>
      <c r="E417" s="3" t="s">
        <v>2869</v>
      </c>
      <c r="F417" s="3" t="s">
        <v>1772</v>
      </c>
      <c r="G417" s="3" t="s">
        <v>1913</v>
      </c>
      <c r="H417" s="5">
        <f t="shared" si="119"/>
        <v>45879</v>
      </c>
      <c r="I417" t="str">
        <f t="shared" si="120"/>
        <v>АРТ-467</v>
      </c>
      <c r="J417" s="6">
        <f t="shared" si="121"/>
        <v>2</v>
      </c>
      <c r="K417" s="4">
        <f>VALUE(SUBSTITUTE(SUBSTITUTE(SUBSTITUTE(SUBSTITUTE(D417,"$",""),"€",""),"₽","")," ",""))*IF(ISNUMBER(FIND("$",D417)),Справочники!$H$3,IF(ISNUMBER(FIND("€",D417)),Справочники!$H$4,1))</f>
        <v>7500</v>
      </c>
      <c r="L417" t="str">
        <f>IFERROR(VLOOKUP(TRIM(G417),Справочники!$D$3:$E$13,2,0),"Нет в справочнике")</f>
        <v>Завершен</v>
      </c>
      <c r="M417" t="str">
        <f t="shared" si="122"/>
        <v/>
      </c>
      <c r="N417" t="str">
        <f>IFERROR(VLOOKUP(I417,Товары_очищенные!$H$2:$J$502,3,0),"Нет в каталоге")</f>
        <v>Смартфоны</v>
      </c>
      <c r="O417" s="4">
        <f>IFERROR(VLOOKUP(I417,Товары_очищенные!$H$2:$M$502,6,0),"")</f>
        <v>21500</v>
      </c>
      <c r="P417" t="str">
        <f t="shared" si="123"/>
        <v xml:space="preserve">Цена отличается от каталога</v>
      </c>
    </row>
    <row r="418">
      <c r="A418" s="3" t="s">
        <v>2870</v>
      </c>
      <c r="B418" s="3" t="s">
        <v>1107</v>
      </c>
      <c r="C418" s="3" t="s">
        <v>1910</v>
      </c>
      <c r="D418" s="3" t="s">
        <v>1971</v>
      </c>
      <c r="E418" s="3" t="s">
        <v>2871</v>
      </c>
      <c r="F418" s="3" t="s">
        <v>1874</v>
      </c>
      <c r="G418" s="3" t="s">
        <v>1918</v>
      </c>
      <c r="H418" s="5">
        <f t="shared" si="119"/>
        <v>45880</v>
      </c>
      <c r="I418" t="str">
        <f t="shared" si="120"/>
        <v>АРТ-303</v>
      </c>
      <c r="J418" s="6">
        <f t="shared" si="121"/>
        <v>3</v>
      </c>
      <c r="K418" s="4">
        <f>VALUE(SUBSTITUTE(SUBSTITUTE(SUBSTITUTE(SUBSTITUTE(D418,"$",""),"€",""),"₽","")," ",""))*IF(ISNUMBER(FIND("$",D418)),Справочники!$H$3,IF(ISNUMBER(FIND("€",D418)),Справочники!$H$4,1))</f>
        <v>7000</v>
      </c>
      <c r="L418" t="str">
        <f>IFERROR(VLOOKUP(TRIM(G418),Справочники!$D$3:$E$13,2,0),"Нет в справочнике")</f>
        <v>Отменен</v>
      </c>
      <c r="M418" t="str">
        <f t="shared" si="122"/>
        <v/>
      </c>
      <c r="N418" t="str">
        <f>IFERROR(VLOOKUP(I418,Товары_очищенные!$H$2:$J$502,3,0),"Нет в каталоге")</f>
        <v>Наушники</v>
      </c>
      <c r="O418" s="4">
        <f>IFERROR(VLOOKUP(I418,Товары_очищенные!$H$2:$M$502,6,0),"")</f>
        <v>8800</v>
      </c>
      <c r="P418" t="str">
        <f t="shared" si="123"/>
        <v xml:space="preserve">Цена отличается от каталога</v>
      </c>
    </row>
    <row r="419">
      <c r="A419" s="3" t="s">
        <v>2870</v>
      </c>
      <c r="B419" s="3" t="s">
        <v>481</v>
      </c>
      <c r="C419" s="3" t="s">
        <v>1942</v>
      </c>
      <c r="D419" s="3" t="s">
        <v>1943</v>
      </c>
      <c r="E419" s="3" t="s">
        <v>2872</v>
      </c>
      <c r="F419" s="3" t="s">
        <v>1601</v>
      </c>
      <c r="G419" s="3" t="s">
        <v>1924</v>
      </c>
      <c r="H419" s="5">
        <f t="shared" si="119"/>
        <v>45880</v>
      </c>
      <c r="I419" t="str">
        <f t="shared" si="120"/>
        <v>АРТ-109</v>
      </c>
      <c r="J419" s="6">
        <f t="shared" si="121"/>
        <v>-2</v>
      </c>
      <c r="K419" s="4">
        <f>VALUE(SUBSTITUTE(SUBSTITUTE(SUBSTITUTE(SUBSTITUTE(D419,"$",""),"€",""),"₽","")," ",""))*IF(ISNUMBER(FIND("$",D419)),Справочники!$H$3,IF(ISNUMBER(FIND("€",D419)),Справочники!$H$4,1))</f>
        <v>10925</v>
      </c>
      <c r="L419" t="str">
        <f>IFERROR(VLOOKUP(TRIM(G419),Справочники!$D$3:$E$13,2,0),"Нет в справочнике")</f>
        <v>Отменен</v>
      </c>
      <c r="M419" t="str">
        <f t="shared" si="122"/>
        <v/>
      </c>
      <c r="N419" t="str">
        <f>IFERROR(VLOOKUP(I419,Товары_очищенные!$H$2:$J$502,3,0),"Нет в каталоге")</f>
        <v>Телевизоры</v>
      </c>
      <c r="O419" s="4">
        <f>IFERROR(VLOOKUP(I419,Товары_очищенные!$H$2:$M$502,6,0),"")</f>
        <v>119999</v>
      </c>
      <c r="P419" t="str">
        <f t="shared" si="123"/>
        <v xml:space="preserve">Цена отличается от каталога</v>
      </c>
    </row>
    <row r="420">
      <c r="A420" s="3" t="s">
        <v>2873</v>
      </c>
      <c r="B420" s="3" t="s">
        <v>2874</v>
      </c>
      <c r="C420" s="3" t="s">
        <v>1905</v>
      </c>
      <c r="D420" s="3" t="s">
        <v>1934</v>
      </c>
      <c r="E420" s="3" t="s">
        <v>2875</v>
      </c>
      <c r="F420" s="3" t="s">
        <v>1721</v>
      </c>
      <c r="G420" s="3" t="s">
        <v>1903</v>
      </c>
      <c r="H420" s="5">
        <f t="shared" ref="H420:H483" si="124">DATE(VALUE(RIGHT(A420,4)),VALUE(LEFT(A420,2)),VALUE(MID(A420,4,2)))</f>
        <v>45881</v>
      </c>
      <c r="I420" t="str">
        <f t="shared" ref="I420:I483" si="125">"АРТ-"&amp;TEXT(VALUE(LEFT(SUBSTITUTE(SUBSTITUTE(SUBSTITUTE(SUBSTITUTE(TRIM(B420),"№",""),"АРТ-",""),"АРТ_",""),"АРТ",""),3)),"000")</f>
        <v>АРТ-286</v>
      </c>
      <c r="J420" s="6">
        <f t="shared" ref="J420:J483" si="126">VALUE(TRIM(SUBSTITUTE(SUBSTITUTE(TRIM(C420),"шт.",""),"шт","")))</f>
        <v>1</v>
      </c>
      <c r="K420" s="4">
        <f>VALUE(SUBSTITUTE(SUBSTITUTE(SUBSTITUTE(SUBSTITUTE(D420,"$",""),"€",""),"₽","")," ",""))*IF(ISNUMBER(FIND("$",D420)),Справочники!$H$3,IF(ISNUMBER(FIND("€",D420)),Справочники!$H$4,1))</f>
        <v>9500</v>
      </c>
      <c r="L420" t="str">
        <f>IFERROR(VLOOKUP(TRIM(G420),Справочники!$D$3:$E$13,2,0),"Нет в справочнике")</f>
        <v>Завершен</v>
      </c>
      <c r="M420" t="str">
        <f t="shared" ref="M420:M483" si="127">IF(COUNTIFS($H$2:H420,H420,$I$2:I420,I420,$E$2:E420,E420)&gt;1,"Дубликат","")</f>
        <v/>
      </c>
      <c r="N420" t="str">
        <f>IFERROR(VLOOKUP(I420,Товары_очищенные!$H$2:$J$502,3,0),"Нет в каталоге")</f>
        <v>Аксессуары</v>
      </c>
      <c r="O420" s="4">
        <f>IFERROR(VLOOKUP(I420,Товары_очищенные!$H$2:$M$502,6,0),"")</f>
        <v>7490</v>
      </c>
      <c r="P420" t="str">
        <f t="shared" ref="P420:P483" si="128">IF(O420="","Нет в каталоге",IF(ABS(K420/O420-1)&lt;=0.2,"ОК","Цена отличается от каталога"))</f>
        <v xml:space="preserve">Цена отличается от каталога</v>
      </c>
    </row>
    <row r="421">
      <c r="A421" s="3" t="s">
        <v>2873</v>
      </c>
      <c r="B421" s="3" t="s">
        <v>2876</v>
      </c>
      <c r="C421" s="3" t="s">
        <v>1900</v>
      </c>
      <c r="D421" s="3" t="s">
        <v>1951</v>
      </c>
      <c r="E421" s="3" t="s">
        <v>2877</v>
      </c>
      <c r="F421" s="3" t="s">
        <v>1663</v>
      </c>
      <c r="G421" s="3" t="s">
        <v>1927</v>
      </c>
      <c r="H421" s="5">
        <f t="shared" si="124"/>
        <v>45881</v>
      </c>
      <c r="I421" t="str">
        <f t="shared" si="125"/>
        <v>АРТ-052</v>
      </c>
      <c r="J421" s="6">
        <f t="shared" si="126"/>
        <v>2</v>
      </c>
      <c r="K421" s="4">
        <f>VALUE(SUBSTITUTE(SUBSTITUTE(SUBSTITUTE(SUBSTITUTE(D421,"$",""),"€",""),"₽","")," ",""))*IF(ISNUMBER(FIND("$",D421)),Справочники!$H$3,IF(ISNUMBER(FIND("€",D421)),Справочники!$H$4,1))</f>
        <v>8500</v>
      </c>
      <c r="L421" t="str">
        <f>IFERROR(VLOOKUP(TRIM(G421),Справочники!$D$3:$E$13,2,0),"Нет в справочнике")</f>
        <v>Возврат</v>
      </c>
      <c r="M421" t="str">
        <f t="shared" si="127"/>
        <v/>
      </c>
      <c r="N421" t="str">
        <f>IFERROR(VLOOKUP(I421,Товары_очищенные!$H$2:$J$502,3,0),"Нет в каталоге")</f>
        <v>Мониторы</v>
      </c>
      <c r="O421" s="4">
        <f>IFERROR(VLOOKUP(I421,Товары_очищенные!$H$2:$M$502,6,0),"")</f>
        <v>69900</v>
      </c>
      <c r="P421" t="str">
        <f t="shared" si="128"/>
        <v xml:space="preserve">Цена отличается от каталога</v>
      </c>
    </row>
    <row r="422">
      <c r="A422" s="3" t="s">
        <v>2878</v>
      </c>
      <c r="B422" s="3" t="s">
        <v>2879</v>
      </c>
      <c r="C422" s="3" t="s">
        <v>1930</v>
      </c>
      <c r="D422" s="3" t="s">
        <v>1931</v>
      </c>
      <c r="E422" s="3" t="s">
        <v>2880</v>
      </c>
      <c r="F422" s="3" t="s">
        <v>1802</v>
      </c>
      <c r="G422" s="3" t="s">
        <v>1908</v>
      </c>
      <c r="H422" s="5">
        <f t="shared" si="124"/>
        <v>45882</v>
      </c>
      <c r="I422" t="str">
        <f t="shared" si="125"/>
        <v>АРТ-197</v>
      </c>
      <c r="J422" s="6">
        <f t="shared" si="126"/>
        <v>3</v>
      </c>
      <c r="K422" s="4">
        <f>VALUE(SUBSTITUTE(SUBSTITUTE(SUBSTITUTE(SUBSTITUTE(D422,"$",""),"€",""),"₽","")," ",""))*IF(ISNUMBER(FIND("$",D422)),Справочники!$H$3,IF(ISNUMBER(FIND("€",D422)),Справочники!$H$4,1))</f>
        <v>9975</v>
      </c>
      <c r="L422" t="str">
        <f>IFERROR(VLOOKUP(TRIM(G422),Справочники!$D$3:$E$13,2,0),"Нет в справочнике")</f>
        <v>Завершен</v>
      </c>
      <c r="M422" t="str">
        <f t="shared" si="127"/>
        <v/>
      </c>
      <c r="N422" t="str">
        <f>IFERROR(VLOOKUP(I422,Товары_очищенные!$H$2:$J$502,3,0),"Нет в каталоге")</f>
        <v>Смартфоны</v>
      </c>
      <c r="O422" s="4">
        <f>IFERROR(VLOOKUP(I422,Товары_очищенные!$H$2:$M$502,6,0),"")</f>
        <v>52500</v>
      </c>
      <c r="P422" t="str">
        <f t="shared" si="128"/>
        <v xml:space="preserve">Цена отличается от каталога</v>
      </c>
    </row>
    <row r="423">
      <c r="A423" s="3" t="s">
        <v>2878</v>
      </c>
      <c r="B423" s="3" t="s">
        <v>2881</v>
      </c>
      <c r="C423" s="3" t="s">
        <v>1900</v>
      </c>
      <c r="D423" s="3" t="s">
        <v>1906</v>
      </c>
      <c r="E423" s="3" t="s">
        <v>2882</v>
      </c>
      <c r="F423" s="3" t="s">
        <v>1868</v>
      </c>
      <c r="G423" s="3" t="s">
        <v>1913</v>
      </c>
      <c r="H423" s="5">
        <f t="shared" si="124"/>
        <v>45882</v>
      </c>
      <c r="I423" t="str">
        <f t="shared" si="125"/>
        <v>АРТ-414</v>
      </c>
      <c r="J423" s="6">
        <f t="shared" si="126"/>
        <v>2</v>
      </c>
      <c r="K423" s="4">
        <f>VALUE(SUBSTITUTE(SUBSTITUTE(SUBSTITUTE(SUBSTITUTE(D423,"$",""),"€",""),"₽","")," ",""))*IF(ISNUMBER(FIND("$",D423)),Справочники!$H$3,IF(ISNUMBER(FIND("€",D423)),Справочники!$H$4,1))</f>
        <v>8500</v>
      </c>
      <c r="L423" t="str">
        <f>IFERROR(VLOOKUP(TRIM(G423),Справочники!$D$3:$E$13,2,0),"Нет в справочнике")</f>
        <v>Завершен</v>
      </c>
      <c r="M423" t="str">
        <f t="shared" si="127"/>
        <v/>
      </c>
      <c r="N423" t="str">
        <f>IFERROR(VLOOKUP(I423,Товары_очищенные!$H$2:$J$502,3,0),"Нет в каталоге")</f>
        <v>Мониторы</v>
      </c>
      <c r="O423" s="4">
        <f>IFERROR(VLOOKUP(I423,Товары_очищенные!$H$2:$M$502,6,0),"")</f>
        <v>57000</v>
      </c>
      <c r="P423" t="str">
        <f t="shared" si="128"/>
        <v xml:space="preserve">Цена отличается от каталога</v>
      </c>
    </row>
    <row r="424">
      <c r="A424" s="3" t="s">
        <v>2883</v>
      </c>
      <c r="B424" s="3" t="s">
        <v>2613</v>
      </c>
      <c r="C424" s="3" t="s">
        <v>1938</v>
      </c>
      <c r="D424" s="3" t="s">
        <v>2166</v>
      </c>
      <c r="E424" s="3" t="s">
        <v>2884</v>
      </c>
      <c r="F424" s="3" t="s">
        <v>1587</v>
      </c>
      <c r="G424" s="3" t="s">
        <v>1903</v>
      </c>
      <c r="H424" s="5">
        <f t="shared" si="124"/>
        <v>45883</v>
      </c>
      <c r="I424" t="str">
        <f t="shared" si="125"/>
        <v>АРТ-325</v>
      </c>
      <c r="J424" s="6">
        <f t="shared" si="126"/>
        <v>1</v>
      </c>
      <c r="K424" s="4">
        <f>VALUE(SUBSTITUTE(SUBSTITUTE(SUBSTITUTE(SUBSTITUTE(D424,"$",""),"€",""),"₽","")," ",""))*IF(ISNUMBER(FIND("$",D424)),Справочники!$H$3,IF(ISNUMBER(FIND("€",D424)),Справочники!$H$4,1))</f>
        <v>7800</v>
      </c>
      <c r="L424" t="str">
        <f>IFERROR(VLOOKUP(TRIM(G424),Справочники!$D$3:$E$13,2,0),"Нет в справочнике")</f>
        <v>Завершен</v>
      </c>
      <c r="M424" t="str">
        <f t="shared" si="127"/>
        <v/>
      </c>
      <c r="N424" t="str">
        <f>IFERROR(VLOOKUP(I424,Товары_очищенные!$H$2:$J$502,3,0),"Нет в каталоге")</f>
        <v>Мониторы</v>
      </c>
      <c r="O424" s="4">
        <f>IFERROR(VLOOKUP(I424,Товары_очищенные!$H$2:$M$502,6,0),"")</f>
        <v>66990</v>
      </c>
      <c r="P424" t="str">
        <f t="shared" si="128"/>
        <v xml:space="preserve">Цена отличается от каталога</v>
      </c>
    </row>
    <row r="425">
      <c r="A425" s="3" t="s">
        <v>2883</v>
      </c>
      <c r="B425" s="3" t="s">
        <v>842</v>
      </c>
      <c r="C425" s="3" t="s">
        <v>1985</v>
      </c>
      <c r="D425" s="3" t="s">
        <v>2044</v>
      </c>
      <c r="E425" s="3" t="s">
        <v>2885</v>
      </c>
      <c r="F425" s="3" t="s">
        <v>1734</v>
      </c>
      <c r="G425" s="3" t="s">
        <v>1924</v>
      </c>
      <c r="H425" s="5">
        <f t="shared" si="124"/>
        <v>45883</v>
      </c>
      <c r="I425" t="str">
        <f t="shared" si="125"/>
        <v>АРТ-211</v>
      </c>
      <c r="J425" s="6">
        <f t="shared" si="126"/>
        <v>-3</v>
      </c>
      <c r="K425" s="4">
        <f>VALUE(SUBSTITUTE(SUBSTITUTE(SUBSTITUTE(SUBSTITUTE(D425,"$",""),"€",""),"₽","")," ",""))*IF(ISNUMBER(FIND("$",D425)),Справочники!$H$3,IF(ISNUMBER(FIND("€",D425)),Справочники!$H$4,1))</f>
        <v>11400</v>
      </c>
      <c r="L425" t="str">
        <f>IFERROR(VLOOKUP(TRIM(G425),Справочники!$D$3:$E$13,2,0),"Нет в справочнике")</f>
        <v>Отменен</v>
      </c>
      <c r="M425" t="str">
        <f t="shared" si="127"/>
        <v/>
      </c>
      <c r="N425" t="str">
        <f>IFERROR(VLOOKUP(I425,Товары_очищенные!$H$2:$J$502,3,0),"Нет в каталоге")</f>
        <v>Смартфоны</v>
      </c>
      <c r="O425" s="4">
        <f>IFERROR(VLOOKUP(I425,Товары_очищенные!$H$2:$M$502,6,0),"")</f>
        <v>59990</v>
      </c>
      <c r="P425" t="str">
        <f t="shared" si="128"/>
        <v xml:space="preserve">Цена отличается от каталога</v>
      </c>
    </row>
    <row r="426">
      <c r="A426" s="3" t="s">
        <v>2886</v>
      </c>
      <c r="B426" s="3" t="s">
        <v>1265</v>
      </c>
      <c r="C426" s="3" t="s">
        <v>1900</v>
      </c>
      <c r="D426" s="3" t="s">
        <v>2046</v>
      </c>
      <c r="E426" s="3" t="s">
        <v>2887</v>
      </c>
      <c r="F426" s="3" t="s">
        <v>1649</v>
      </c>
      <c r="G426" s="3" t="s">
        <v>1918</v>
      </c>
      <c r="H426" s="5">
        <f t="shared" si="124"/>
        <v>45884</v>
      </c>
      <c r="I426" t="str">
        <f t="shared" si="125"/>
        <v>АРТ-371</v>
      </c>
      <c r="J426" s="6">
        <f t="shared" si="126"/>
        <v>2</v>
      </c>
      <c r="K426" s="4">
        <f>VALUE(SUBSTITUTE(SUBSTITUTE(SUBSTITUTE(SUBSTITUTE(D426,"$",""),"€",""),"₽","")," ",""))*IF(ISNUMBER(FIND("$",D426)),Справочники!$H$3,IF(ISNUMBER(FIND("€",D426)),Справочники!$H$4,1))</f>
        <v>10000</v>
      </c>
      <c r="L426" t="str">
        <f>IFERROR(VLOOKUP(TRIM(G426),Справочники!$D$3:$E$13,2,0),"Нет в справочнике")</f>
        <v>Отменен</v>
      </c>
      <c r="M426" t="str">
        <f t="shared" si="127"/>
        <v/>
      </c>
      <c r="N426" t="str">
        <f>IFERROR(VLOOKUP(I426,Товары_очищенные!$H$2:$J$502,3,0),"Нет в каталоге")</f>
        <v>Мониторы</v>
      </c>
      <c r="O426" s="4">
        <f>IFERROR(VLOOKUP(I426,Товары_очищенные!$H$2:$M$502,6,0),"")</f>
        <v>48000</v>
      </c>
      <c r="P426" t="str">
        <f t="shared" si="128"/>
        <v xml:space="preserve">Цена отличается от каталога</v>
      </c>
    </row>
    <row r="427">
      <c r="A427" s="3" t="s">
        <v>2886</v>
      </c>
      <c r="B427" s="3" t="s">
        <v>2888</v>
      </c>
      <c r="C427" s="3" t="s">
        <v>1905</v>
      </c>
      <c r="D427" s="3" t="s">
        <v>2087</v>
      </c>
      <c r="E427" s="3" t="s">
        <v>2889</v>
      </c>
      <c r="F427" s="3" t="s">
        <v>1784</v>
      </c>
      <c r="G427" s="3" t="s">
        <v>1927</v>
      </c>
      <c r="H427" s="5">
        <f t="shared" si="124"/>
        <v>45884</v>
      </c>
      <c r="I427" t="str">
        <f t="shared" si="125"/>
        <v>АРТ-254</v>
      </c>
      <c r="J427" s="6">
        <f t="shared" si="126"/>
        <v>1</v>
      </c>
      <c r="K427" s="4">
        <f>VALUE(SUBSTITUTE(SUBSTITUTE(SUBSTITUTE(SUBSTITUTE(D427,"$",""),"€",""),"₽","")," ",""))*IF(ISNUMBER(FIND("$",D427)),Справочники!$H$3,IF(ISNUMBER(FIND("€",D427)),Справочники!$H$4,1))</f>
        <v>9200</v>
      </c>
      <c r="L427" t="str">
        <f>IFERROR(VLOOKUP(TRIM(G427),Справочники!$D$3:$E$13,2,0),"Нет в справочнике")</f>
        <v>Возврат</v>
      </c>
      <c r="M427" t="str">
        <f t="shared" si="127"/>
        <v/>
      </c>
      <c r="N427" t="str">
        <f>IFERROR(VLOOKUP(I427,Товары_очищенные!$H$2:$J$502,3,0),"Нет в каталоге")</f>
        <v>Ноутбуки</v>
      </c>
      <c r="O427" s="4">
        <f>IFERROR(VLOOKUP(I427,Товары_очищенные!$H$2:$M$502,6,0),"")</f>
        <v>157000</v>
      </c>
      <c r="P427" t="str">
        <f t="shared" si="128"/>
        <v xml:space="preserve">Цена отличается от каталога</v>
      </c>
    </row>
    <row r="428">
      <c r="A428" s="3" t="s">
        <v>2890</v>
      </c>
      <c r="B428" s="3" t="s">
        <v>2891</v>
      </c>
      <c r="C428" s="3" t="s">
        <v>1930</v>
      </c>
      <c r="D428" s="3" t="s">
        <v>1986</v>
      </c>
      <c r="E428" s="3" t="s">
        <v>2892</v>
      </c>
      <c r="F428" s="3" t="s">
        <v>1844</v>
      </c>
      <c r="G428" s="3" t="s">
        <v>1903</v>
      </c>
      <c r="H428" s="5">
        <f t="shared" si="124"/>
        <v>45885</v>
      </c>
      <c r="I428" t="str">
        <f t="shared" si="125"/>
        <v>АРТ-104</v>
      </c>
      <c r="J428" s="6">
        <f t="shared" si="126"/>
        <v>3</v>
      </c>
      <c r="K428" s="4">
        <f>VALUE(SUBSTITUTE(SUBSTITUTE(SUBSTITUTE(SUBSTITUTE(D428,"$",""),"€",""),"₽","")," ",""))*IF(ISNUMBER(FIND("$",D428)),Справочники!$H$3,IF(ISNUMBER(FIND("€",D428)),Справочники!$H$4,1))</f>
        <v>8550</v>
      </c>
      <c r="L428" t="str">
        <f>IFERROR(VLOOKUP(TRIM(G428),Справочники!$D$3:$E$13,2,0),"Нет в справочнике")</f>
        <v>Завершен</v>
      </c>
      <c r="M428" t="str">
        <f t="shared" si="127"/>
        <v/>
      </c>
      <c r="N428" t="str">
        <f>IFERROR(VLOOKUP(I428,Товары_очищенные!$H$2:$J$502,3,0),"Нет в каталоге")</f>
        <v>Ноутбуки</v>
      </c>
      <c r="O428" s="4">
        <f>IFERROR(VLOOKUP(I428,Товары_очищенные!$H$2:$M$502,6,0),"")</f>
        <v>147000</v>
      </c>
      <c r="P428" t="str">
        <f t="shared" si="128"/>
        <v xml:space="preserve">Цена отличается от каталога</v>
      </c>
    </row>
    <row r="429">
      <c r="A429" s="3" t="s">
        <v>2890</v>
      </c>
      <c r="B429" s="3" t="s">
        <v>2893</v>
      </c>
      <c r="C429" s="3" t="s">
        <v>1900</v>
      </c>
      <c r="D429" s="3" t="s">
        <v>1989</v>
      </c>
      <c r="E429" s="3" t="s">
        <v>2894</v>
      </c>
      <c r="F429" s="3" t="s">
        <v>1566</v>
      </c>
      <c r="G429" s="3" t="s">
        <v>1908</v>
      </c>
      <c r="H429" s="5">
        <f t="shared" si="124"/>
        <v>45885</v>
      </c>
      <c r="I429" t="str">
        <f t="shared" si="125"/>
        <v>АРТ-442</v>
      </c>
      <c r="J429" s="6">
        <f t="shared" si="126"/>
        <v>2</v>
      </c>
      <c r="K429" s="4">
        <f>VALUE(SUBSTITUTE(SUBSTITUTE(SUBSTITUTE(SUBSTITUTE(D429,"$",""),"€",""),"₽","")," ",""))*IF(ISNUMBER(FIND("$",D429)),Справочники!$H$3,IF(ISNUMBER(FIND("€",D429)),Справочники!$H$4,1))</f>
        <v>7000</v>
      </c>
      <c r="L429" t="str">
        <f>IFERROR(VLOOKUP(TRIM(G429),Справочники!$D$3:$E$13,2,0),"Нет в справочнике")</f>
        <v>Завершен</v>
      </c>
      <c r="M429" t="str">
        <f t="shared" si="127"/>
        <v/>
      </c>
      <c r="N429" t="str">
        <f>IFERROR(VLOOKUP(I429,Товары_очищенные!$H$2:$J$502,3,0),"Нет в каталоге")</f>
        <v>Смартфоны</v>
      </c>
      <c r="O429" s="4">
        <f>IFERROR(VLOOKUP(I429,Товары_очищенные!$H$2:$M$502,6,0),"")</f>
        <v>24990</v>
      </c>
      <c r="P429" t="str">
        <f t="shared" si="128"/>
        <v xml:space="preserve">Цена отличается от каталога</v>
      </c>
    </row>
    <row r="430">
      <c r="A430" s="3" t="s">
        <v>2895</v>
      </c>
      <c r="B430" s="3" t="s">
        <v>2896</v>
      </c>
      <c r="C430" s="3" t="s">
        <v>1938</v>
      </c>
      <c r="D430" s="3" t="s">
        <v>1939</v>
      </c>
      <c r="E430" s="3" t="s">
        <v>2897</v>
      </c>
      <c r="F430" s="3" t="s">
        <v>1701</v>
      </c>
      <c r="G430" s="3" t="s">
        <v>1913</v>
      </c>
      <c r="H430" s="5">
        <f t="shared" si="124"/>
        <v>45886</v>
      </c>
      <c r="I430" t="str">
        <f t="shared" si="125"/>
        <v>АРТ-286</v>
      </c>
      <c r="J430" s="6">
        <f t="shared" si="126"/>
        <v>1</v>
      </c>
      <c r="K430" s="4">
        <f>VALUE(SUBSTITUTE(SUBSTITUTE(SUBSTITUTE(SUBSTITUTE(D430,"$",""),"€",""),"₽","")," ",""))*IF(ISNUMBER(FIND("$",D430)),Справочники!$H$3,IF(ISNUMBER(FIND("€",D430)),Справочники!$H$4,1))</f>
        <v>6500</v>
      </c>
      <c r="L430" t="str">
        <f>IFERROR(VLOOKUP(TRIM(G430),Справочники!$D$3:$E$13,2,0),"Нет в справочнике")</f>
        <v>Завершен</v>
      </c>
      <c r="M430" t="str">
        <f t="shared" si="127"/>
        <v/>
      </c>
      <c r="N430" t="str">
        <f>IFERROR(VLOOKUP(I430,Товары_очищенные!$H$2:$J$502,3,0),"Нет в каталоге")</f>
        <v>Аксессуары</v>
      </c>
      <c r="O430" s="4">
        <f>IFERROR(VLOOKUP(I430,Товары_очищенные!$H$2:$M$502,6,0),"")</f>
        <v>7490</v>
      </c>
      <c r="P430" t="str">
        <f t="shared" si="128"/>
        <v>ОК</v>
      </c>
    </row>
    <row r="431">
      <c r="A431" s="3" t="s">
        <v>2895</v>
      </c>
      <c r="B431" s="3" t="s">
        <v>2898</v>
      </c>
      <c r="C431" s="3" t="s">
        <v>1915</v>
      </c>
      <c r="D431" s="3" t="s">
        <v>1916</v>
      </c>
      <c r="E431" s="3" t="s">
        <v>2899</v>
      </c>
      <c r="F431" s="3" t="s">
        <v>1814</v>
      </c>
      <c r="G431" s="3" t="s">
        <v>1918</v>
      </c>
      <c r="H431" s="5">
        <f t="shared" si="124"/>
        <v>45886</v>
      </c>
      <c r="I431" t="str">
        <f t="shared" si="125"/>
        <v>АРТ-333</v>
      </c>
      <c r="J431" s="6">
        <f t="shared" si="126"/>
        <v>-1</v>
      </c>
      <c r="K431" s="4">
        <f>VALUE(SUBSTITUTE(SUBSTITUTE(SUBSTITUTE(SUBSTITUTE(D431,"$",""),"€",""),"₽","")," ",""))*IF(ISNUMBER(FIND("$",D431)),Справочники!$H$3,IF(ISNUMBER(FIND("€",D431)),Справочники!$H$4,1))</f>
        <v>10450</v>
      </c>
      <c r="L431" t="str">
        <f>IFERROR(VLOOKUP(TRIM(G431),Справочники!$D$3:$E$13,2,0),"Нет в справочнике")</f>
        <v>Отменен</v>
      </c>
      <c r="M431" t="str">
        <f t="shared" si="127"/>
        <v/>
      </c>
      <c r="N431" t="str">
        <f>IFERROR(VLOOKUP(I431,Товары_очищенные!$H$2:$J$502,3,0),"Нет в каталоге")</f>
        <v>Часы</v>
      </c>
      <c r="O431" s="4">
        <f>IFERROR(VLOOKUP(I431,Товары_очищенные!$H$2:$M$502,6,0),"")</f>
        <v>72000</v>
      </c>
      <c r="P431" t="str">
        <f t="shared" si="128"/>
        <v xml:space="preserve">Цена отличается от каталога</v>
      </c>
    </row>
    <row r="432">
      <c r="A432" s="3" t="s">
        <v>2900</v>
      </c>
      <c r="B432" s="3" t="s">
        <v>1239</v>
      </c>
      <c r="C432" s="3" t="s">
        <v>1930</v>
      </c>
      <c r="D432" s="3" t="s">
        <v>1922</v>
      </c>
      <c r="E432" s="3" t="s">
        <v>2901</v>
      </c>
      <c r="F432" s="3" t="s">
        <v>1880</v>
      </c>
      <c r="G432" s="3" t="s">
        <v>1924</v>
      </c>
      <c r="H432" s="5">
        <f t="shared" si="124"/>
        <v>45887</v>
      </c>
      <c r="I432" t="str">
        <f t="shared" si="125"/>
        <v>АРТ-359</v>
      </c>
      <c r="J432" s="6">
        <f t="shared" si="126"/>
        <v>3</v>
      </c>
      <c r="K432" s="4">
        <f>VALUE(SUBSTITUTE(SUBSTITUTE(SUBSTITUTE(SUBSTITUTE(D432,"$",""),"€",""),"₽","")," ",""))*IF(ISNUMBER(FIND("$",D432)),Справочники!$H$3,IF(ISNUMBER(FIND("€",D432)),Справочники!$H$4,1))</f>
        <v>9000</v>
      </c>
      <c r="L432" t="str">
        <f>IFERROR(VLOOKUP(TRIM(G432),Справочники!$D$3:$E$13,2,0),"Нет в справочнике")</f>
        <v>Отменен</v>
      </c>
      <c r="M432" t="str">
        <f t="shared" si="127"/>
        <v/>
      </c>
      <c r="N432" t="str">
        <f>IFERROR(VLOOKUP(I432,Товары_очищенные!$H$2:$J$502,3,0),"Нет в каталоге")</f>
        <v>Планшеты</v>
      </c>
      <c r="O432" s="4">
        <f>IFERROR(VLOOKUP(I432,Товары_очищенные!$H$2:$M$502,6,0),"")</f>
        <v>58000</v>
      </c>
      <c r="P432" t="str">
        <f t="shared" si="128"/>
        <v xml:space="preserve">Цена отличается от каталога</v>
      </c>
    </row>
    <row r="433">
      <c r="A433" s="3" t="s">
        <v>2900</v>
      </c>
      <c r="B433" s="3" t="s">
        <v>909</v>
      </c>
      <c r="C433" s="3" t="s">
        <v>1900</v>
      </c>
      <c r="D433" s="3" t="s">
        <v>1925</v>
      </c>
      <c r="E433" s="3" t="s">
        <v>2902</v>
      </c>
      <c r="F433" s="3" t="s">
        <v>1636</v>
      </c>
      <c r="G433" s="3" t="s">
        <v>1903</v>
      </c>
      <c r="H433" s="5">
        <f t="shared" si="124"/>
        <v>45887</v>
      </c>
      <c r="I433" t="str">
        <f t="shared" si="125"/>
        <v>АРТ-234</v>
      </c>
      <c r="J433" s="6">
        <f t="shared" si="126"/>
        <v>2</v>
      </c>
      <c r="K433" s="4">
        <f>VALUE(SUBSTITUTE(SUBSTITUTE(SUBSTITUTE(SUBSTITUTE(D433,"$",""),"€",""),"₽","")," ",""))*IF(ISNUMBER(FIND("$",D433)),Справочники!$H$3,IF(ISNUMBER(FIND("€",D433)),Справочники!$H$4,1))</f>
        <v>8000</v>
      </c>
      <c r="L433" t="str">
        <f>IFERROR(VLOOKUP(TRIM(G433),Справочники!$D$3:$E$13,2,0),"Нет в справочнике")</f>
        <v>Завершен</v>
      </c>
      <c r="M433" t="str">
        <f t="shared" si="127"/>
        <v/>
      </c>
      <c r="N433" t="str">
        <f>IFERROR(VLOOKUP(I433,Товары_очищенные!$H$2:$J$502,3,0),"Нет в каталоге")</f>
        <v>Смартфоны</v>
      </c>
      <c r="O433" s="4">
        <f>IFERROR(VLOOKUP(I433,Товары_очищенные!$H$2:$M$502,6,0),"")</f>
        <v>44500</v>
      </c>
      <c r="P433" t="str">
        <f t="shared" si="128"/>
        <v xml:space="preserve">Цена отличается от каталога</v>
      </c>
    </row>
    <row r="434">
      <c r="A434" s="3" t="s">
        <v>2903</v>
      </c>
      <c r="B434" s="3" t="s">
        <v>2573</v>
      </c>
      <c r="C434" s="3" t="s">
        <v>1905</v>
      </c>
      <c r="D434" s="3" t="s">
        <v>1964</v>
      </c>
      <c r="E434" s="3" t="s">
        <v>2904</v>
      </c>
      <c r="F434" s="3" t="s">
        <v>1740</v>
      </c>
      <c r="G434" s="3" t="s">
        <v>1927</v>
      </c>
      <c r="H434" s="5">
        <f t="shared" si="124"/>
        <v>45888</v>
      </c>
      <c r="I434" t="str">
        <f t="shared" si="125"/>
        <v>АРТ-062</v>
      </c>
      <c r="J434" s="6">
        <f t="shared" si="126"/>
        <v>1</v>
      </c>
      <c r="K434" s="4">
        <f>VALUE(SUBSTITUTE(SUBSTITUTE(SUBSTITUTE(SUBSTITUTE(D434,"$",""),"€",""),"₽","")," ",""))*IF(ISNUMBER(FIND("$",D434)),Справочники!$H$3,IF(ISNUMBER(FIND("€",D434)),Справочники!$H$4,1))</f>
        <v>9025</v>
      </c>
      <c r="L434" t="str">
        <f>IFERROR(VLOOKUP(TRIM(G434),Справочники!$D$3:$E$13,2,0),"Нет в справочнике")</f>
        <v>Возврат</v>
      </c>
      <c r="M434" t="str">
        <f t="shared" si="127"/>
        <v/>
      </c>
      <c r="N434" t="str">
        <f>IFERROR(VLOOKUP(I434,Товары_очищенные!$H$2:$J$502,3,0),"Нет в каталоге")</f>
        <v>Ноутбуки</v>
      </c>
      <c r="O434" s="4">
        <f>IFERROR(VLOOKUP(I434,Товары_очищенные!$H$2:$M$502,6,0),"")</f>
        <v>122500</v>
      </c>
      <c r="P434" t="str">
        <f t="shared" si="128"/>
        <v xml:space="preserve">Цена отличается от каталога</v>
      </c>
    </row>
    <row r="435">
      <c r="A435" s="3" t="s">
        <v>2903</v>
      </c>
      <c r="B435" s="3" t="s">
        <v>1484</v>
      </c>
      <c r="C435" s="3" t="s">
        <v>1900</v>
      </c>
      <c r="D435" s="3" t="s">
        <v>1968</v>
      </c>
      <c r="E435" s="3" t="s">
        <v>2905</v>
      </c>
      <c r="F435" s="3" t="s">
        <v>1682</v>
      </c>
      <c r="G435" s="3" t="s">
        <v>1908</v>
      </c>
      <c r="H435" s="5">
        <f t="shared" si="124"/>
        <v>45888</v>
      </c>
      <c r="I435" t="str">
        <f t="shared" si="125"/>
        <v>АРТ-470</v>
      </c>
      <c r="J435" s="6">
        <f t="shared" si="126"/>
        <v>2</v>
      </c>
      <c r="K435" s="4">
        <f>VALUE(SUBSTITUTE(SUBSTITUTE(SUBSTITUTE(SUBSTITUTE(D435,"$",""),"€",""),"₽","")," ",""))*IF(ISNUMBER(FIND("$",D435)),Справочники!$H$3,IF(ISNUMBER(FIND("€",D435)),Справочники!$H$4,1))</f>
        <v>7500</v>
      </c>
      <c r="L435" t="str">
        <f>IFERROR(VLOOKUP(TRIM(G435),Справочники!$D$3:$E$13,2,0),"Нет в справочнике")</f>
        <v>Завершен</v>
      </c>
      <c r="M435" t="str">
        <f t="shared" si="127"/>
        <v/>
      </c>
      <c r="N435" t="str">
        <f>IFERROR(VLOOKUP(I435,Товары_очищенные!$H$2:$J$502,3,0),"Нет в каталоге")</f>
        <v>Телевизоры</v>
      </c>
      <c r="O435" s="4">
        <f>IFERROR(VLOOKUP(I435,Товары_очищенные!$H$2:$M$502,6,0),"")</f>
        <v>56500</v>
      </c>
      <c r="P435" t="str">
        <f t="shared" si="128"/>
        <v xml:space="preserve">Цена отличается от каталога</v>
      </c>
    </row>
    <row r="436">
      <c r="A436" s="3" t="s">
        <v>2906</v>
      </c>
      <c r="B436" s="3" t="s">
        <v>2907</v>
      </c>
      <c r="C436" s="3" t="s">
        <v>1910</v>
      </c>
      <c r="D436" s="3" t="s">
        <v>1971</v>
      </c>
      <c r="E436" s="3" t="s">
        <v>2908</v>
      </c>
      <c r="F436" s="3" t="s">
        <v>1820</v>
      </c>
      <c r="G436" s="3" t="s">
        <v>1913</v>
      </c>
      <c r="H436" s="5">
        <f t="shared" si="124"/>
        <v>45889</v>
      </c>
      <c r="I436" t="str">
        <f t="shared" si="125"/>
        <v>АРТ-307</v>
      </c>
      <c r="J436" s="6">
        <f t="shared" si="126"/>
        <v>3</v>
      </c>
      <c r="K436" s="4">
        <f>VALUE(SUBSTITUTE(SUBSTITUTE(SUBSTITUTE(SUBSTITUTE(D436,"$",""),"€",""),"₽","")," ",""))*IF(ISNUMBER(FIND("$",D436)),Справочники!$H$3,IF(ISNUMBER(FIND("€",D436)),Справочники!$H$4,1))</f>
        <v>7000</v>
      </c>
      <c r="L436" t="str">
        <f>IFERROR(VLOOKUP(TRIM(G436),Справочники!$D$3:$E$13,2,0),"Нет в справочнике")</f>
        <v>Завершен</v>
      </c>
      <c r="M436" t="str">
        <f t="shared" si="127"/>
        <v/>
      </c>
      <c r="N436" t="str">
        <f>IFERROR(VLOOKUP(I436,Товары_очищенные!$H$2:$J$502,3,0),"Нет в каталоге")</f>
        <v>Аксессуары</v>
      </c>
      <c r="O436" s="4">
        <f>IFERROR(VLOOKUP(I436,Товары_очищенные!$H$2:$M$502,6,0),"")</f>
        <v>8990</v>
      </c>
      <c r="P436" t="str">
        <f t="shared" si="128"/>
        <v xml:space="preserve">Цена отличается от каталога</v>
      </c>
    </row>
    <row r="437">
      <c r="A437" s="3" t="s">
        <v>2906</v>
      </c>
      <c r="B437" s="3" t="s">
        <v>2909</v>
      </c>
      <c r="C437" s="3" t="s">
        <v>1942</v>
      </c>
      <c r="D437" s="3" t="s">
        <v>1943</v>
      </c>
      <c r="E437" s="3" t="s">
        <v>2910</v>
      </c>
      <c r="F437" s="3" t="s">
        <v>1580</v>
      </c>
      <c r="G437" s="3" t="s">
        <v>1903</v>
      </c>
      <c r="H437" s="5">
        <f t="shared" si="124"/>
        <v>45889</v>
      </c>
      <c r="I437" t="str">
        <f t="shared" si="125"/>
        <v>АРТ-201</v>
      </c>
      <c r="J437" s="6">
        <f t="shared" si="126"/>
        <v>-2</v>
      </c>
      <c r="K437" s="4">
        <f>VALUE(SUBSTITUTE(SUBSTITUTE(SUBSTITUTE(SUBSTITUTE(D437,"$",""),"€",""),"₽","")," ",""))*IF(ISNUMBER(FIND("$",D437)),Справочники!$H$3,IF(ISNUMBER(FIND("€",D437)),Справочники!$H$4,1))</f>
        <v>10925</v>
      </c>
      <c r="L437" t="str">
        <f>IFERROR(VLOOKUP(TRIM(G437),Справочники!$D$3:$E$13,2,0),"Нет в справочнике")</f>
        <v>Завершен</v>
      </c>
      <c r="M437" t="str">
        <f t="shared" si="127"/>
        <v/>
      </c>
      <c r="N437" t="str">
        <f>IFERROR(VLOOKUP(I437,Товары_очищенные!$H$2:$J$502,3,0),"Нет в каталоге")</f>
        <v>Телевизоры</v>
      </c>
      <c r="O437" s="4">
        <f>IFERROR(VLOOKUP(I437,Товары_очищенные!$H$2:$M$502,6,0),"")</f>
        <v>98500</v>
      </c>
      <c r="P437" t="str">
        <f t="shared" si="128"/>
        <v xml:space="preserve">Цена отличается от каталога</v>
      </c>
    </row>
    <row r="438">
      <c r="A438" s="3" t="s">
        <v>2911</v>
      </c>
      <c r="B438" s="3" t="s">
        <v>1246</v>
      </c>
      <c r="C438" s="3" t="s">
        <v>1905</v>
      </c>
      <c r="D438" s="3" t="s">
        <v>1934</v>
      </c>
      <c r="E438" s="3" t="s">
        <v>2912</v>
      </c>
      <c r="F438" s="3" t="s">
        <v>1727</v>
      </c>
      <c r="G438" s="3" t="s">
        <v>1924</v>
      </c>
      <c r="H438" s="5">
        <f t="shared" si="124"/>
        <v>45890</v>
      </c>
      <c r="I438" t="str">
        <f t="shared" si="125"/>
        <v>АРТ-362</v>
      </c>
      <c r="J438" s="6">
        <f t="shared" si="126"/>
        <v>1</v>
      </c>
      <c r="K438" s="4">
        <f>VALUE(SUBSTITUTE(SUBSTITUTE(SUBSTITUTE(SUBSTITUTE(D438,"$",""),"€",""),"₽","")," ",""))*IF(ISNUMBER(FIND("$",D438)),Справочники!$H$3,IF(ISNUMBER(FIND("€",D438)),Справочники!$H$4,1))</f>
        <v>9500</v>
      </c>
      <c r="L438" t="str">
        <f>IFERROR(VLOOKUP(TRIM(G438),Справочники!$D$3:$E$13,2,0),"Нет в справочнике")</f>
        <v>Отменен</v>
      </c>
      <c r="M438" t="str">
        <f t="shared" si="127"/>
        <v/>
      </c>
      <c r="N438" t="str">
        <f>IFERROR(VLOOKUP(I438,Товары_очищенные!$H$2:$J$502,3,0),"Нет в каталоге")</f>
        <v>Ноутбуки</v>
      </c>
      <c r="O438" s="4">
        <f>IFERROR(VLOOKUP(I438,Товары_очищенные!$H$2:$M$502,6,0),"")</f>
        <v>142500</v>
      </c>
      <c r="P438" t="str">
        <f t="shared" si="128"/>
        <v xml:space="preserve">Цена отличается от каталога</v>
      </c>
    </row>
    <row r="439">
      <c r="A439" s="3" t="s">
        <v>2911</v>
      </c>
      <c r="B439" s="3" t="s">
        <v>2913</v>
      </c>
      <c r="C439" s="3" t="s">
        <v>1900</v>
      </c>
      <c r="D439" s="3" t="s">
        <v>1951</v>
      </c>
      <c r="E439" s="3" t="s">
        <v>2914</v>
      </c>
      <c r="F439" s="3" t="s">
        <v>1629</v>
      </c>
      <c r="G439" s="3" t="s">
        <v>1918</v>
      </c>
      <c r="H439" s="5">
        <f t="shared" si="124"/>
        <v>45890</v>
      </c>
      <c r="I439" t="str">
        <f t="shared" si="125"/>
        <v>АРТ-041</v>
      </c>
      <c r="J439" s="6">
        <f t="shared" si="126"/>
        <v>2</v>
      </c>
      <c r="K439" s="4">
        <f>VALUE(SUBSTITUTE(SUBSTITUTE(SUBSTITUTE(SUBSTITUTE(D439,"$",""),"€",""),"₽","")," ",""))*IF(ISNUMBER(FIND("$",D439)),Справочники!$H$3,IF(ISNUMBER(FIND("€",D439)),Справочники!$H$4,1))</f>
        <v>8500</v>
      </c>
      <c r="L439" t="str">
        <f>IFERROR(VLOOKUP(TRIM(G439),Справочники!$D$3:$E$13,2,0),"Нет в справочнике")</f>
        <v>Отменен</v>
      </c>
      <c r="M439" t="str">
        <f t="shared" si="127"/>
        <v/>
      </c>
      <c r="N439" t="str">
        <f>IFERROR(VLOOKUP(I439,Товары_очищенные!$H$2:$J$502,3,0),"Нет в каталоге")</f>
        <v>Ноутбуки</v>
      </c>
      <c r="O439" s="4">
        <f>IFERROR(VLOOKUP(I439,Товары_очищенные!$H$2:$M$502,6,0),"")</f>
        <v>140500</v>
      </c>
      <c r="P439" t="str">
        <f t="shared" si="128"/>
        <v xml:space="preserve">Цена отличается от каталога</v>
      </c>
    </row>
    <row r="440">
      <c r="A440" s="3" t="s">
        <v>2915</v>
      </c>
      <c r="B440" s="3" t="s">
        <v>716</v>
      </c>
      <c r="C440" s="3" t="s">
        <v>1930</v>
      </c>
      <c r="D440" s="3" t="s">
        <v>1931</v>
      </c>
      <c r="E440" s="3" t="s">
        <v>2916</v>
      </c>
      <c r="F440" s="3" t="s">
        <v>1778</v>
      </c>
      <c r="G440" s="3" t="s">
        <v>1927</v>
      </c>
      <c r="H440" s="5">
        <f t="shared" si="124"/>
        <v>45891</v>
      </c>
      <c r="I440" t="str">
        <f t="shared" si="125"/>
        <v>АРТ-172</v>
      </c>
      <c r="J440" s="6">
        <f t="shared" si="126"/>
        <v>3</v>
      </c>
      <c r="K440" s="4">
        <f>VALUE(SUBSTITUTE(SUBSTITUTE(SUBSTITUTE(SUBSTITUTE(D440,"$",""),"€",""),"₽","")," ",""))*IF(ISNUMBER(FIND("$",D440)),Справочники!$H$3,IF(ISNUMBER(FIND("€",D440)),Справочники!$H$4,1))</f>
        <v>9975</v>
      </c>
      <c r="L440" t="str">
        <f>IFERROR(VLOOKUP(TRIM(G440),Справочники!$D$3:$E$13,2,0),"Нет в справочнике")</f>
        <v>Возврат</v>
      </c>
      <c r="M440" t="str">
        <f t="shared" si="127"/>
        <v/>
      </c>
      <c r="N440" t="str">
        <f>IFERROR(VLOOKUP(I440,Товары_очищенные!$H$2:$J$502,3,0),"Нет в каталоге")</f>
        <v>Ноутбуки</v>
      </c>
      <c r="O440" s="4">
        <f>IFERROR(VLOOKUP(I440,Товары_очищенные!$H$2:$M$502,6,0),"")</f>
        <v>104990</v>
      </c>
      <c r="P440" t="str">
        <f t="shared" si="128"/>
        <v xml:space="preserve">Цена отличается от каталога</v>
      </c>
    </row>
    <row r="441">
      <c r="A441" s="3" t="s">
        <v>2915</v>
      </c>
      <c r="B441" s="3" t="s">
        <v>2537</v>
      </c>
      <c r="C441" s="3" t="s">
        <v>1900</v>
      </c>
      <c r="D441" s="3" t="s">
        <v>1906</v>
      </c>
      <c r="E441" s="3" t="s">
        <v>2917</v>
      </c>
      <c r="F441" s="3" t="s">
        <v>1862</v>
      </c>
      <c r="G441" s="3" t="s">
        <v>1903</v>
      </c>
      <c r="H441" s="5">
        <f t="shared" si="124"/>
        <v>45891</v>
      </c>
      <c r="I441" t="str">
        <f t="shared" si="125"/>
        <v>АРТ-451</v>
      </c>
      <c r="J441" s="6">
        <f t="shared" si="126"/>
        <v>2</v>
      </c>
      <c r="K441" s="4">
        <f>VALUE(SUBSTITUTE(SUBSTITUTE(SUBSTITUTE(SUBSTITUTE(D441,"$",""),"€",""),"₽","")," ",""))*IF(ISNUMBER(FIND("$",D441)),Справочники!$H$3,IF(ISNUMBER(FIND("€",D441)),Справочники!$H$4,1))</f>
        <v>8500</v>
      </c>
      <c r="L441" t="str">
        <f>IFERROR(VLOOKUP(TRIM(G441),Справочники!$D$3:$E$13,2,0),"Нет в справочнике")</f>
        <v>Завершен</v>
      </c>
      <c r="M441" t="str">
        <f t="shared" si="127"/>
        <v/>
      </c>
      <c r="N441" t="str">
        <f>IFERROR(VLOOKUP(I441,Товары_очищенные!$H$2:$J$502,3,0),"Нет в каталоге")</f>
        <v>Наушники</v>
      </c>
      <c r="O441" s="4">
        <f>IFERROR(VLOOKUP(I441,Товары_очищенные!$H$2:$M$502,6,0),"")</f>
        <v>39990</v>
      </c>
      <c r="P441" t="str">
        <f t="shared" si="128"/>
        <v xml:space="preserve">Цена отличается от каталога</v>
      </c>
    </row>
    <row r="442">
      <c r="A442" s="3" t="s">
        <v>2918</v>
      </c>
      <c r="B442" s="3" t="s">
        <v>1073</v>
      </c>
      <c r="C442" s="3" t="s">
        <v>1938</v>
      </c>
      <c r="D442" s="3" t="s">
        <v>2166</v>
      </c>
      <c r="E442" s="3" t="s">
        <v>2919</v>
      </c>
      <c r="F442" s="3" t="s">
        <v>1695</v>
      </c>
      <c r="G442" s="3" t="s">
        <v>1908</v>
      </c>
      <c r="H442" s="5">
        <f t="shared" si="124"/>
        <v>45892</v>
      </c>
      <c r="I442" t="str">
        <f t="shared" si="125"/>
        <v>АРТ-291</v>
      </c>
      <c r="J442" s="6">
        <f t="shared" si="126"/>
        <v>1</v>
      </c>
      <c r="K442" s="4">
        <f>VALUE(SUBSTITUTE(SUBSTITUTE(SUBSTITUTE(SUBSTITUTE(D442,"$",""),"€",""),"₽","")," ",""))*IF(ISNUMBER(FIND("$",D442)),Справочники!$H$3,IF(ISNUMBER(FIND("€",D442)),Справочники!$H$4,1))</f>
        <v>7800</v>
      </c>
      <c r="L442" t="str">
        <f>IFERROR(VLOOKUP(TRIM(G442),Справочники!$D$3:$E$13,2,0),"Нет в справочнике")</f>
        <v>Завершен</v>
      </c>
      <c r="M442" t="str">
        <f t="shared" si="127"/>
        <v/>
      </c>
      <c r="N442" t="str">
        <f>IFERROR(VLOOKUP(I442,Товары_очищенные!$H$2:$J$502,3,0),"Нет в каталоге")</f>
        <v>Часы</v>
      </c>
      <c r="O442" s="4">
        <f>IFERROR(VLOOKUP(I442,Товары_очищенные!$H$2:$M$502,6,0),"")</f>
        <v>65000</v>
      </c>
      <c r="P442" t="str">
        <f t="shared" si="128"/>
        <v xml:space="preserve">Цена отличается от каталога</v>
      </c>
    </row>
    <row r="443">
      <c r="A443" s="3" t="s">
        <v>2918</v>
      </c>
      <c r="B443" s="3" t="s">
        <v>1350</v>
      </c>
      <c r="C443" s="3" t="s">
        <v>1985</v>
      </c>
      <c r="D443" s="3" t="s">
        <v>2044</v>
      </c>
      <c r="E443" s="3" t="s">
        <v>2920</v>
      </c>
      <c r="F443" s="3" t="s">
        <v>1573</v>
      </c>
      <c r="G443" s="3" t="s">
        <v>1913</v>
      </c>
      <c r="H443" s="5">
        <f t="shared" si="124"/>
        <v>45892</v>
      </c>
      <c r="I443" t="str">
        <f t="shared" si="125"/>
        <v>АРТ-409</v>
      </c>
      <c r="J443" s="6">
        <f t="shared" si="126"/>
        <v>-3</v>
      </c>
      <c r="K443" s="4">
        <f>VALUE(SUBSTITUTE(SUBSTITUTE(SUBSTITUTE(SUBSTITUTE(D443,"$",""),"€",""),"₽","")," ",""))*IF(ISNUMBER(FIND("$",D443)),Справочники!$H$3,IF(ISNUMBER(FIND("€",D443)),Справочники!$H$4,1))</f>
        <v>11400</v>
      </c>
      <c r="L443" t="str">
        <f>IFERROR(VLOOKUP(TRIM(G443),Справочники!$D$3:$E$13,2,0),"Нет в справочнике")</f>
        <v>Завершен</v>
      </c>
      <c r="M443" t="str">
        <f t="shared" si="127"/>
        <v/>
      </c>
      <c r="N443" t="str">
        <f>IFERROR(VLOOKUP(I443,Товары_очищенные!$H$2:$J$502,3,0),"Нет в каталоге")</f>
        <v>Наушники</v>
      </c>
      <c r="O443" s="4">
        <f>IFERROR(VLOOKUP(I443,Товары_очищенные!$H$2:$M$502,6,0),"")</f>
        <v>39990</v>
      </c>
      <c r="P443" t="str">
        <f t="shared" si="128"/>
        <v xml:space="preserve">Цена отличается от каталога</v>
      </c>
    </row>
    <row r="444">
      <c r="A444" s="3" t="s">
        <v>2921</v>
      </c>
      <c r="B444" s="3" t="s">
        <v>2922</v>
      </c>
      <c r="C444" s="3" t="s">
        <v>1900</v>
      </c>
      <c r="D444" s="3" t="s">
        <v>2046</v>
      </c>
      <c r="E444" s="3" t="s">
        <v>2923</v>
      </c>
      <c r="F444" s="3" t="s">
        <v>1808</v>
      </c>
      <c r="G444" s="3" t="s">
        <v>1918</v>
      </c>
      <c r="H444" s="5">
        <f t="shared" si="124"/>
        <v>45893</v>
      </c>
      <c r="I444" t="str">
        <f t="shared" si="125"/>
        <v>АРТ-327</v>
      </c>
      <c r="J444" s="6">
        <f t="shared" si="126"/>
        <v>2</v>
      </c>
      <c r="K444" s="4">
        <f>VALUE(SUBSTITUTE(SUBSTITUTE(SUBSTITUTE(SUBSTITUTE(D444,"$",""),"€",""),"₽","")," ",""))*IF(ISNUMBER(FIND("$",D444)),Справочники!$H$3,IF(ISNUMBER(FIND("€",D444)),Справочники!$H$4,1))</f>
        <v>10000</v>
      </c>
      <c r="L444" t="str">
        <f>IFERROR(VLOOKUP(TRIM(G444),Справочники!$D$3:$E$13,2,0),"Нет в справочнике")</f>
        <v>Отменен</v>
      </c>
      <c r="M444" t="str">
        <f t="shared" si="127"/>
        <v/>
      </c>
      <c r="N444" t="str">
        <f>IFERROR(VLOOKUP(I444,Товары_очищенные!$H$2:$J$502,3,0),"Нет в каталоге")</f>
        <v>Мониторы</v>
      </c>
      <c r="O444" s="4">
        <f>IFERROR(VLOOKUP(I444,Товары_очищенные!$H$2:$M$502,6,0),"")</f>
        <v>69000</v>
      </c>
      <c r="P444" t="str">
        <f t="shared" si="128"/>
        <v xml:space="preserve">Цена отличается от каталога</v>
      </c>
    </row>
    <row r="445">
      <c r="A445" s="3" t="s">
        <v>2921</v>
      </c>
      <c r="B445" s="3" t="s">
        <v>2924</v>
      </c>
      <c r="C445" s="3" t="s">
        <v>1905</v>
      </c>
      <c r="D445" s="3" t="s">
        <v>2087</v>
      </c>
      <c r="E445" s="3" t="s">
        <v>2925</v>
      </c>
      <c r="F445" s="3" t="s">
        <v>1670</v>
      </c>
      <c r="G445" s="3" t="s">
        <v>1924</v>
      </c>
      <c r="H445" s="5">
        <f t="shared" si="124"/>
        <v>45893</v>
      </c>
      <c r="I445" t="str">
        <f t="shared" si="125"/>
        <v>АРТ-153</v>
      </c>
      <c r="J445" s="6">
        <f t="shared" si="126"/>
        <v>1</v>
      </c>
      <c r="K445" s="4">
        <f>VALUE(SUBSTITUTE(SUBSTITUTE(SUBSTITUTE(SUBSTITUTE(D445,"$",""),"€",""),"₽","")," ",""))*IF(ISNUMBER(FIND("$",D445)),Справочники!$H$3,IF(ISNUMBER(FIND("€",D445)),Справочники!$H$4,1))</f>
        <v>9200</v>
      </c>
      <c r="L445" t="str">
        <f>IFERROR(VLOOKUP(TRIM(G445),Справочники!$D$3:$E$13,2,0),"Нет в справочнике")</f>
        <v>Отменен</v>
      </c>
      <c r="M445" t="str">
        <f t="shared" si="127"/>
        <v/>
      </c>
      <c r="N445" t="str">
        <f>IFERROR(VLOOKUP(I445,Товары_очищенные!$H$2:$J$502,3,0),"Нет в каталоге")</f>
        <v>Телевизоры</v>
      </c>
      <c r="O445" s="4">
        <f>IFERROR(VLOOKUP(I445,Товары_очищенные!$H$2:$M$502,6,0),"")</f>
        <v>158000</v>
      </c>
      <c r="P445" t="str">
        <f t="shared" si="128"/>
        <v xml:space="preserve">Цена отличается от каталога</v>
      </c>
    </row>
    <row r="446">
      <c r="A446" s="3" t="s">
        <v>2926</v>
      </c>
      <c r="B446" s="3" t="s">
        <v>2126</v>
      </c>
      <c r="C446" s="3" t="s">
        <v>1930</v>
      </c>
      <c r="D446" s="3" t="s">
        <v>1986</v>
      </c>
      <c r="E446" s="3" t="s">
        <v>2927</v>
      </c>
      <c r="F446" s="3" t="s">
        <v>1752</v>
      </c>
      <c r="G446" s="3" t="s">
        <v>1903</v>
      </c>
      <c r="H446" s="5">
        <f t="shared" si="124"/>
        <v>45894</v>
      </c>
      <c r="I446" t="str">
        <f t="shared" si="125"/>
        <v>АРТ-132</v>
      </c>
      <c r="J446" s="6">
        <f t="shared" si="126"/>
        <v>3</v>
      </c>
      <c r="K446" s="4">
        <f>VALUE(SUBSTITUTE(SUBSTITUTE(SUBSTITUTE(SUBSTITUTE(D446,"$",""),"€",""),"₽","")," ",""))*IF(ISNUMBER(FIND("$",D446)),Справочники!$H$3,IF(ISNUMBER(FIND("€",D446)),Справочники!$H$4,1))</f>
        <v>8550</v>
      </c>
      <c r="L446" t="str">
        <f>IFERROR(VLOOKUP(TRIM(G446),Справочники!$D$3:$E$13,2,0),"Нет в справочнике")</f>
        <v>Завершен</v>
      </c>
      <c r="M446" t="str">
        <f t="shared" si="127"/>
        <v/>
      </c>
      <c r="N446" t="str">
        <f>IFERROR(VLOOKUP(I446,Товары_очищенные!$H$2:$J$502,3,0),"Нет в каталоге")</f>
        <v>Планшеты</v>
      </c>
      <c r="O446" s="4">
        <f>IFERROR(VLOOKUP(I446,Товары_очищенные!$H$2:$M$502,6,0),"")</f>
        <v>44500</v>
      </c>
      <c r="P446" t="str">
        <f t="shared" si="128"/>
        <v xml:space="preserve">Цена отличается от каталога</v>
      </c>
    </row>
    <row r="447">
      <c r="A447" s="3" t="s">
        <v>2926</v>
      </c>
      <c r="B447" s="3" t="s">
        <v>1453</v>
      </c>
      <c r="C447" s="3" t="s">
        <v>1900</v>
      </c>
      <c r="D447" s="3" t="s">
        <v>1989</v>
      </c>
      <c r="E447" s="3" t="s">
        <v>2928</v>
      </c>
      <c r="F447" s="3" t="s">
        <v>1790</v>
      </c>
      <c r="G447" s="3" t="s">
        <v>1927</v>
      </c>
      <c r="H447" s="5">
        <f t="shared" si="124"/>
        <v>45894</v>
      </c>
      <c r="I447" t="str">
        <f t="shared" si="125"/>
        <v>АРТ-455</v>
      </c>
      <c r="J447" s="6">
        <f t="shared" si="126"/>
        <v>2</v>
      </c>
      <c r="K447" s="4">
        <f>VALUE(SUBSTITUTE(SUBSTITUTE(SUBSTITUTE(SUBSTITUTE(D447,"$",""),"€",""),"₽","")," ",""))*IF(ISNUMBER(FIND("$",D447)),Справочники!$H$3,IF(ISNUMBER(FIND("€",D447)),Справочники!$H$4,1))</f>
        <v>7000</v>
      </c>
      <c r="L447" t="str">
        <f>IFERROR(VLOOKUP(TRIM(G447),Справочники!$D$3:$E$13,2,0),"Нет в справочнике")</f>
        <v>Возврат</v>
      </c>
      <c r="M447" t="str">
        <f t="shared" si="127"/>
        <v/>
      </c>
      <c r="N447" t="str">
        <f>IFERROR(VLOOKUP(I447,Товары_очищенные!$H$2:$J$502,3,0),"Нет в каталоге")</f>
        <v>Мониторы</v>
      </c>
      <c r="O447" s="4">
        <f>IFERROR(VLOOKUP(I447,Товары_очищенные!$H$2:$M$502,6,0),"")</f>
        <v>72000</v>
      </c>
      <c r="P447" t="str">
        <f t="shared" si="128"/>
        <v xml:space="preserve">Цена отличается от каталога</v>
      </c>
    </row>
    <row r="448">
      <c r="A448" s="3" t="s">
        <v>2929</v>
      </c>
      <c r="B448" s="3" t="s">
        <v>1152</v>
      </c>
      <c r="C448" s="3" t="s">
        <v>1938</v>
      </c>
      <c r="D448" s="3" t="s">
        <v>1939</v>
      </c>
      <c r="E448" s="3" t="s">
        <v>2930</v>
      </c>
      <c r="F448" s="3" t="s">
        <v>1856</v>
      </c>
      <c r="G448" s="3" t="s">
        <v>1908</v>
      </c>
      <c r="H448" s="5">
        <f t="shared" si="124"/>
        <v>45895</v>
      </c>
      <c r="I448" t="str">
        <f t="shared" si="125"/>
        <v>АРТ-321</v>
      </c>
      <c r="J448" s="6">
        <f t="shared" si="126"/>
        <v>1</v>
      </c>
      <c r="K448" s="4">
        <f>VALUE(SUBSTITUTE(SUBSTITUTE(SUBSTITUTE(SUBSTITUTE(D448,"$",""),"€",""),"₽","")," ",""))*IF(ISNUMBER(FIND("$",D448)),Справочники!$H$3,IF(ISNUMBER(FIND("€",D448)),Справочники!$H$4,1))</f>
        <v>6500</v>
      </c>
      <c r="L448" t="str">
        <f>IFERROR(VLOOKUP(TRIM(G448),Справочники!$D$3:$E$13,2,0),"Нет в справочнике")</f>
        <v>Завершен</v>
      </c>
      <c r="M448" t="str">
        <f t="shared" si="127"/>
        <v/>
      </c>
      <c r="N448" t="str">
        <f>IFERROR(VLOOKUP(I448,Товары_очищенные!$H$2:$J$502,3,0),"Нет в каталоге")</f>
        <v>Телевизоры</v>
      </c>
      <c r="O448" s="4">
        <f>IFERROR(VLOOKUP(I448,Товары_очищенные!$H$2:$M$502,6,0),"")</f>
        <v>188000</v>
      </c>
      <c r="P448" t="str">
        <f t="shared" si="128"/>
        <v xml:space="preserve">Цена отличается от каталога</v>
      </c>
    </row>
    <row r="449">
      <c r="A449" s="3" t="s">
        <v>2929</v>
      </c>
      <c r="B449" s="3" t="s">
        <v>2860</v>
      </c>
      <c r="C449" s="3" t="s">
        <v>1915</v>
      </c>
      <c r="D449" s="3" t="s">
        <v>1916</v>
      </c>
      <c r="E449" s="3" t="s">
        <v>2931</v>
      </c>
      <c r="F449" s="3" t="s">
        <v>1708</v>
      </c>
      <c r="G449" s="3" t="s">
        <v>1913</v>
      </c>
      <c r="H449" s="5">
        <f t="shared" si="124"/>
        <v>45895</v>
      </c>
      <c r="I449" t="str">
        <f t="shared" si="125"/>
        <v>АРТ-408</v>
      </c>
      <c r="J449" s="6">
        <f t="shared" si="126"/>
        <v>-1</v>
      </c>
      <c r="K449" s="4">
        <f>VALUE(SUBSTITUTE(SUBSTITUTE(SUBSTITUTE(SUBSTITUTE(D449,"$",""),"€",""),"₽","")," ",""))*IF(ISNUMBER(FIND("$",D449)),Справочники!$H$3,IF(ISNUMBER(FIND("€",D449)),Справочники!$H$4,1))</f>
        <v>10450</v>
      </c>
      <c r="L449" t="str">
        <f>IFERROR(VLOOKUP(TRIM(G449),Справочники!$D$3:$E$13,2,0),"Нет в справочнике")</f>
        <v>Завершен</v>
      </c>
      <c r="M449" t="str">
        <f t="shared" si="127"/>
        <v/>
      </c>
      <c r="N449" t="str">
        <f>IFERROR(VLOOKUP(I449,Товары_очищенные!$H$2:$J$502,3,0),"Нет в каталоге")</f>
        <v>Телевизоры</v>
      </c>
      <c r="O449" s="4">
        <f>IFERROR(VLOOKUP(I449,Товары_очищенные!$H$2:$M$502,6,0),"")</f>
        <v>107500</v>
      </c>
      <c r="P449" t="str">
        <f t="shared" si="128"/>
        <v xml:space="preserve">Цена отличается от каталога</v>
      </c>
    </row>
    <row r="450">
      <c r="A450" s="3" t="s">
        <v>2932</v>
      </c>
      <c r="B450" s="3" t="s">
        <v>1078</v>
      </c>
      <c r="C450" s="3" t="s">
        <v>1930</v>
      </c>
      <c r="D450" s="3" t="s">
        <v>1922</v>
      </c>
      <c r="E450" s="3" t="s">
        <v>2933</v>
      </c>
      <c r="F450" s="3" t="s">
        <v>1838</v>
      </c>
      <c r="G450" s="3" t="s">
        <v>1903</v>
      </c>
      <c r="H450" s="5">
        <f t="shared" si="124"/>
        <v>45896</v>
      </c>
      <c r="I450" t="str">
        <f t="shared" si="125"/>
        <v>АРТ-293</v>
      </c>
      <c r="J450" s="6">
        <f t="shared" si="126"/>
        <v>3</v>
      </c>
      <c r="K450" s="4">
        <f>VALUE(SUBSTITUTE(SUBSTITUTE(SUBSTITUTE(SUBSTITUTE(D450,"$",""),"€",""),"₽","")," ",""))*IF(ISNUMBER(FIND("$",D450)),Справочники!$H$3,IF(ISNUMBER(FIND("€",D450)),Справочники!$H$4,1))</f>
        <v>9000</v>
      </c>
      <c r="L450" t="str">
        <f>IFERROR(VLOOKUP(TRIM(G450),Справочники!$D$3:$E$13,2,0),"Нет в справочнике")</f>
        <v>Завершен</v>
      </c>
      <c r="M450" t="str">
        <f t="shared" si="127"/>
        <v/>
      </c>
      <c r="N450" t="str">
        <f>IFERROR(VLOOKUP(I450,Товары_очищенные!$H$2:$J$502,3,0),"Нет в каталоге")</f>
        <v>Ноутбуки</v>
      </c>
      <c r="O450" s="4">
        <f>IFERROR(VLOOKUP(I450,Товары_очищенные!$H$2:$M$502,6,0),"")</f>
        <v>132000</v>
      </c>
      <c r="P450" t="str">
        <f t="shared" si="128"/>
        <v xml:space="preserve">Цена отличается от каталога</v>
      </c>
    </row>
    <row r="451">
      <c r="A451" s="3" t="s">
        <v>2932</v>
      </c>
      <c r="B451" s="3" t="s">
        <v>2934</v>
      </c>
      <c r="C451" s="3" t="s">
        <v>1900</v>
      </c>
      <c r="D451" s="3" t="s">
        <v>1925</v>
      </c>
      <c r="E451" s="3" t="s">
        <v>2935</v>
      </c>
      <c r="F451" s="3" t="s">
        <v>1759</v>
      </c>
      <c r="G451" s="3" t="s">
        <v>1924</v>
      </c>
      <c r="H451" s="5">
        <f t="shared" si="124"/>
        <v>45896</v>
      </c>
      <c r="I451" t="str">
        <f t="shared" si="125"/>
        <v>АРТ-265</v>
      </c>
      <c r="J451" s="6">
        <f t="shared" si="126"/>
        <v>2</v>
      </c>
      <c r="K451" s="4">
        <f>VALUE(SUBSTITUTE(SUBSTITUTE(SUBSTITUTE(SUBSTITUTE(D451,"$",""),"€",""),"₽","")," ",""))*IF(ISNUMBER(FIND("$",D451)),Справочники!$H$3,IF(ISNUMBER(FIND("€",D451)),Справочники!$H$4,1))</f>
        <v>8000</v>
      </c>
      <c r="L451" t="str">
        <f>IFERROR(VLOOKUP(TRIM(G451),Справочники!$D$3:$E$13,2,0),"Нет в справочнике")</f>
        <v>Отменен</v>
      </c>
      <c r="M451" t="str">
        <f t="shared" si="127"/>
        <v/>
      </c>
      <c r="N451" t="str">
        <f>IFERROR(VLOOKUP(I451,Товары_очищенные!$H$2:$J$502,3,0),"Нет в каталоге")</f>
        <v>Мониторы</v>
      </c>
      <c r="O451" s="4">
        <f>IFERROR(VLOOKUP(I451,Товары_очищенные!$H$2:$M$502,6,0),"")</f>
        <v>67990</v>
      </c>
      <c r="P451" t="str">
        <f t="shared" si="128"/>
        <v xml:space="preserve">Цена отличается от каталога</v>
      </c>
    </row>
    <row r="452">
      <c r="A452" s="3" t="s">
        <v>2936</v>
      </c>
      <c r="B452" s="3" t="s">
        <v>308</v>
      </c>
      <c r="C452" s="3" t="s">
        <v>1905</v>
      </c>
      <c r="D452" s="3" t="s">
        <v>1964</v>
      </c>
      <c r="E452" s="3" t="s">
        <v>2937</v>
      </c>
      <c r="F452" s="3" t="s">
        <v>1642</v>
      </c>
      <c r="G452" s="3" t="s">
        <v>1918</v>
      </c>
      <c r="H452" s="5">
        <f t="shared" si="124"/>
        <v>45897</v>
      </c>
      <c r="I452" t="str">
        <f t="shared" si="125"/>
        <v>АРТ-064</v>
      </c>
      <c r="J452" s="6">
        <f t="shared" si="126"/>
        <v>1</v>
      </c>
      <c r="K452" s="4">
        <f>VALUE(SUBSTITUTE(SUBSTITUTE(SUBSTITUTE(SUBSTITUTE(D452,"$",""),"€",""),"₽","")," ",""))*IF(ISNUMBER(FIND("$",D452)),Справочники!$H$3,IF(ISNUMBER(FIND("€",D452)),Справочники!$H$4,1))</f>
        <v>9025</v>
      </c>
      <c r="L452" t="str">
        <f>IFERROR(VLOOKUP(TRIM(G452),Справочники!$D$3:$E$13,2,0),"Нет в справочнике")</f>
        <v>Отменен</v>
      </c>
      <c r="M452" t="str">
        <f t="shared" si="127"/>
        <v/>
      </c>
      <c r="N452" t="str">
        <f>IFERROR(VLOOKUP(I452,Товары_очищенные!$H$2:$J$502,3,0),"Нет в каталоге")</f>
        <v>Смартфоны</v>
      </c>
      <c r="O452" s="4">
        <f>IFERROR(VLOOKUP(I452,Товары_очищенные!$H$2:$M$502,6,0),"")</f>
        <v>56990</v>
      </c>
      <c r="P452" t="str">
        <f t="shared" si="128"/>
        <v xml:space="preserve">Цена отличается от каталога</v>
      </c>
    </row>
    <row r="453">
      <c r="A453" s="3" t="s">
        <v>2936</v>
      </c>
      <c r="B453" s="3" t="s">
        <v>1530</v>
      </c>
      <c r="C453" s="3" t="s">
        <v>1900</v>
      </c>
      <c r="D453" s="3" t="s">
        <v>1968</v>
      </c>
      <c r="E453" s="3" t="s">
        <v>2938</v>
      </c>
      <c r="F453" s="3" t="s">
        <v>1608</v>
      </c>
      <c r="G453" s="3" t="s">
        <v>1927</v>
      </c>
      <c r="H453" s="5">
        <f t="shared" si="124"/>
        <v>45897</v>
      </c>
      <c r="I453" t="str">
        <f t="shared" si="125"/>
        <v>АРТ-491</v>
      </c>
      <c r="J453" s="6">
        <f t="shared" si="126"/>
        <v>2</v>
      </c>
      <c r="K453" s="4">
        <f>VALUE(SUBSTITUTE(SUBSTITUTE(SUBSTITUTE(SUBSTITUTE(D453,"$",""),"€",""),"₽","")," ",""))*IF(ISNUMBER(FIND("$",D453)),Справочники!$H$3,IF(ISNUMBER(FIND("€",D453)),Справочники!$H$4,1))</f>
        <v>7500</v>
      </c>
      <c r="L453" t="str">
        <f>IFERROR(VLOOKUP(TRIM(G453),Справочники!$D$3:$E$13,2,0),"Нет в справочнике")</f>
        <v>Возврат</v>
      </c>
      <c r="M453" t="str">
        <f t="shared" si="127"/>
        <v/>
      </c>
      <c r="N453" t="str">
        <f>IFERROR(VLOOKUP(I453,Товары_очищенные!$H$2:$J$502,3,0),"Нет в каталоге")</f>
        <v>Телевизоры</v>
      </c>
      <c r="O453" s="4">
        <f>IFERROR(VLOOKUP(I453,Товары_очищенные!$H$2:$M$502,6,0),"")</f>
        <v>59500</v>
      </c>
      <c r="P453" t="str">
        <f t="shared" si="128"/>
        <v xml:space="preserve">Цена отличается от каталога</v>
      </c>
    </row>
    <row r="454">
      <c r="A454" s="3" t="s">
        <v>2939</v>
      </c>
      <c r="B454" s="3" t="s">
        <v>2940</v>
      </c>
      <c r="C454" s="3" t="s">
        <v>1910</v>
      </c>
      <c r="D454" s="3" t="s">
        <v>1971</v>
      </c>
      <c r="E454" s="3" t="s">
        <v>2941</v>
      </c>
      <c r="F454" s="3" t="s">
        <v>1715</v>
      </c>
      <c r="G454" s="3" t="s">
        <v>1903</v>
      </c>
      <c r="H454" s="5">
        <f t="shared" si="124"/>
        <v>45898</v>
      </c>
      <c r="I454" t="str">
        <f t="shared" si="125"/>
        <v>АРТ-361</v>
      </c>
      <c r="J454" s="6">
        <f t="shared" si="126"/>
        <v>3</v>
      </c>
      <c r="K454" s="4">
        <f>VALUE(SUBSTITUTE(SUBSTITUTE(SUBSTITUTE(SUBSTITUTE(D454,"$",""),"€",""),"₽","")," ",""))*IF(ISNUMBER(FIND("$",D454)),Справочники!$H$3,IF(ISNUMBER(FIND("€",D454)),Справочники!$H$4,1))</f>
        <v>7000</v>
      </c>
      <c r="L454" t="str">
        <f>IFERROR(VLOOKUP(TRIM(G454),Справочники!$D$3:$E$13,2,0),"Нет в справочнике")</f>
        <v>Завершен</v>
      </c>
      <c r="M454" t="str">
        <f t="shared" si="127"/>
        <v/>
      </c>
      <c r="N454" t="str">
        <f>IFERROR(VLOOKUP(I454,Товары_очищенные!$H$2:$J$502,3,0),"Нет в каталоге")</f>
        <v>Ноутбуки</v>
      </c>
      <c r="O454" s="4">
        <f>IFERROR(VLOOKUP(I454,Товары_очищенные!$H$2:$M$502,6,0),"")</f>
        <v>145990</v>
      </c>
      <c r="P454" t="str">
        <f t="shared" si="128"/>
        <v xml:space="preserve">Цена отличается от каталога</v>
      </c>
    </row>
    <row r="455">
      <c r="A455" s="3" t="s">
        <v>2939</v>
      </c>
      <c r="B455" s="3" t="s">
        <v>2566</v>
      </c>
      <c r="C455" s="3" t="s">
        <v>1942</v>
      </c>
      <c r="D455" s="3" t="s">
        <v>1943</v>
      </c>
      <c r="E455" s="3" t="s">
        <v>2942</v>
      </c>
      <c r="F455" s="3" t="s">
        <v>1850</v>
      </c>
      <c r="G455" s="3" t="s">
        <v>1908</v>
      </c>
      <c r="H455" s="5">
        <f t="shared" si="124"/>
        <v>45898</v>
      </c>
      <c r="I455" t="str">
        <f t="shared" si="125"/>
        <v>АРТ-206</v>
      </c>
      <c r="J455" s="6">
        <f t="shared" si="126"/>
        <v>-2</v>
      </c>
      <c r="K455" s="4">
        <f>VALUE(SUBSTITUTE(SUBSTITUTE(SUBSTITUTE(SUBSTITUTE(D455,"$",""),"€",""),"₽","")," ",""))*IF(ISNUMBER(FIND("$",D455)),Справочники!$H$3,IF(ISNUMBER(FIND("€",D455)),Справочники!$H$4,1))</f>
        <v>10925</v>
      </c>
      <c r="L455" t="str">
        <f>IFERROR(VLOOKUP(TRIM(G455),Справочники!$D$3:$E$13,2,0),"Нет в справочнике")</f>
        <v>Завершен</v>
      </c>
      <c r="M455" t="str">
        <f t="shared" si="127"/>
        <v/>
      </c>
      <c r="N455" t="str">
        <f>IFERROR(VLOOKUP(I455,Товары_очищенные!$H$2:$J$502,3,0),"Нет в каталоге")</f>
        <v>Мониторы</v>
      </c>
      <c r="O455" s="4">
        <f>IFERROR(VLOOKUP(I455,Товары_очищенные!$H$2:$M$502,6,0),"")</f>
        <v>62500</v>
      </c>
      <c r="P455" t="str">
        <f t="shared" si="128"/>
        <v xml:space="preserve">Цена отличается от каталога</v>
      </c>
    </row>
    <row r="456">
      <c r="A456" s="3" t="s">
        <v>2943</v>
      </c>
      <c r="B456" s="3" t="s">
        <v>938</v>
      </c>
      <c r="C456" s="3" t="s">
        <v>1905</v>
      </c>
      <c r="D456" s="3" t="s">
        <v>1934</v>
      </c>
      <c r="E456" s="3" t="s">
        <v>2944</v>
      </c>
      <c r="F456" s="3" t="s">
        <v>1615</v>
      </c>
      <c r="G456" s="3" t="s">
        <v>1913</v>
      </c>
      <c r="H456" s="5">
        <f t="shared" si="124"/>
        <v>45899</v>
      </c>
      <c r="I456" t="str">
        <f t="shared" si="125"/>
        <v>АРТ-245</v>
      </c>
      <c r="J456" s="6">
        <f t="shared" si="126"/>
        <v>1</v>
      </c>
      <c r="K456" s="4">
        <f>VALUE(SUBSTITUTE(SUBSTITUTE(SUBSTITUTE(SUBSTITUTE(D456,"$",""),"€",""),"₽","")," ",""))*IF(ISNUMBER(FIND("$",D456)),Справочники!$H$3,IF(ISNUMBER(FIND("€",D456)),Справочники!$H$4,1))</f>
        <v>9500</v>
      </c>
      <c r="L456" t="str">
        <f>IFERROR(VLOOKUP(TRIM(G456),Справочники!$D$3:$E$13,2,0),"Нет в справочнике")</f>
        <v>Завершен</v>
      </c>
      <c r="M456" t="str">
        <f t="shared" si="127"/>
        <v/>
      </c>
      <c r="N456" t="str">
        <f>IFERROR(VLOOKUP(I456,Товары_очищенные!$H$2:$J$502,3,0),"Нет в каталоге")</f>
        <v>Мониторы</v>
      </c>
      <c r="O456" s="4">
        <f>IFERROR(VLOOKUP(I456,Товары_очищенные!$H$2:$M$502,6,0),"")</f>
        <v>75000</v>
      </c>
      <c r="P456" t="str">
        <f t="shared" si="128"/>
        <v xml:space="preserve">Цена отличается от каталога</v>
      </c>
    </row>
    <row r="457">
      <c r="A457" s="3" t="s">
        <v>2943</v>
      </c>
      <c r="B457" s="3" t="s">
        <v>2945</v>
      </c>
      <c r="C457" s="3" t="s">
        <v>1900</v>
      </c>
      <c r="D457" s="3" t="s">
        <v>1951</v>
      </c>
      <c r="E457" s="3" t="s">
        <v>2946</v>
      </c>
      <c r="F457" s="3" t="s">
        <v>1765</v>
      </c>
      <c r="G457" s="3" t="s">
        <v>1918</v>
      </c>
      <c r="H457" s="5">
        <f t="shared" si="124"/>
        <v>45899</v>
      </c>
      <c r="I457" t="str">
        <f t="shared" si="125"/>
        <v>АРТ-088</v>
      </c>
      <c r="J457" s="6">
        <f t="shared" si="126"/>
        <v>2</v>
      </c>
      <c r="K457" s="4">
        <f>VALUE(SUBSTITUTE(SUBSTITUTE(SUBSTITUTE(SUBSTITUTE(D457,"$",""),"€",""),"₽","")," ",""))*IF(ISNUMBER(FIND("$",D457)),Справочники!$H$3,IF(ISNUMBER(FIND("€",D457)),Справочники!$H$4,1))</f>
        <v>8500</v>
      </c>
      <c r="L457" t="str">
        <f>IFERROR(VLOOKUP(TRIM(G457),Справочники!$D$3:$E$13,2,0),"Нет в справочнике")</f>
        <v>Отменен</v>
      </c>
      <c r="M457" t="str">
        <f t="shared" si="127"/>
        <v/>
      </c>
      <c r="N457" t="str">
        <f>IFERROR(VLOOKUP(I457,Товары_очищенные!$H$2:$J$502,3,0),"Нет в каталоге")</f>
        <v>Телевизоры</v>
      </c>
      <c r="O457" s="4">
        <f>IFERROR(VLOOKUP(I457,Товары_очищенные!$H$2:$M$502,6,0),"")</f>
        <v>54999</v>
      </c>
      <c r="P457" t="str">
        <f t="shared" si="128"/>
        <v xml:space="preserve">Цена отличается от каталога</v>
      </c>
    </row>
    <row r="458">
      <c r="A458" s="3" t="s">
        <v>2947</v>
      </c>
      <c r="B458" s="3" t="s">
        <v>2948</v>
      </c>
      <c r="C458" s="3" t="s">
        <v>1930</v>
      </c>
      <c r="D458" s="3" t="s">
        <v>1931</v>
      </c>
      <c r="E458" s="3" t="s">
        <v>2949</v>
      </c>
      <c r="F458" s="3" t="s">
        <v>1688</v>
      </c>
      <c r="G458" s="3" t="s">
        <v>1924</v>
      </c>
      <c r="H458" s="5">
        <f t="shared" si="124"/>
        <v>45900</v>
      </c>
      <c r="I458" t="str">
        <f t="shared" si="125"/>
        <v>АРТ-171</v>
      </c>
      <c r="J458" s="6">
        <f t="shared" si="126"/>
        <v>3</v>
      </c>
      <c r="K458" s="4">
        <f>VALUE(SUBSTITUTE(SUBSTITUTE(SUBSTITUTE(SUBSTITUTE(D458,"$",""),"€",""),"₽","")," ",""))*IF(ISNUMBER(FIND("$",D458)),Справочники!$H$3,IF(ISNUMBER(FIND("€",D458)),Справочники!$H$4,1))</f>
        <v>9975</v>
      </c>
      <c r="L458" t="str">
        <f>IFERROR(VLOOKUP(TRIM(G458),Справочники!$D$3:$E$13,2,0),"Нет в справочнике")</f>
        <v>Отменен</v>
      </c>
      <c r="M458" t="str">
        <f t="shared" si="127"/>
        <v/>
      </c>
      <c r="N458" t="str">
        <f>IFERROR(VLOOKUP(I458,Товары_очищенные!$H$2:$J$502,3,0),"Нет в каталоге")</f>
        <v>Смартфоны</v>
      </c>
      <c r="O458" s="4">
        <f>IFERROR(VLOOKUP(I458,Товары_очищенные!$H$2:$M$502,6,0),"")</f>
        <v>59500</v>
      </c>
      <c r="P458" t="str">
        <f t="shared" si="128"/>
        <v xml:space="preserve">Цена отличается от каталога</v>
      </c>
    </row>
    <row r="459">
      <c r="A459" s="3" t="s">
        <v>2947</v>
      </c>
      <c r="B459" s="3" t="s">
        <v>2950</v>
      </c>
      <c r="C459" s="3" t="s">
        <v>1900</v>
      </c>
      <c r="D459" s="3" t="s">
        <v>1906</v>
      </c>
      <c r="E459" s="3" t="s">
        <v>2951</v>
      </c>
      <c r="F459" s="3" t="s">
        <v>1832</v>
      </c>
      <c r="G459" s="3" t="s">
        <v>1903</v>
      </c>
      <c r="H459" s="5">
        <f t="shared" si="124"/>
        <v>45900</v>
      </c>
      <c r="I459" t="str">
        <f t="shared" si="125"/>
        <v>АРТ-433</v>
      </c>
      <c r="J459" s="6">
        <f t="shared" si="126"/>
        <v>2</v>
      </c>
      <c r="K459" s="4">
        <f>VALUE(SUBSTITUTE(SUBSTITUTE(SUBSTITUTE(SUBSTITUTE(D459,"$",""),"€",""),"₽","")," ",""))*IF(ISNUMBER(FIND("$",D459)),Справочники!$H$3,IF(ISNUMBER(FIND("€",D459)),Справочники!$H$4,1))</f>
        <v>8500</v>
      </c>
      <c r="L459" t="str">
        <f>IFERROR(VLOOKUP(TRIM(G459),Справочники!$D$3:$E$13,2,0),"Нет в справочнике")</f>
        <v>Завершен</v>
      </c>
      <c r="M459" t="str">
        <f t="shared" si="127"/>
        <v/>
      </c>
      <c r="N459" t="str">
        <f>IFERROR(VLOOKUP(I459,Товары_очищенные!$H$2:$J$502,3,0),"Нет в каталоге")</f>
        <v>Мониторы</v>
      </c>
      <c r="O459" s="4">
        <f>IFERROR(VLOOKUP(I459,Товары_очищенные!$H$2:$M$502,6,0),"")</f>
        <v>43990</v>
      </c>
      <c r="P459" t="str">
        <f t="shared" si="128"/>
        <v xml:space="preserve">Цена отличается от каталога</v>
      </c>
    </row>
    <row r="460">
      <c r="A460" s="3" t="s">
        <v>2952</v>
      </c>
      <c r="B460" s="3" t="s">
        <v>1135</v>
      </c>
      <c r="C460" s="3" t="s">
        <v>1938</v>
      </c>
      <c r="D460" s="3" t="s">
        <v>2166</v>
      </c>
      <c r="E460" s="3" t="s">
        <v>2953</v>
      </c>
      <c r="F460" s="3" t="s">
        <v>1594</v>
      </c>
      <c r="G460" s="3" t="s">
        <v>1927</v>
      </c>
      <c r="H460" s="5">
        <f t="shared" si="124"/>
        <v>45901</v>
      </c>
      <c r="I460" t="str">
        <f t="shared" si="125"/>
        <v>АРТ-315</v>
      </c>
      <c r="J460" s="6">
        <f t="shared" si="126"/>
        <v>1</v>
      </c>
      <c r="K460" s="4">
        <f>VALUE(SUBSTITUTE(SUBSTITUTE(SUBSTITUTE(SUBSTITUTE(D460,"$",""),"€",""),"₽","")," ",""))*IF(ISNUMBER(FIND("$",D460)),Справочники!$H$3,IF(ISNUMBER(FIND("€",D460)),Справочники!$H$4,1))</f>
        <v>7800</v>
      </c>
      <c r="L460" t="str">
        <f>IFERROR(VLOOKUP(TRIM(G460),Справочники!$D$3:$E$13,2,0),"Нет в справочнике")</f>
        <v>Возврат</v>
      </c>
      <c r="M460" t="str">
        <f t="shared" si="127"/>
        <v/>
      </c>
      <c r="N460" t="str">
        <f>IFERROR(VLOOKUP(I460,Товары_очищенные!$H$2:$J$502,3,0),"Нет в каталоге")</f>
        <v>Смартфоны</v>
      </c>
      <c r="O460" s="4">
        <f>IFERROR(VLOOKUP(I460,Товары_очищенные!$H$2:$M$502,6,0),"")</f>
        <v>72000</v>
      </c>
      <c r="P460" t="str">
        <f t="shared" si="128"/>
        <v xml:space="preserve">Цена отличается от каталога</v>
      </c>
    </row>
    <row r="461">
      <c r="A461" s="3" t="s">
        <v>2952</v>
      </c>
      <c r="B461" s="3" t="s">
        <v>2028</v>
      </c>
      <c r="C461" s="3" t="s">
        <v>1985</v>
      </c>
      <c r="D461" s="3" t="s">
        <v>2044</v>
      </c>
      <c r="E461" s="3" t="s">
        <v>2954</v>
      </c>
      <c r="F461" s="3" t="s">
        <v>1796</v>
      </c>
      <c r="G461" s="3" t="s">
        <v>1908</v>
      </c>
      <c r="H461" s="5">
        <f t="shared" si="124"/>
        <v>45901</v>
      </c>
      <c r="I461" t="str">
        <f t="shared" si="125"/>
        <v>АРТ-401</v>
      </c>
      <c r="J461" s="6">
        <f t="shared" si="126"/>
        <v>-3</v>
      </c>
      <c r="K461" s="4">
        <f>VALUE(SUBSTITUTE(SUBSTITUTE(SUBSTITUTE(SUBSTITUTE(D461,"$",""),"€",""),"₽","")," ",""))*IF(ISNUMBER(FIND("$",D461)),Справочники!$H$3,IF(ISNUMBER(FIND("€",D461)),Справочники!$H$4,1))</f>
        <v>11400</v>
      </c>
      <c r="L461" t="str">
        <f>IFERROR(VLOOKUP(TRIM(G461),Справочники!$D$3:$E$13,2,0),"Нет в справочнике")</f>
        <v>Завершен</v>
      </c>
      <c r="M461" t="str">
        <f t="shared" si="127"/>
        <v/>
      </c>
      <c r="N461" t="str">
        <f>IFERROR(VLOOKUP(I461,Товары_очищенные!$H$2:$J$502,3,0),"Нет в каталоге")</f>
        <v>Смартфоны</v>
      </c>
      <c r="O461" s="4">
        <f>IFERROR(VLOOKUP(I461,Товары_очищенные!$H$2:$M$502,6,0),"")</f>
        <v>19000</v>
      </c>
      <c r="P461" t="str">
        <f t="shared" si="128"/>
        <v xml:space="preserve">Цена отличается от каталога</v>
      </c>
    </row>
    <row r="462">
      <c r="A462" s="3" t="s">
        <v>2955</v>
      </c>
      <c r="B462" s="3" t="s">
        <v>2956</v>
      </c>
      <c r="C462" s="3" t="s">
        <v>1900</v>
      </c>
      <c r="D462" s="3" t="s">
        <v>2046</v>
      </c>
      <c r="E462" s="3" t="s">
        <v>2957</v>
      </c>
      <c r="F462" s="3" t="s">
        <v>1656</v>
      </c>
      <c r="G462" s="3" t="s">
        <v>1913</v>
      </c>
      <c r="H462" s="5">
        <f t="shared" si="124"/>
        <v>45902</v>
      </c>
      <c r="I462" t="str">
        <f t="shared" si="125"/>
        <v>АРТ-312</v>
      </c>
      <c r="J462" s="6">
        <f t="shared" si="126"/>
        <v>2</v>
      </c>
      <c r="K462" s="4">
        <f>VALUE(SUBSTITUTE(SUBSTITUTE(SUBSTITUTE(SUBSTITUTE(D462,"$",""),"€",""),"₽","")," ",""))*IF(ISNUMBER(FIND("$",D462)),Справочники!$H$3,IF(ISNUMBER(FIND("€",D462)),Справочники!$H$4,1))</f>
        <v>10000</v>
      </c>
      <c r="L462" t="str">
        <f>IFERROR(VLOOKUP(TRIM(G462),Справочники!$D$3:$E$13,2,0),"Нет в справочнике")</f>
        <v>Завершен</v>
      </c>
      <c r="M462" t="str">
        <f t="shared" si="127"/>
        <v/>
      </c>
      <c r="N462" t="str">
        <f>IFERROR(VLOOKUP(I462,Товары_очищенные!$H$2:$J$502,3,0),"Нет в каталоге")</f>
        <v>Планшеты</v>
      </c>
      <c r="O462" s="4">
        <f>IFERROR(VLOOKUP(I462,Товары_очищенные!$H$2:$M$502,6,0),"")</f>
        <v>67000</v>
      </c>
      <c r="P462" t="str">
        <f t="shared" si="128"/>
        <v xml:space="preserve">Цена отличается от каталога</v>
      </c>
    </row>
    <row r="463">
      <c r="A463" s="3" t="s">
        <v>2955</v>
      </c>
      <c r="B463" s="3" t="s">
        <v>2532</v>
      </c>
      <c r="C463" s="3" t="s">
        <v>1905</v>
      </c>
      <c r="D463" s="3" t="s">
        <v>2087</v>
      </c>
      <c r="E463" s="3" t="s">
        <v>2958</v>
      </c>
      <c r="F463" s="3" t="s">
        <v>1746</v>
      </c>
      <c r="G463" s="3" t="s">
        <v>1903</v>
      </c>
      <c r="H463" s="5">
        <f t="shared" si="124"/>
        <v>45902</v>
      </c>
      <c r="I463" t="str">
        <f t="shared" si="125"/>
        <v>АРТ-189</v>
      </c>
      <c r="J463" s="6">
        <f t="shared" si="126"/>
        <v>1</v>
      </c>
      <c r="K463" s="4">
        <f>VALUE(SUBSTITUTE(SUBSTITUTE(SUBSTITUTE(SUBSTITUTE(D463,"$",""),"€",""),"₽","")," ",""))*IF(ISNUMBER(FIND("$",D463)),Справочники!$H$3,IF(ISNUMBER(FIND("€",D463)),Справочники!$H$4,1))</f>
        <v>9200</v>
      </c>
      <c r="L463" t="str">
        <f>IFERROR(VLOOKUP(TRIM(G463),Справочники!$D$3:$E$13,2,0),"Нет в справочнике")</f>
        <v>Завершен</v>
      </c>
      <c r="M463" t="str">
        <f t="shared" si="127"/>
        <v/>
      </c>
      <c r="N463" t="str">
        <f>IFERROR(VLOOKUP(I463,Товары_очищенные!$H$2:$J$502,3,0),"Нет в каталоге")</f>
        <v>Часы</v>
      </c>
      <c r="O463" s="4">
        <f>IFERROR(VLOOKUP(I463,Товары_очищенные!$H$2:$M$502,6,0),"")</f>
        <v>51500</v>
      </c>
      <c r="P463" t="str">
        <f t="shared" si="128"/>
        <v xml:space="preserve">Цена отличается от каталога</v>
      </c>
    </row>
    <row r="464">
      <c r="A464" s="3" t="s">
        <v>2959</v>
      </c>
      <c r="B464" s="3" t="s">
        <v>2891</v>
      </c>
      <c r="C464" s="3" t="s">
        <v>1930</v>
      </c>
      <c r="D464" s="3" t="s">
        <v>1986</v>
      </c>
      <c r="E464" s="3" t="s">
        <v>2960</v>
      </c>
      <c r="F464" s="3" t="s">
        <v>1622</v>
      </c>
      <c r="G464" s="3" t="s">
        <v>1924</v>
      </c>
      <c r="H464" s="5">
        <f t="shared" si="124"/>
        <v>45903</v>
      </c>
      <c r="I464" t="str">
        <f t="shared" si="125"/>
        <v>АРТ-104</v>
      </c>
      <c r="J464" s="6">
        <f t="shared" si="126"/>
        <v>3</v>
      </c>
      <c r="K464" s="4">
        <f>VALUE(SUBSTITUTE(SUBSTITUTE(SUBSTITUTE(SUBSTITUTE(D464,"$",""),"€",""),"₽","")," ",""))*IF(ISNUMBER(FIND("$",D464)),Справочники!$H$3,IF(ISNUMBER(FIND("€",D464)),Справочники!$H$4,1))</f>
        <v>8550</v>
      </c>
      <c r="L464" t="str">
        <f>IFERROR(VLOOKUP(TRIM(G464),Справочники!$D$3:$E$13,2,0),"Нет в справочнике")</f>
        <v>Отменен</v>
      </c>
      <c r="M464" t="str">
        <f t="shared" si="127"/>
        <v/>
      </c>
      <c r="N464" t="str">
        <f>IFERROR(VLOOKUP(I464,Товары_очищенные!$H$2:$J$502,3,0),"Нет в каталоге")</f>
        <v>Ноутбуки</v>
      </c>
      <c r="O464" s="4">
        <f>IFERROR(VLOOKUP(I464,Товары_очищенные!$H$2:$M$502,6,0),"")</f>
        <v>147000</v>
      </c>
      <c r="P464" t="str">
        <f t="shared" si="128"/>
        <v xml:space="preserve">Цена отличается от каталога</v>
      </c>
    </row>
    <row r="465">
      <c r="A465" s="3" t="s">
        <v>2959</v>
      </c>
      <c r="B465" s="3" t="s">
        <v>2961</v>
      </c>
      <c r="C465" s="3" t="s">
        <v>1900</v>
      </c>
      <c r="D465" s="3" t="s">
        <v>1989</v>
      </c>
      <c r="E465" s="3" t="s">
        <v>2962</v>
      </c>
      <c r="F465" s="3" t="s">
        <v>1826</v>
      </c>
      <c r="G465" s="3" t="s">
        <v>1918</v>
      </c>
      <c r="H465" s="5">
        <f t="shared" si="124"/>
        <v>45903</v>
      </c>
      <c r="I465" t="str">
        <f t="shared" si="125"/>
        <v>АРТ-460</v>
      </c>
      <c r="J465" s="6">
        <f t="shared" si="126"/>
        <v>2</v>
      </c>
      <c r="K465" s="4">
        <f>VALUE(SUBSTITUTE(SUBSTITUTE(SUBSTITUTE(SUBSTITUTE(D465,"$",""),"€",""),"₽","")," ",""))*IF(ISNUMBER(FIND("$",D465)),Справочники!$H$3,IF(ISNUMBER(FIND("€",D465)),Справочники!$H$4,1))</f>
        <v>7000</v>
      </c>
      <c r="L465" t="str">
        <f>IFERROR(VLOOKUP(TRIM(G465),Справочники!$D$3:$E$13,2,0),"Нет в справочнике")</f>
        <v>Отменен</v>
      </c>
      <c r="M465" t="str">
        <f t="shared" si="127"/>
        <v/>
      </c>
      <c r="N465" t="str">
        <f>IFERROR(VLOOKUP(I465,Товары_очищенные!$H$2:$J$502,3,0),"Нет в каталоге")</f>
        <v>Часы</v>
      </c>
      <c r="O465" s="4">
        <f>IFERROR(VLOOKUP(I465,Товары_очищенные!$H$2:$M$502,6,0),"")</f>
        <v>47990</v>
      </c>
      <c r="P465" t="str">
        <f t="shared" si="128"/>
        <v xml:space="preserve">Цена отличается от каталога</v>
      </c>
    </row>
    <row r="466">
      <c r="A466" s="3" t="s">
        <v>2963</v>
      </c>
      <c r="B466" s="3" t="s">
        <v>2964</v>
      </c>
      <c r="C466" s="3" t="s">
        <v>1938</v>
      </c>
      <c r="D466" s="3" t="s">
        <v>1939</v>
      </c>
      <c r="E466" s="3" t="s">
        <v>2965</v>
      </c>
      <c r="F466" s="3" t="s">
        <v>1676</v>
      </c>
      <c r="G466" s="3" t="s">
        <v>1927</v>
      </c>
      <c r="H466" s="5">
        <f t="shared" si="124"/>
        <v>45904</v>
      </c>
      <c r="I466" t="str">
        <f t="shared" si="125"/>
        <v>АРТ-366</v>
      </c>
      <c r="J466" s="6">
        <f t="shared" si="126"/>
        <v>1</v>
      </c>
      <c r="K466" s="4">
        <f>VALUE(SUBSTITUTE(SUBSTITUTE(SUBSTITUTE(SUBSTITUTE(D466,"$",""),"€",""),"₽","")," ",""))*IF(ISNUMBER(FIND("$",D466)),Справочники!$H$3,IF(ISNUMBER(FIND("€",D466)),Справочники!$H$4,1))</f>
        <v>6500</v>
      </c>
      <c r="L466" t="str">
        <f>IFERROR(VLOOKUP(TRIM(G466),Справочники!$D$3:$E$13,2,0),"Нет в справочнике")</f>
        <v>Возврат</v>
      </c>
      <c r="M466" t="str">
        <f t="shared" si="127"/>
        <v/>
      </c>
      <c r="N466" t="str">
        <f>IFERROR(VLOOKUP(I466,Товары_очищенные!$H$2:$J$502,3,0),"Нет в каталоге")</f>
        <v>Телевизоры</v>
      </c>
      <c r="O466" s="4">
        <f>IFERROR(VLOOKUP(I466,Товары_очищенные!$H$2:$M$502,6,0),"")</f>
        <v>142500</v>
      </c>
      <c r="P466" t="str">
        <f t="shared" si="128"/>
        <v xml:space="preserve">Цена отличается от каталога</v>
      </c>
    </row>
    <row r="467">
      <c r="A467" s="3" t="s">
        <v>2963</v>
      </c>
      <c r="B467" s="3" t="s">
        <v>2966</v>
      </c>
      <c r="C467" s="3" t="s">
        <v>1915</v>
      </c>
      <c r="D467" s="3" t="s">
        <v>1916</v>
      </c>
      <c r="E467" s="3" t="s">
        <v>2967</v>
      </c>
      <c r="F467" s="3" t="s">
        <v>1772</v>
      </c>
      <c r="G467" s="3" t="s">
        <v>1903</v>
      </c>
      <c r="H467" s="5">
        <f t="shared" si="124"/>
        <v>45904</v>
      </c>
      <c r="I467" t="str">
        <f t="shared" si="125"/>
        <v>АРТ-384</v>
      </c>
      <c r="J467" s="6">
        <f t="shared" si="126"/>
        <v>-1</v>
      </c>
      <c r="K467" s="4">
        <f>VALUE(SUBSTITUTE(SUBSTITUTE(SUBSTITUTE(SUBSTITUTE(D467,"$",""),"€",""),"₽","")," ",""))*IF(ISNUMBER(FIND("$",D467)),Справочники!$H$3,IF(ISNUMBER(FIND("€",D467)),Справочники!$H$4,1))</f>
        <v>10450</v>
      </c>
      <c r="L467" t="str">
        <f>IFERROR(VLOOKUP(TRIM(G467),Справочники!$D$3:$E$13,2,0),"Нет в справочнике")</f>
        <v>Завершен</v>
      </c>
      <c r="M467" t="str">
        <f t="shared" si="127"/>
        <v/>
      </c>
      <c r="N467" t="str">
        <f>IFERROR(VLOOKUP(I467,Товары_очищенные!$H$2:$J$502,3,0),"Нет в каталоге")</f>
        <v>Смартфоны</v>
      </c>
      <c r="O467" s="4">
        <f>IFERROR(VLOOKUP(I467,Товары_очищенные!$H$2:$M$502,6,0),"")</f>
        <v>44500</v>
      </c>
      <c r="P467" t="str">
        <f t="shared" si="128"/>
        <v xml:space="preserve">Цена отличается от каталога</v>
      </c>
    </row>
    <row r="468">
      <c r="A468" s="3" t="s">
        <v>2968</v>
      </c>
      <c r="B468" s="3" t="s">
        <v>1133</v>
      </c>
      <c r="C468" s="3" t="s">
        <v>1930</v>
      </c>
      <c r="D468" s="3" t="s">
        <v>1922</v>
      </c>
      <c r="E468" s="3" t="s">
        <v>2969</v>
      </c>
      <c r="F468" s="3" t="s">
        <v>1874</v>
      </c>
      <c r="G468" s="3" t="s">
        <v>1908</v>
      </c>
      <c r="H468" s="5">
        <f t="shared" si="124"/>
        <v>45905</v>
      </c>
      <c r="I468" t="str">
        <f t="shared" si="125"/>
        <v>АРТ-314</v>
      </c>
      <c r="J468" s="6">
        <f t="shared" si="126"/>
        <v>3</v>
      </c>
      <c r="K468" s="4">
        <f>VALUE(SUBSTITUTE(SUBSTITUTE(SUBSTITUTE(SUBSTITUTE(D468,"$",""),"€",""),"₽","")," ",""))*IF(ISNUMBER(FIND("$",D468)),Справочники!$H$3,IF(ISNUMBER(FIND("€",D468)),Справочники!$H$4,1))</f>
        <v>9000</v>
      </c>
      <c r="L468" t="str">
        <f>IFERROR(VLOOKUP(TRIM(G468),Справочники!$D$3:$E$13,2,0),"Нет в справочнике")</f>
        <v>Завершен</v>
      </c>
      <c r="M468" t="str">
        <f t="shared" si="127"/>
        <v/>
      </c>
      <c r="N468" t="str">
        <f>IFERROR(VLOOKUP(I468,Товары_очищенные!$H$2:$J$502,3,0),"Нет в каталоге")</f>
        <v>Смартфоны</v>
      </c>
      <c r="O468" s="4">
        <f>IFERROR(VLOOKUP(I468,Товары_очищенные!$H$2:$M$502,6,0),"")</f>
        <v>67500</v>
      </c>
      <c r="P468" t="str">
        <f t="shared" si="128"/>
        <v xml:space="preserve">Цена отличается от каталога</v>
      </c>
    </row>
    <row r="469">
      <c r="A469" s="3" t="s">
        <v>2968</v>
      </c>
      <c r="B469" s="3" t="s">
        <v>2970</v>
      </c>
      <c r="C469" s="3" t="s">
        <v>1900</v>
      </c>
      <c r="D469" s="3" t="s">
        <v>1925</v>
      </c>
      <c r="E469" s="3" t="s">
        <v>2971</v>
      </c>
      <c r="F469" s="3" t="s">
        <v>1601</v>
      </c>
      <c r="G469" s="3" t="s">
        <v>1913</v>
      </c>
      <c r="H469" s="5">
        <f t="shared" si="124"/>
        <v>45905</v>
      </c>
      <c r="I469" t="str">
        <f t="shared" si="125"/>
        <v>АРТ-299</v>
      </c>
      <c r="J469" s="6">
        <f t="shared" si="126"/>
        <v>2</v>
      </c>
      <c r="K469" s="4">
        <f>VALUE(SUBSTITUTE(SUBSTITUTE(SUBSTITUTE(SUBSTITUTE(D469,"$",""),"€",""),"₽","")," ",""))*IF(ISNUMBER(FIND("$",D469)),Справочники!$H$3,IF(ISNUMBER(FIND("€",D469)),Справочники!$H$4,1))</f>
        <v>8000</v>
      </c>
      <c r="L469" t="str">
        <f>IFERROR(VLOOKUP(TRIM(G469),Справочники!$D$3:$E$13,2,0),"Нет в справочнике")</f>
        <v>Завершен</v>
      </c>
      <c r="M469" t="str">
        <f t="shared" si="127"/>
        <v/>
      </c>
      <c r="N469" t="str">
        <f>IFERROR(VLOOKUP(I469,Товары_очищенные!$H$2:$J$502,3,0),"Нет в каталоге")</f>
        <v>Телевизоры</v>
      </c>
      <c r="O469" s="4">
        <f>IFERROR(VLOOKUP(I469,Товары_очищенные!$H$2:$M$502,6,0),"")</f>
        <v>63500</v>
      </c>
      <c r="P469" t="str">
        <f t="shared" si="128"/>
        <v xml:space="preserve">Цена отличается от каталога</v>
      </c>
    </row>
    <row r="470">
      <c r="A470" s="3" t="s">
        <v>2972</v>
      </c>
      <c r="B470" s="3" t="s">
        <v>2973</v>
      </c>
      <c r="C470" s="3" t="s">
        <v>1905</v>
      </c>
      <c r="D470" s="3" t="s">
        <v>1964</v>
      </c>
      <c r="E470" s="3" t="s">
        <v>2974</v>
      </c>
      <c r="F470" s="3" t="s">
        <v>1721</v>
      </c>
      <c r="G470" s="3" t="s">
        <v>1918</v>
      </c>
      <c r="H470" s="5">
        <f t="shared" si="124"/>
        <v>45906</v>
      </c>
      <c r="I470" t="str">
        <f t="shared" si="125"/>
        <v>АРТ-001</v>
      </c>
      <c r="J470" s="6">
        <f t="shared" si="126"/>
        <v>1</v>
      </c>
      <c r="K470" s="4">
        <f>VALUE(SUBSTITUTE(SUBSTITUTE(SUBSTITUTE(SUBSTITUTE(D470,"$",""),"€",""),"₽","")," ",""))*IF(ISNUMBER(FIND("$",D470)),Справочники!$H$3,IF(ISNUMBER(FIND("€",D470)),Справочники!$H$4,1))</f>
        <v>9025</v>
      </c>
      <c r="L470" t="str">
        <f>IFERROR(VLOOKUP(TRIM(G470),Справочники!$D$3:$E$13,2,0),"Нет в справочнике")</f>
        <v>Отменен</v>
      </c>
      <c r="M470" t="str">
        <f t="shared" si="127"/>
        <v/>
      </c>
      <c r="N470" t="str">
        <f>IFERROR(VLOOKUP(I470,Товары_очищенные!$H$2:$J$502,3,0),"Нет в каталоге")</f>
        <v>Смартфоны</v>
      </c>
      <c r="O470" s="4">
        <f>IFERROR(VLOOKUP(I470,Товары_очищенные!$H$2:$M$502,6,0),"")</f>
        <v>79990</v>
      </c>
      <c r="P470" t="str">
        <f t="shared" si="128"/>
        <v xml:space="preserve">Цена отличается от каталога</v>
      </c>
    </row>
    <row r="471">
      <c r="A471" s="3" t="s">
        <v>2972</v>
      </c>
      <c r="B471" s="3" t="s">
        <v>2975</v>
      </c>
      <c r="C471" s="3" t="s">
        <v>1900</v>
      </c>
      <c r="D471" s="3" t="s">
        <v>1968</v>
      </c>
      <c r="E471" s="3" t="s">
        <v>2976</v>
      </c>
      <c r="F471" s="3" t="s">
        <v>1663</v>
      </c>
      <c r="G471" s="3" t="s">
        <v>1924</v>
      </c>
      <c r="H471" s="5">
        <f t="shared" si="124"/>
        <v>45906</v>
      </c>
      <c r="I471" t="str">
        <f t="shared" si="125"/>
        <v>АРТ-496</v>
      </c>
      <c r="J471" s="6">
        <f t="shared" si="126"/>
        <v>2</v>
      </c>
      <c r="K471" s="4">
        <f>VALUE(SUBSTITUTE(SUBSTITUTE(SUBSTITUTE(SUBSTITUTE(D471,"$",""),"€",""),"₽","")," ",""))*IF(ISNUMBER(FIND("$",D471)),Справочники!$H$3,IF(ISNUMBER(FIND("€",D471)),Справочники!$H$4,1))</f>
        <v>7500</v>
      </c>
      <c r="L471" t="str">
        <f>IFERROR(VLOOKUP(TRIM(G471),Справочники!$D$3:$E$13,2,0),"Нет в справочнике")</f>
        <v>Отменен</v>
      </c>
      <c r="M471" t="str">
        <f t="shared" si="127"/>
        <v/>
      </c>
      <c r="N471" t="str">
        <f>IFERROR(VLOOKUP(I471,Товары_очищенные!$H$2:$J$502,3,0),"Нет в каталоге")</f>
        <v>Мониторы</v>
      </c>
      <c r="O471" s="4">
        <f>IFERROR(VLOOKUP(I471,Товары_очищенные!$H$2:$M$502,6,0),"")</f>
        <v>59990</v>
      </c>
      <c r="P471" t="str">
        <f t="shared" si="128"/>
        <v xml:space="preserve">Цена отличается от каталога</v>
      </c>
    </row>
    <row r="472">
      <c r="A472" s="3" t="s">
        <v>2977</v>
      </c>
      <c r="B472" s="3" t="s">
        <v>2978</v>
      </c>
      <c r="C472" s="3" t="s">
        <v>1910</v>
      </c>
      <c r="D472" s="3" t="s">
        <v>1971</v>
      </c>
      <c r="E472" s="3" t="s">
        <v>2979</v>
      </c>
      <c r="F472" s="3" t="s">
        <v>1802</v>
      </c>
      <c r="G472" s="3" t="s">
        <v>1903</v>
      </c>
      <c r="H472" s="5">
        <f t="shared" si="124"/>
        <v>45907</v>
      </c>
      <c r="I472" t="str">
        <f t="shared" si="125"/>
        <v>АРТ-305</v>
      </c>
      <c r="J472" s="6">
        <f t="shared" si="126"/>
        <v>3</v>
      </c>
      <c r="K472" s="4">
        <f>VALUE(SUBSTITUTE(SUBSTITUTE(SUBSTITUTE(SUBSTITUTE(D472,"$",""),"€",""),"₽","")," ",""))*IF(ISNUMBER(FIND("$",D472)),Справочники!$H$3,IF(ISNUMBER(FIND("€",D472)),Справочники!$H$4,1))</f>
        <v>7000</v>
      </c>
      <c r="L472" t="str">
        <f>IFERROR(VLOOKUP(TRIM(G472),Справочники!$D$3:$E$13,2,0),"Нет в справочнике")</f>
        <v>Завершен</v>
      </c>
      <c r="M472" t="str">
        <f t="shared" si="127"/>
        <v/>
      </c>
      <c r="N472" t="str">
        <f>IFERROR(VLOOKUP(I472,Товары_очищенные!$H$2:$J$502,3,0),"Нет в каталоге")</f>
        <v>Мониторы</v>
      </c>
      <c r="O472" s="4">
        <f>IFERROR(VLOOKUP(I472,Товары_очищенные!$H$2:$M$502,6,0),"")</f>
        <v>57500</v>
      </c>
      <c r="P472" t="str">
        <f t="shared" si="128"/>
        <v xml:space="preserve">Цена отличается от каталога</v>
      </c>
    </row>
    <row r="473">
      <c r="A473" s="3" t="s">
        <v>2977</v>
      </c>
      <c r="B473" s="3" t="s">
        <v>806</v>
      </c>
      <c r="C473" s="3" t="s">
        <v>1942</v>
      </c>
      <c r="D473" s="3" t="s">
        <v>1943</v>
      </c>
      <c r="E473" s="3" t="s">
        <v>2980</v>
      </c>
      <c r="F473" s="3" t="s">
        <v>1868</v>
      </c>
      <c r="G473" s="3" t="s">
        <v>1927</v>
      </c>
      <c r="H473" s="5">
        <f t="shared" si="124"/>
        <v>45907</v>
      </c>
      <c r="I473" t="str">
        <f t="shared" si="125"/>
        <v>АРТ-199</v>
      </c>
      <c r="J473" s="6">
        <f t="shared" si="126"/>
        <v>-2</v>
      </c>
      <c r="K473" s="4">
        <f>VALUE(SUBSTITUTE(SUBSTITUTE(SUBSTITUTE(SUBSTITUTE(D473,"$",""),"€",""),"₽","")," ",""))*IF(ISNUMBER(FIND("$",D473)),Справочники!$H$3,IF(ISNUMBER(FIND("€",D473)),Справочники!$H$4,1))</f>
        <v>10925</v>
      </c>
      <c r="L473" t="str">
        <f>IFERROR(VLOOKUP(TRIM(G473),Справочники!$D$3:$E$13,2,0),"Нет в справочнике")</f>
        <v>Возврат</v>
      </c>
      <c r="M473" t="str">
        <f t="shared" si="127"/>
        <v/>
      </c>
      <c r="N473" t="str">
        <f>IFERROR(VLOOKUP(I473,Товары_очищенные!$H$2:$J$502,3,0),"Нет в каталоге")</f>
        <v>Телевизоры</v>
      </c>
      <c r="O473" s="4">
        <f>IFERROR(VLOOKUP(I473,Товары_очищенные!$H$2:$M$502,6,0),"")</f>
        <v>95990</v>
      </c>
      <c r="P473" t="str">
        <f t="shared" si="128"/>
        <v xml:space="preserve">Цена отличается от каталога</v>
      </c>
    </row>
    <row r="474">
      <c r="A474" s="3" t="s">
        <v>2981</v>
      </c>
      <c r="B474" s="3" t="s">
        <v>2982</v>
      </c>
      <c r="C474" s="3" t="s">
        <v>1905</v>
      </c>
      <c r="D474" s="3" t="s">
        <v>1934</v>
      </c>
      <c r="E474" s="3" t="s">
        <v>2983</v>
      </c>
      <c r="F474" s="3" t="s">
        <v>1587</v>
      </c>
      <c r="G474" s="3" t="s">
        <v>1908</v>
      </c>
      <c r="H474" s="5">
        <f t="shared" si="124"/>
        <v>45908</v>
      </c>
      <c r="I474" t="str">
        <f t="shared" si="125"/>
        <v>АРТ-351</v>
      </c>
      <c r="J474" s="6">
        <f t="shared" si="126"/>
        <v>1</v>
      </c>
      <c r="K474" s="4">
        <f>VALUE(SUBSTITUTE(SUBSTITUTE(SUBSTITUTE(SUBSTITUTE(D474,"$",""),"€",""),"₽","")," ",""))*IF(ISNUMBER(FIND("$",D474)),Справочники!$H$3,IF(ISNUMBER(FIND("€",D474)),Справочники!$H$4,1))</f>
        <v>9500</v>
      </c>
      <c r="L474" t="str">
        <f>IFERROR(VLOOKUP(TRIM(G474),Справочники!$D$3:$E$13,2,0),"Нет в справочнике")</f>
        <v>Завершен</v>
      </c>
      <c r="M474" t="str">
        <f t="shared" si="127"/>
        <v/>
      </c>
      <c r="N474" t="str">
        <f>IFERROR(VLOOKUP(I474,Товары_очищенные!$H$2:$J$502,3,0),"Нет в каталоге")</f>
        <v>Мониторы</v>
      </c>
      <c r="O474" s="4">
        <f>IFERROR(VLOOKUP(I474,Товары_очищенные!$H$2:$M$502,6,0),"")</f>
        <v>57000</v>
      </c>
      <c r="P474" t="str">
        <f t="shared" si="128"/>
        <v xml:space="preserve">Цена отличается от каталога</v>
      </c>
    </row>
    <row r="475">
      <c r="A475" s="3" t="s">
        <v>2981</v>
      </c>
      <c r="B475" s="3" t="s">
        <v>2984</v>
      </c>
      <c r="C475" s="3" t="s">
        <v>1900</v>
      </c>
      <c r="D475" s="3" t="s">
        <v>1951</v>
      </c>
      <c r="E475" s="3" t="s">
        <v>2985</v>
      </c>
      <c r="F475" s="3" t="s">
        <v>1734</v>
      </c>
      <c r="G475" s="3" t="s">
        <v>1913</v>
      </c>
      <c r="H475" s="5">
        <f t="shared" si="124"/>
        <v>45908</v>
      </c>
      <c r="I475" t="str">
        <f t="shared" si="125"/>
        <v>АРТ-214</v>
      </c>
      <c r="J475" s="6">
        <f t="shared" si="126"/>
        <v>2</v>
      </c>
      <c r="K475" s="4">
        <f>VALUE(SUBSTITUTE(SUBSTITUTE(SUBSTITUTE(SUBSTITUTE(D475,"$",""),"€",""),"₽","")," ",""))*IF(ISNUMBER(FIND("$",D475)),Справочники!$H$3,IF(ISNUMBER(FIND("€",D475)),Справочники!$H$4,1))</f>
        <v>8500</v>
      </c>
      <c r="L475" t="str">
        <f>IFERROR(VLOOKUP(TRIM(G475),Справочники!$D$3:$E$13,2,0),"Нет в справочнике")</f>
        <v>Завершен</v>
      </c>
      <c r="M475" t="str">
        <f t="shared" si="127"/>
        <v/>
      </c>
      <c r="N475" t="str">
        <f>IFERROR(VLOOKUP(I475,Товары_очищенные!$H$2:$J$502,3,0),"Нет в каталоге")</f>
        <v>Планшеты</v>
      </c>
      <c r="O475" s="4">
        <f>IFERROR(VLOOKUP(I475,Товары_очищенные!$H$2:$M$502,6,0),"")</f>
        <v>26990</v>
      </c>
      <c r="P475" t="str">
        <f t="shared" si="128"/>
        <v xml:space="preserve">Цена отличается от каталога</v>
      </c>
    </row>
    <row r="476">
      <c r="A476" s="3" t="s">
        <v>2986</v>
      </c>
      <c r="B476" s="3" t="s">
        <v>2987</v>
      </c>
      <c r="C476" s="3" t="s">
        <v>1930</v>
      </c>
      <c r="D476" s="3" t="s">
        <v>1931</v>
      </c>
      <c r="E476" s="3" t="s">
        <v>2988</v>
      </c>
      <c r="F476" s="3" t="s">
        <v>1649</v>
      </c>
      <c r="G476" s="3" t="s">
        <v>1903</v>
      </c>
      <c r="H476" s="5">
        <f t="shared" si="124"/>
        <v>45909</v>
      </c>
      <c r="I476" t="str">
        <f t="shared" si="125"/>
        <v>АРТ-135</v>
      </c>
      <c r="J476" s="6">
        <f t="shared" si="126"/>
        <v>3</v>
      </c>
      <c r="K476" s="4">
        <f>VALUE(SUBSTITUTE(SUBSTITUTE(SUBSTITUTE(SUBSTITUTE(D476,"$",""),"€",""),"₽","")," ",""))*IF(ISNUMBER(FIND("$",D476)),Справочники!$H$3,IF(ISNUMBER(FIND("€",D476)),Справочники!$H$4,1))</f>
        <v>9975</v>
      </c>
      <c r="L476" t="str">
        <f>IFERROR(VLOOKUP(TRIM(G476),Справочники!$D$3:$E$13,2,0),"Нет в справочнике")</f>
        <v>Завершен</v>
      </c>
      <c r="M476" t="str">
        <f t="shared" si="127"/>
        <v/>
      </c>
      <c r="N476" t="str">
        <f>IFERROR(VLOOKUP(I476,Товары_очищенные!$H$2:$J$502,3,0),"Нет в каталоге")</f>
        <v>Телевизоры</v>
      </c>
      <c r="O476" s="4">
        <f>IFERROR(VLOOKUP(I476,Товары_очищенные!$H$2:$M$502,6,0),"")</f>
        <v>129500</v>
      </c>
      <c r="P476" t="str">
        <f t="shared" si="128"/>
        <v xml:space="preserve">Цена отличается от каталога</v>
      </c>
    </row>
    <row r="477">
      <c r="A477" s="3" t="s">
        <v>2986</v>
      </c>
      <c r="B477" s="3" t="s">
        <v>2379</v>
      </c>
      <c r="C477" s="3" t="s">
        <v>1900</v>
      </c>
      <c r="D477" s="3" t="s">
        <v>1906</v>
      </c>
      <c r="E477" s="3" t="s">
        <v>2989</v>
      </c>
      <c r="F477" s="3" t="s">
        <v>1784</v>
      </c>
      <c r="G477" s="3" t="s">
        <v>1924</v>
      </c>
      <c r="H477" s="5">
        <f t="shared" si="124"/>
        <v>45909</v>
      </c>
      <c r="I477" t="str">
        <f t="shared" si="125"/>
        <v>АРТ-415</v>
      </c>
      <c r="J477" s="6">
        <f t="shared" si="126"/>
        <v>2</v>
      </c>
      <c r="K477" s="4">
        <f>VALUE(SUBSTITUTE(SUBSTITUTE(SUBSTITUTE(SUBSTITUTE(D477,"$",""),"€",""),"₽","")," ",""))*IF(ISNUMBER(FIND("$",D477)),Справочники!$H$3,IF(ISNUMBER(FIND("€",D477)),Справочники!$H$4,1))</f>
        <v>8500</v>
      </c>
      <c r="L477" t="str">
        <f>IFERROR(VLOOKUP(TRIM(G477),Справочники!$D$3:$E$13,2,0),"Нет в справочнике")</f>
        <v>Отменен</v>
      </c>
      <c r="M477" t="str">
        <f t="shared" si="127"/>
        <v/>
      </c>
      <c r="N477" t="str">
        <f>IFERROR(VLOOKUP(I477,Товары_очищенные!$H$2:$J$502,3,0),"Нет в каталоге")</f>
        <v>Аксессуары</v>
      </c>
      <c r="O477" s="4">
        <f>IFERROR(VLOOKUP(I477,Товары_очищенные!$H$2:$M$502,6,0),"")</f>
        <v>14990</v>
      </c>
      <c r="P477" t="str">
        <f t="shared" si="128"/>
        <v xml:space="preserve">Цена отличается от каталога</v>
      </c>
    </row>
    <row r="478">
      <c r="A478" s="3" t="s">
        <v>2990</v>
      </c>
      <c r="B478" s="3" t="s">
        <v>1185</v>
      </c>
      <c r="C478" s="3" t="s">
        <v>1938</v>
      </c>
      <c r="D478" s="3" t="s">
        <v>2166</v>
      </c>
      <c r="E478" s="3" t="s">
        <v>2991</v>
      </c>
      <c r="F478" s="3" t="s">
        <v>1844</v>
      </c>
      <c r="G478" s="3" t="s">
        <v>1918</v>
      </c>
      <c r="H478" s="5">
        <f t="shared" si="124"/>
        <v>45910</v>
      </c>
      <c r="I478" t="str">
        <f t="shared" si="125"/>
        <v>АРТ-333</v>
      </c>
      <c r="J478" s="6">
        <f t="shared" si="126"/>
        <v>1</v>
      </c>
      <c r="K478" s="4">
        <f>VALUE(SUBSTITUTE(SUBSTITUTE(SUBSTITUTE(SUBSTITUTE(D478,"$",""),"€",""),"₽","")," ",""))*IF(ISNUMBER(FIND("$",D478)),Справочники!$H$3,IF(ISNUMBER(FIND("€",D478)),Справочники!$H$4,1))</f>
        <v>7800</v>
      </c>
      <c r="L478" t="str">
        <f>IFERROR(VLOOKUP(TRIM(G478),Справочники!$D$3:$E$13,2,0),"Нет в справочнике")</f>
        <v>Отменен</v>
      </c>
      <c r="M478" t="str">
        <f t="shared" si="127"/>
        <v/>
      </c>
      <c r="N478" t="str">
        <f>IFERROR(VLOOKUP(I478,Товары_очищенные!$H$2:$J$502,3,0),"Нет в каталоге")</f>
        <v>Часы</v>
      </c>
      <c r="O478" s="4">
        <f>IFERROR(VLOOKUP(I478,Товары_очищенные!$H$2:$M$502,6,0),"")</f>
        <v>72000</v>
      </c>
      <c r="P478" t="str">
        <f t="shared" si="128"/>
        <v xml:space="preserve">Цена отличается от каталога</v>
      </c>
    </row>
    <row r="479">
      <c r="A479" s="3" t="s">
        <v>2990</v>
      </c>
      <c r="B479" s="3" t="s">
        <v>1156</v>
      </c>
      <c r="C479" s="3" t="s">
        <v>1985</v>
      </c>
      <c r="D479" s="3" t="s">
        <v>2044</v>
      </c>
      <c r="E479" s="3" t="s">
        <v>2992</v>
      </c>
      <c r="F479" s="3" t="s">
        <v>1566</v>
      </c>
      <c r="G479" s="3" t="s">
        <v>1927</v>
      </c>
      <c r="H479" s="5">
        <f t="shared" si="124"/>
        <v>45910</v>
      </c>
      <c r="I479" t="str">
        <f t="shared" si="125"/>
        <v>АРТ-322</v>
      </c>
      <c r="J479" s="6">
        <f t="shared" si="126"/>
        <v>-3</v>
      </c>
      <c r="K479" s="4">
        <f>VALUE(SUBSTITUTE(SUBSTITUTE(SUBSTITUTE(SUBSTITUTE(D479,"$",""),"€",""),"₽","")," ",""))*IF(ISNUMBER(FIND("$",D479)),Справочники!$H$3,IF(ISNUMBER(FIND("€",D479)),Справочники!$H$4,1))</f>
        <v>11400</v>
      </c>
      <c r="L479" t="str">
        <f>IFERROR(VLOOKUP(TRIM(G479),Справочники!$D$3:$E$13,2,0),"Нет в справочнике")</f>
        <v>Возврат</v>
      </c>
      <c r="M479" t="str">
        <f t="shared" si="127"/>
        <v/>
      </c>
      <c r="N479" t="str">
        <f>IFERROR(VLOOKUP(I479,Товары_очищенные!$H$2:$J$502,3,0),"Нет в каталоге")</f>
        <v>Наушники</v>
      </c>
      <c r="O479" s="4">
        <f>IFERROR(VLOOKUP(I479,Товары_очищенные!$H$2:$M$502,6,0),"")</f>
        <v>12990</v>
      </c>
      <c r="P479" t="str">
        <f t="shared" si="128"/>
        <v>ОК</v>
      </c>
    </row>
    <row r="480">
      <c r="A480" s="3" t="s">
        <v>2993</v>
      </c>
      <c r="B480" s="3" t="s">
        <v>1315</v>
      </c>
      <c r="C480" s="3" t="s">
        <v>1900</v>
      </c>
      <c r="D480" s="3" t="s">
        <v>2046</v>
      </c>
      <c r="E480" s="3" t="s">
        <v>2994</v>
      </c>
      <c r="F480" s="3" t="s">
        <v>1701</v>
      </c>
      <c r="G480" s="3" t="s">
        <v>1903</v>
      </c>
      <c r="H480" s="5">
        <f t="shared" si="124"/>
        <v>45911</v>
      </c>
      <c r="I480" t="str">
        <f t="shared" si="125"/>
        <v>АРТ-392</v>
      </c>
      <c r="J480" s="6">
        <f t="shared" si="126"/>
        <v>2</v>
      </c>
      <c r="K480" s="4">
        <f>VALUE(SUBSTITUTE(SUBSTITUTE(SUBSTITUTE(SUBSTITUTE(D480,"$",""),"€",""),"₽","")," ",""))*IF(ISNUMBER(FIND("$",D480)),Справочники!$H$3,IF(ISNUMBER(FIND("€",D480)),Справочники!$H$4,1))</f>
        <v>10000</v>
      </c>
      <c r="L480" t="str">
        <f>IFERROR(VLOOKUP(TRIM(G480),Справочники!$D$3:$E$13,2,0),"Нет в справочнике")</f>
        <v>Завершен</v>
      </c>
      <c r="M480" t="str">
        <f t="shared" si="127"/>
        <v/>
      </c>
      <c r="N480" t="str">
        <f>IFERROR(VLOOKUP(I480,Товары_очищенные!$H$2:$J$502,3,0),"Нет в каталоге")</f>
        <v>Наушники</v>
      </c>
      <c r="O480" s="4">
        <f>IFERROR(VLOOKUP(I480,Товары_очищенные!$H$2:$M$502,6,0),"")</f>
        <v>18000</v>
      </c>
      <c r="P480" t="str">
        <f t="shared" si="128"/>
        <v xml:space="preserve">Цена отличается от каталога</v>
      </c>
    </row>
    <row r="481">
      <c r="A481" s="3" t="s">
        <v>2993</v>
      </c>
      <c r="B481" s="3" t="s">
        <v>2995</v>
      </c>
      <c r="C481" s="3" t="s">
        <v>1905</v>
      </c>
      <c r="D481" s="3" t="s">
        <v>2087</v>
      </c>
      <c r="E481" s="3" t="s">
        <v>2996</v>
      </c>
      <c r="F481" s="3" t="s">
        <v>1814</v>
      </c>
      <c r="G481" s="3" t="s">
        <v>1908</v>
      </c>
      <c r="H481" s="5">
        <f t="shared" si="124"/>
        <v>45911</v>
      </c>
      <c r="I481" t="str">
        <f t="shared" si="125"/>
        <v>АРТ-129</v>
      </c>
      <c r="J481" s="6">
        <f t="shared" si="126"/>
        <v>1</v>
      </c>
      <c r="K481" s="4">
        <f>VALUE(SUBSTITUTE(SUBSTITUTE(SUBSTITUTE(SUBSTITUTE(D481,"$",""),"€",""),"₽","")," ",""))*IF(ISNUMBER(FIND("$",D481)),Справочники!$H$3,IF(ISNUMBER(FIND("€",D481)),Справочники!$H$4,1))</f>
        <v>9200</v>
      </c>
      <c r="L481" t="str">
        <f>IFERROR(VLOOKUP(TRIM(G481),Справочники!$D$3:$E$13,2,0),"Нет в справочнике")</f>
        <v>Завершен</v>
      </c>
      <c r="M481" t="str">
        <f t="shared" si="127"/>
        <v/>
      </c>
      <c r="N481" t="str">
        <f>IFERROR(VLOOKUP(I481,Товары_очищенные!$H$2:$J$502,3,0),"Нет в каталоге")</f>
        <v>Смартфоны</v>
      </c>
      <c r="O481" s="4">
        <f>IFERROR(VLOOKUP(I481,Товары_очищенные!$H$2:$M$502,6,0),"")</f>
        <v>53500</v>
      </c>
      <c r="P481" t="str">
        <f t="shared" si="128"/>
        <v xml:space="preserve">Цена отличается от каталога</v>
      </c>
    </row>
    <row r="482">
      <c r="A482" s="3" t="s">
        <v>2997</v>
      </c>
      <c r="B482" s="3" t="s">
        <v>2649</v>
      </c>
      <c r="C482" s="3" t="s">
        <v>1930</v>
      </c>
      <c r="D482" s="3" t="s">
        <v>1986</v>
      </c>
      <c r="E482" s="3" t="s">
        <v>2998</v>
      </c>
      <c r="F482" s="3" t="s">
        <v>1880</v>
      </c>
      <c r="G482" s="3" t="s">
        <v>1913</v>
      </c>
      <c r="H482" s="5">
        <f t="shared" si="124"/>
        <v>45912</v>
      </c>
      <c r="I482" t="str">
        <f t="shared" si="125"/>
        <v>АРТ-074</v>
      </c>
      <c r="J482" s="6">
        <f t="shared" si="126"/>
        <v>3</v>
      </c>
      <c r="K482" s="4">
        <f>VALUE(SUBSTITUTE(SUBSTITUTE(SUBSTITUTE(SUBSTITUTE(D482,"$",""),"€",""),"₽","")," ",""))*IF(ISNUMBER(FIND("$",D482)),Справочники!$H$3,IF(ISNUMBER(FIND("€",D482)),Справочники!$H$4,1))</f>
        <v>8550</v>
      </c>
      <c r="L482" t="str">
        <f>IFERROR(VLOOKUP(TRIM(G482),Справочники!$D$3:$E$13,2,0),"Нет в справочнике")</f>
        <v>Завершен</v>
      </c>
      <c r="M482" t="str">
        <f t="shared" si="127"/>
        <v/>
      </c>
      <c r="N482" t="str">
        <f>IFERROR(VLOOKUP(I482,Товары_очищенные!$H$2:$J$502,3,0),"Нет в каталоге")</f>
        <v>Мониторы</v>
      </c>
      <c r="O482" s="4">
        <f>IFERROR(VLOOKUP(I482,Товары_очищенные!$H$2:$M$502,6,0),"")</f>
        <v>77500</v>
      </c>
      <c r="P482" t="str">
        <f t="shared" si="128"/>
        <v xml:space="preserve">Цена отличается от каталога</v>
      </c>
    </row>
    <row r="483">
      <c r="A483" s="3" t="s">
        <v>2997</v>
      </c>
      <c r="B483" s="3" t="s">
        <v>2561</v>
      </c>
      <c r="C483" s="3" t="s">
        <v>1900</v>
      </c>
      <c r="D483" s="3" t="s">
        <v>1989</v>
      </c>
      <c r="E483" s="3" t="s">
        <v>2999</v>
      </c>
      <c r="F483" s="3" t="s">
        <v>1636</v>
      </c>
      <c r="G483" s="3" t="s">
        <v>1918</v>
      </c>
      <c r="H483" s="5">
        <f t="shared" si="124"/>
        <v>45912</v>
      </c>
      <c r="I483" t="str">
        <f t="shared" si="125"/>
        <v>АРТ-462</v>
      </c>
      <c r="J483" s="6">
        <f t="shared" si="126"/>
        <v>2</v>
      </c>
      <c r="K483" s="4">
        <f>VALUE(SUBSTITUTE(SUBSTITUTE(SUBSTITUTE(SUBSTITUTE(D483,"$",""),"€",""),"₽","")," ",""))*IF(ISNUMBER(FIND("$",D483)),Справочники!$H$3,IF(ISNUMBER(FIND("€",D483)),Справочники!$H$4,1))</f>
        <v>7000</v>
      </c>
      <c r="L483" t="str">
        <f>IFERROR(VLOOKUP(TRIM(G483),Справочники!$D$3:$E$13,2,0),"Нет в справочнике")</f>
        <v>Отменен</v>
      </c>
      <c r="M483" t="str">
        <f t="shared" si="127"/>
        <v/>
      </c>
      <c r="N483" t="str">
        <f>IFERROR(VLOOKUP(I483,Товары_очищенные!$H$2:$J$502,3,0),"Нет в каталоге")</f>
        <v>Часы</v>
      </c>
      <c r="O483" s="4">
        <f>IFERROR(VLOOKUP(I483,Товары_очищенные!$H$2:$M$502,6,0),"")</f>
        <v>49500</v>
      </c>
      <c r="P483" t="str">
        <f t="shared" si="128"/>
        <v xml:space="preserve">Цена отличается от каталога</v>
      </c>
    </row>
    <row r="484">
      <c r="A484" s="3" t="s">
        <v>3000</v>
      </c>
      <c r="B484" s="3" t="s">
        <v>3001</v>
      </c>
      <c r="C484" s="3" t="s">
        <v>1938</v>
      </c>
      <c r="D484" s="3" t="s">
        <v>1939</v>
      </c>
      <c r="E484" s="3" t="s">
        <v>3002</v>
      </c>
      <c r="F484" s="3" t="s">
        <v>1740</v>
      </c>
      <c r="G484" s="3" t="s">
        <v>1924</v>
      </c>
      <c r="H484" s="5">
        <f t="shared" ref="H484:H547" si="129">DATE(VALUE(RIGHT(A484,4)),VALUE(LEFT(A484,2)),VALUE(MID(A484,4,2)))</f>
        <v>45913</v>
      </c>
      <c r="I484" t="str">
        <f t="shared" ref="I484:I547" si="130">"АРТ-"&amp;TEXT(VALUE(LEFT(SUBSTITUTE(SUBSTITUTE(SUBSTITUTE(SUBSTITUTE(TRIM(B484),"№",""),"АРТ-",""),"АРТ_",""),"АРТ",""),3)),"000")</f>
        <v>АРТ-362</v>
      </c>
      <c r="J484" s="6">
        <f t="shared" ref="J484:J547" si="131">VALUE(TRIM(SUBSTITUTE(SUBSTITUTE(TRIM(C484),"шт.",""),"шт","")))</f>
        <v>1</v>
      </c>
      <c r="K484" s="4">
        <f>VALUE(SUBSTITUTE(SUBSTITUTE(SUBSTITUTE(SUBSTITUTE(D484,"$",""),"€",""),"₽","")," ",""))*IF(ISNUMBER(FIND("$",D484)),Справочники!$H$3,IF(ISNUMBER(FIND("€",D484)),Справочники!$H$4,1))</f>
        <v>6500</v>
      </c>
      <c r="L484" t="str">
        <f>IFERROR(VLOOKUP(TRIM(G484),Справочники!$D$3:$E$13,2,0),"Нет в справочнике")</f>
        <v>Отменен</v>
      </c>
      <c r="M484" t="str">
        <f t="shared" ref="M484:M547" si="132">IF(COUNTIFS($H$2:H484,H484,$I$2:I484,I484,$E$2:E484,E484)&gt;1,"Дубликат","")</f>
        <v/>
      </c>
      <c r="N484" t="str">
        <f>IFERROR(VLOOKUP(I484,Товары_очищенные!$H$2:$J$502,3,0),"Нет в каталоге")</f>
        <v>Ноутбуки</v>
      </c>
      <c r="O484" s="4">
        <f>IFERROR(VLOOKUP(I484,Товары_очищенные!$H$2:$M$502,6,0),"")</f>
        <v>142500</v>
      </c>
      <c r="P484" t="str">
        <f t="shared" ref="P484:P547" si="133">IF(O484="","Нет в каталоге",IF(ABS(K484/O484-1)&lt;=0.2,"ОК","Цена отличается от каталога"))</f>
        <v xml:space="preserve">Цена отличается от каталога</v>
      </c>
    </row>
    <row r="485">
      <c r="A485" s="3" t="s">
        <v>3000</v>
      </c>
      <c r="B485" s="3" t="s">
        <v>2422</v>
      </c>
      <c r="C485" s="3" t="s">
        <v>1915</v>
      </c>
      <c r="D485" s="3" t="s">
        <v>1916</v>
      </c>
      <c r="E485" s="3" t="s">
        <v>3003</v>
      </c>
      <c r="F485" s="3" t="s">
        <v>1682</v>
      </c>
      <c r="G485" s="3" t="s">
        <v>1903</v>
      </c>
      <c r="H485" s="5">
        <f t="shared" si="129"/>
        <v>45913</v>
      </c>
      <c r="I485" t="str">
        <f t="shared" si="130"/>
        <v>АРТ-383</v>
      </c>
      <c r="J485" s="6">
        <f t="shared" si="131"/>
        <v>-1</v>
      </c>
      <c r="K485" s="4">
        <f>VALUE(SUBSTITUTE(SUBSTITUTE(SUBSTITUTE(SUBSTITUTE(D485,"$",""),"€",""),"₽","")," ",""))*IF(ISNUMBER(FIND("$",D485)),Справочники!$H$3,IF(ISNUMBER(FIND("€",D485)),Справочники!$H$4,1))</f>
        <v>10450</v>
      </c>
      <c r="L485" t="str">
        <f>IFERROR(VLOOKUP(TRIM(G485),Справочники!$D$3:$E$13,2,0),"Нет в справочнике")</f>
        <v>Завершен</v>
      </c>
      <c r="M485" t="str">
        <f t="shared" si="132"/>
        <v/>
      </c>
      <c r="N485" t="str">
        <f>IFERROR(VLOOKUP(I485,Товары_очищенные!$H$2:$J$502,3,0),"Нет в каталоге")</f>
        <v>Смартфоны</v>
      </c>
      <c r="O485" s="4">
        <f>IFERROR(VLOOKUP(I485,Товары_очищенные!$H$2:$M$502,6,0),"")</f>
        <v>41500</v>
      </c>
      <c r="P485" t="str">
        <f t="shared" si="133"/>
        <v xml:space="preserve">Цена отличается от каталога</v>
      </c>
    </row>
    <row r="486">
      <c r="A486" s="3" t="s">
        <v>3004</v>
      </c>
      <c r="B486" s="3" t="s">
        <v>1050</v>
      </c>
      <c r="C486" s="3" t="s">
        <v>1930</v>
      </c>
      <c r="D486" s="3" t="s">
        <v>1922</v>
      </c>
      <c r="E486" s="3" t="s">
        <v>3005</v>
      </c>
      <c r="F486" s="3" t="s">
        <v>1820</v>
      </c>
      <c r="G486" s="3" t="s">
        <v>1927</v>
      </c>
      <c r="H486" s="5">
        <f t="shared" si="129"/>
        <v>45914</v>
      </c>
      <c r="I486" t="str">
        <f t="shared" si="130"/>
        <v>АРТ-284</v>
      </c>
      <c r="J486" s="6">
        <f t="shared" si="131"/>
        <v>3</v>
      </c>
      <c r="K486" s="4">
        <f>VALUE(SUBSTITUTE(SUBSTITUTE(SUBSTITUTE(SUBSTITUTE(D486,"$",""),"€",""),"₽","")," ",""))*IF(ISNUMBER(FIND("$",D486)),Справочники!$H$3,IF(ISNUMBER(FIND("€",D486)),Справочники!$H$4,1))</f>
        <v>9000</v>
      </c>
      <c r="L486" t="str">
        <f>IFERROR(VLOOKUP(TRIM(G486),Справочники!$D$3:$E$13,2,0),"Нет в справочнике")</f>
        <v>Возврат</v>
      </c>
      <c r="M486" t="str">
        <f t="shared" si="132"/>
        <v/>
      </c>
      <c r="N486" t="str">
        <f>IFERROR(VLOOKUP(I486,Товары_очищенные!$H$2:$J$502,3,0),"Нет в каталоге")</f>
        <v>Мониторы</v>
      </c>
      <c r="O486" s="4">
        <f>IFERROR(VLOOKUP(I486,Товары_очищенные!$H$2:$M$502,6,0),"")</f>
        <v>82000</v>
      </c>
      <c r="P486" t="str">
        <f t="shared" si="133"/>
        <v xml:space="preserve">Цена отличается от каталога</v>
      </c>
    </row>
    <row r="487">
      <c r="A487" s="3" t="s">
        <v>3004</v>
      </c>
      <c r="B487" s="3" t="s">
        <v>1028</v>
      </c>
      <c r="C487" s="3" t="s">
        <v>1900</v>
      </c>
      <c r="D487" s="3" t="s">
        <v>1925</v>
      </c>
      <c r="E487" s="3" t="s">
        <v>3006</v>
      </c>
      <c r="F487" s="3" t="s">
        <v>1580</v>
      </c>
      <c r="G487" s="3" t="s">
        <v>1908</v>
      </c>
      <c r="H487" s="5">
        <f t="shared" si="129"/>
        <v>45914</v>
      </c>
      <c r="I487" t="str">
        <f t="shared" si="130"/>
        <v>АРТ-276</v>
      </c>
      <c r="J487" s="6">
        <f t="shared" si="131"/>
        <v>2</v>
      </c>
      <c r="K487" s="4">
        <f>VALUE(SUBSTITUTE(SUBSTITUTE(SUBSTITUTE(SUBSTITUTE(D487,"$",""),"€",""),"₽","")," ",""))*IF(ISNUMBER(FIND("$",D487)),Справочники!$H$3,IF(ISNUMBER(FIND("€",D487)),Справочники!$H$4,1))</f>
        <v>8000</v>
      </c>
      <c r="L487" t="str">
        <f>IFERROR(VLOOKUP(TRIM(G487),Справочники!$D$3:$E$13,2,0),"Нет в справочнике")</f>
        <v>Завершен</v>
      </c>
      <c r="M487" t="str">
        <f t="shared" si="132"/>
        <v/>
      </c>
      <c r="N487" t="str">
        <f>IFERROR(VLOOKUP(I487,Товары_очищенные!$H$2:$J$502,3,0),"Нет в каталоге")</f>
        <v>Планшеты</v>
      </c>
      <c r="O487" s="4">
        <f>IFERROR(VLOOKUP(I487,Товары_очищенные!$H$2:$M$502,6,0),"")</f>
        <v>50500</v>
      </c>
      <c r="P487" t="str">
        <f t="shared" si="133"/>
        <v xml:space="preserve">Цена отличается от каталога</v>
      </c>
    </row>
    <row r="488">
      <c r="A488" s="3" t="s">
        <v>3007</v>
      </c>
      <c r="B488" s="3" t="s">
        <v>3008</v>
      </c>
      <c r="C488" s="3" t="s">
        <v>1905</v>
      </c>
      <c r="D488" s="3" t="s">
        <v>1964</v>
      </c>
      <c r="E488" s="3" t="s">
        <v>3009</v>
      </c>
      <c r="F488" s="3" t="s">
        <v>1727</v>
      </c>
      <c r="G488" s="3" t="s">
        <v>1913</v>
      </c>
      <c r="H488" s="5">
        <f t="shared" si="129"/>
        <v>45915</v>
      </c>
      <c r="I488" t="str">
        <f t="shared" si="130"/>
        <v>АРТ-047</v>
      </c>
      <c r="J488" s="6">
        <f t="shared" si="131"/>
        <v>1</v>
      </c>
      <c r="K488" s="4">
        <f>VALUE(SUBSTITUTE(SUBSTITUTE(SUBSTITUTE(SUBSTITUTE(D488,"$",""),"€",""),"₽","")," ",""))*IF(ISNUMBER(FIND("$",D488)),Справочники!$H$3,IF(ISNUMBER(FIND("€",D488)),Справочники!$H$4,1))</f>
        <v>9025</v>
      </c>
      <c r="L488" t="str">
        <f>IFERROR(VLOOKUP(TRIM(G488),Справочники!$D$3:$E$13,2,0),"Нет в справочнике")</f>
        <v>Завершен</v>
      </c>
      <c r="M488" t="str">
        <f t="shared" si="132"/>
        <v/>
      </c>
      <c r="N488" t="str">
        <f>IFERROR(VLOOKUP(I488,Товары_очищенные!$H$2:$J$502,3,0),"Нет в каталоге")</f>
        <v>Наушники</v>
      </c>
      <c r="O488" s="4">
        <f>IFERROR(VLOOKUP(I488,Товары_очищенные!$H$2:$M$502,6,0),"")</f>
        <v>23900</v>
      </c>
      <c r="P488" t="str">
        <f t="shared" si="133"/>
        <v xml:space="preserve">Цена отличается от каталога</v>
      </c>
    </row>
    <row r="489">
      <c r="A489" s="3" t="s">
        <v>3007</v>
      </c>
      <c r="B489" s="3" t="s">
        <v>2676</v>
      </c>
      <c r="C489" s="3" t="s">
        <v>1900</v>
      </c>
      <c r="D489" s="3" t="s">
        <v>1968</v>
      </c>
      <c r="E489" s="3" t="s">
        <v>3010</v>
      </c>
      <c r="F489" s="3" t="s">
        <v>1629</v>
      </c>
      <c r="G489" s="3" t="s">
        <v>1903</v>
      </c>
      <c r="H489" s="5">
        <f t="shared" si="129"/>
        <v>45915</v>
      </c>
      <c r="I489" t="str">
        <f t="shared" si="130"/>
        <v>АРТ-471</v>
      </c>
      <c r="J489" s="6">
        <f t="shared" si="131"/>
        <v>2</v>
      </c>
      <c r="K489" s="4">
        <f>VALUE(SUBSTITUTE(SUBSTITUTE(SUBSTITUTE(SUBSTITUTE(D489,"$",""),"€",""),"₽","")," ",""))*IF(ISNUMBER(FIND("$",D489)),Справочники!$H$3,IF(ISNUMBER(FIND("€",D489)),Справочники!$H$4,1))</f>
        <v>7500</v>
      </c>
      <c r="L489" t="str">
        <f>IFERROR(VLOOKUP(TRIM(G489),Справочники!$D$3:$E$13,2,0),"Нет в справочнике")</f>
        <v>Завершен</v>
      </c>
      <c r="M489" t="str">
        <f t="shared" si="132"/>
        <v/>
      </c>
      <c r="N489" t="str">
        <f>IFERROR(VLOOKUP(I489,Товары_очищенные!$H$2:$J$502,3,0),"Нет в каталоге")</f>
        <v>Телевизоры</v>
      </c>
      <c r="O489" s="4">
        <f>IFERROR(VLOOKUP(I489,Товары_очищенные!$H$2:$M$502,6,0),"")</f>
        <v>61000</v>
      </c>
      <c r="P489" t="str">
        <f t="shared" si="133"/>
        <v xml:space="preserve">Цена отличается от каталога</v>
      </c>
    </row>
    <row r="490">
      <c r="A490" s="3" t="s">
        <v>3011</v>
      </c>
      <c r="B490" s="3" t="s">
        <v>3012</v>
      </c>
      <c r="C490" s="3" t="s">
        <v>1910</v>
      </c>
      <c r="D490" s="3" t="s">
        <v>1971</v>
      </c>
      <c r="E490" s="3" t="s">
        <v>3013</v>
      </c>
      <c r="F490" s="3" t="s">
        <v>1778</v>
      </c>
      <c r="G490" s="3" t="s">
        <v>1924</v>
      </c>
      <c r="H490" s="5">
        <f t="shared" si="129"/>
        <v>45916</v>
      </c>
      <c r="I490" t="str">
        <f t="shared" si="130"/>
        <v>АРТ-308</v>
      </c>
      <c r="J490" s="6">
        <f t="shared" si="131"/>
        <v>3</v>
      </c>
      <c r="K490" s="4">
        <f>VALUE(SUBSTITUTE(SUBSTITUTE(SUBSTITUTE(SUBSTITUTE(D490,"$",""),"€",""),"₽","")," ",""))*IF(ISNUMBER(FIND("$",D490)),Справочники!$H$3,IF(ISNUMBER(FIND("€",D490)),Справочники!$H$4,1))</f>
        <v>7000</v>
      </c>
      <c r="L490" t="str">
        <f>IFERROR(VLOOKUP(TRIM(G490),Справочники!$D$3:$E$13,2,0),"Нет в справочнике")</f>
        <v>Отменен</v>
      </c>
      <c r="M490" t="str">
        <f t="shared" si="132"/>
        <v/>
      </c>
      <c r="N490" t="str">
        <f>IFERROR(VLOOKUP(I490,Товары_очищенные!$H$2:$J$502,3,0),"Нет в каталоге")</f>
        <v>Аксессуары</v>
      </c>
      <c r="O490" s="4">
        <f>IFERROR(VLOOKUP(I490,Товары_очищенные!$H$2:$M$502,6,0),"")</f>
        <v>8500</v>
      </c>
      <c r="P490" t="str">
        <f t="shared" si="133"/>
        <v>ОК</v>
      </c>
    </row>
    <row r="491">
      <c r="A491" s="3" t="s">
        <v>3011</v>
      </c>
      <c r="B491" s="3" t="s">
        <v>2535</v>
      </c>
      <c r="C491" s="3" t="s">
        <v>1942</v>
      </c>
      <c r="D491" s="3" t="s">
        <v>1943</v>
      </c>
      <c r="E491" s="3" t="s">
        <v>3014</v>
      </c>
      <c r="F491" s="3" t="s">
        <v>1862</v>
      </c>
      <c r="G491" s="3" t="s">
        <v>1918</v>
      </c>
      <c r="H491" s="5">
        <f t="shared" si="129"/>
        <v>45916</v>
      </c>
      <c r="I491" t="str">
        <f t="shared" si="130"/>
        <v>АРТ-102</v>
      </c>
      <c r="J491" s="6">
        <f t="shared" si="131"/>
        <v>-2</v>
      </c>
      <c r="K491" s="4">
        <f>VALUE(SUBSTITUTE(SUBSTITUTE(SUBSTITUTE(SUBSTITUTE(D491,"$",""),"€",""),"₽","")," ",""))*IF(ISNUMBER(FIND("$",D491)),Справочники!$H$3,IF(ISNUMBER(FIND("€",D491)),Справочники!$H$4,1))</f>
        <v>10925</v>
      </c>
      <c r="L491" t="str">
        <f>IFERROR(VLOOKUP(TRIM(G491),Справочники!$D$3:$E$13,2,0),"Нет в справочнике")</f>
        <v>Отменен</v>
      </c>
      <c r="M491" t="str">
        <f t="shared" si="132"/>
        <v/>
      </c>
      <c r="N491" t="str">
        <f>IFERROR(VLOOKUP(I491,Товары_очищенные!$H$2:$J$502,3,0),"Нет в каталоге")</f>
        <v>Планшеты</v>
      </c>
      <c r="O491" s="4">
        <f>IFERROR(VLOOKUP(I491,Товары_очищенные!$H$2:$M$502,6,0),"")</f>
        <v>58500</v>
      </c>
      <c r="P491" t="str">
        <f t="shared" si="133"/>
        <v xml:space="preserve">Цена отличается от каталога</v>
      </c>
    </row>
    <row r="492">
      <c r="A492" s="3" t="s">
        <v>3015</v>
      </c>
      <c r="B492" s="3" t="s">
        <v>1070</v>
      </c>
      <c r="C492" s="3" t="s">
        <v>1905</v>
      </c>
      <c r="D492" s="3" t="s">
        <v>1934</v>
      </c>
      <c r="E492" s="3" t="s">
        <v>3016</v>
      </c>
      <c r="F492" s="3" t="s">
        <v>1695</v>
      </c>
      <c r="G492" s="3" t="s">
        <v>1927</v>
      </c>
      <c r="H492" s="5">
        <f t="shared" si="129"/>
        <v>45917</v>
      </c>
      <c r="I492" t="str">
        <f t="shared" si="130"/>
        <v>АРТ-290</v>
      </c>
      <c r="J492" s="6">
        <f t="shared" si="131"/>
        <v>1</v>
      </c>
      <c r="K492" s="4">
        <f>VALUE(SUBSTITUTE(SUBSTITUTE(SUBSTITUTE(SUBSTITUTE(D492,"$",""),"€",""),"₽","")," ",""))*IF(ISNUMBER(FIND("$",D492)),Справочники!$H$3,IF(ISNUMBER(FIND("€",D492)),Справочники!$H$4,1))</f>
        <v>9500</v>
      </c>
      <c r="L492" t="str">
        <f>IFERROR(VLOOKUP(TRIM(G492),Справочники!$D$3:$E$13,2,0),"Нет в справочнике")</f>
        <v>Возврат</v>
      </c>
      <c r="M492" t="str">
        <f t="shared" si="132"/>
        <v/>
      </c>
      <c r="N492" t="str">
        <f>IFERROR(VLOOKUP(I492,Товары_очищенные!$H$2:$J$502,3,0),"Нет в каталоге")</f>
        <v>Часы</v>
      </c>
      <c r="O492" s="4">
        <f>IFERROR(VLOOKUP(I492,Товары_очищенные!$H$2:$M$502,6,0),"")</f>
        <v>60500</v>
      </c>
      <c r="P492" t="str">
        <f t="shared" si="133"/>
        <v xml:space="preserve">Цена отличается от каталога</v>
      </c>
    </row>
    <row r="493">
      <c r="A493" s="3" t="s">
        <v>3015</v>
      </c>
      <c r="B493" s="3" t="s">
        <v>2685</v>
      </c>
      <c r="C493" s="3" t="s">
        <v>1900</v>
      </c>
      <c r="D493" s="3" t="s">
        <v>1951</v>
      </c>
      <c r="E493" s="3" t="s">
        <v>3017</v>
      </c>
      <c r="F493" s="3" t="s">
        <v>1573</v>
      </c>
      <c r="G493" s="3" t="s">
        <v>1903</v>
      </c>
      <c r="H493" s="5">
        <f t="shared" si="129"/>
        <v>45917</v>
      </c>
      <c r="I493" t="str">
        <f t="shared" si="130"/>
        <v>АРТ-063</v>
      </c>
      <c r="J493" s="6">
        <f t="shared" si="131"/>
        <v>2</v>
      </c>
      <c r="K493" s="4">
        <f>VALUE(SUBSTITUTE(SUBSTITUTE(SUBSTITUTE(SUBSTITUTE(D493,"$",""),"€",""),"₽","")," ",""))*IF(ISNUMBER(FIND("$",D493)),Справочники!$H$3,IF(ISNUMBER(FIND("€",D493)),Справочники!$H$4,1))</f>
        <v>8500</v>
      </c>
      <c r="L493" t="str">
        <f>IFERROR(VLOOKUP(TRIM(G493),Справочники!$D$3:$E$13,2,0),"Нет в справочнике")</f>
        <v>Завершен</v>
      </c>
      <c r="M493" t="str">
        <f t="shared" si="132"/>
        <v/>
      </c>
      <c r="N493" t="str">
        <f>IFERROR(VLOOKUP(I493,Товары_очищенные!$H$2:$J$502,3,0),"Нет в каталоге")</f>
        <v>Ноутбуки</v>
      </c>
      <c r="O493" s="4">
        <f>IFERROR(VLOOKUP(I493,Товары_очищенные!$H$2:$M$502,6,0),"")</f>
        <v>127000</v>
      </c>
      <c r="P493" t="str">
        <f t="shared" si="133"/>
        <v xml:space="preserve">Цена отличается от каталога</v>
      </c>
    </row>
    <row r="494">
      <c r="A494" s="3" t="s">
        <v>3018</v>
      </c>
      <c r="B494" s="3" t="s">
        <v>652</v>
      </c>
      <c r="C494" s="3" t="s">
        <v>1930</v>
      </c>
      <c r="D494" s="3" t="s">
        <v>1931</v>
      </c>
      <c r="E494" s="3" t="s">
        <v>3019</v>
      </c>
      <c r="F494" s="3" t="s">
        <v>1808</v>
      </c>
      <c r="G494" s="3" t="s">
        <v>1908</v>
      </c>
      <c r="H494" s="5">
        <f t="shared" si="129"/>
        <v>45918</v>
      </c>
      <c r="I494" t="str">
        <f t="shared" si="130"/>
        <v>АРТ-154</v>
      </c>
      <c r="J494" s="6">
        <f t="shared" si="131"/>
        <v>3</v>
      </c>
      <c r="K494" s="4">
        <f>VALUE(SUBSTITUTE(SUBSTITUTE(SUBSTITUTE(SUBSTITUTE(D494,"$",""),"€",""),"₽","")," ",""))*IF(ISNUMBER(FIND("$",D494)),Справочники!$H$3,IF(ISNUMBER(FIND("€",D494)),Справочники!$H$4,1))</f>
        <v>9975</v>
      </c>
      <c r="L494" t="str">
        <f>IFERROR(VLOOKUP(TRIM(G494),Справочники!$D$3:$E$13,2,0),"Нет в справочнике")</f>
        <v>Завершен</v>
      </c>
      <c r="M494" t="str">
        <f t="shared" si="132"/>
        <v/>
      </c>
      <c r="N494" t="str">
        <f>IFERROR(VLOOKUP(I494,Товары_очищенные!$H$2:$J$502,3,0),"Нет в каталоге")</f>
        <v>Наушники</v>
      </c>
      <c r="O494" s="4">
        <f>IFERROR(VLOOKUP(I494,Товары_очищенные!$H$2:$M$502,6,0),"")</f>
        <v>16990</v>
      </c>
      <c r="P494" t="str">
        <f t="shared" si="133"/>
        <v xml:space="preserve">Цена отличается от каталога</v>
      </c>
    </row>
    <row r="495">
      <c r="A495" s="3" t="s">
        <v>3018</v>
      </c>
      <c r="B495" s="3" t="s">
        <v>3020</v>
      </c>
      <c r="C495" s="3" t="s">
        <v>1900</v>
      </c>
      <c r="D495" s="3" t="s">
        <v>1906</v>
      </c>
      <c r="E495" s="3" t="s">
        <v>3021</v>
      </c>
      <c r="F495" s="3" t="s">
        <v>1670</v>
      </c>
      <c r="G495" s="3" t="s">
        <v>1913</v>
      </c>
      <c r="H495" s="5">
        <f t="shared" si="129"/>
        <v>45918</v>
      </c>
      <c r="I495" t="str">
        <f t="shared" si="130"/>
        <v>АРТ-498</v>
      </c>
      <c r="J495" s="6">
        <f t="shared" si="131"/>
        <v>2</v>
      </c>
      <c r="K495" s="4">
        <f>VALUE(SUBSTITUTE(SUBSTITUTE(SUBSTITUTE(SUBSTITUTE(D495,"$",""),"€",""),"₽","")," ",""))*IF(ISNUMBER(FIND("$",D495)),Справочники!$H$3,IF(ISNUMBER(FIND("€",D495)),Справочники!$H$4,1))</f>
        <v>8500</v>
      </c>
      <c r="L495" t="str">
        <f>IFERROR(VLOOKUP(TRIM(G495),Справочники!$D$3:$E$13,2,0),"Нет в справочнике")</f>
        <v>Завершен</v>
      </c>
      <c r="M495" t="str">
        <f t="shared" si="132"/>
        <v/>
      </c>
      <c r="N495" t="str">
        <f>IFERROR(VLOOKUP(I495,Товары_очищенные!$H$2:$J$502,3,0),"Нет в каталоге")</f>
        <v>Мониторы</v>
      </c>
      <c r="O495" s="4">
        <f>IFERROR(VLOOKUP(I495,Товары_очищенные!$H$2:$M$502,6,0),"")</f>
        <v>62000</v>
      </c>
      <c r="P495" t="str">
        <f t="shared" si="133"/>
        <v xml:space="preserve">Цена отличается от каталога</v>
      </c>
    </row>
    <row r="496">
      <c r="A496" s="3" t="s">
        <v>3022</v>
      </c>
      <c r="B496" s="3" t="s">
        <v>1122</v>
      </c>
      <c r="C496" s="3" t="s">
        <v>1938</v>
      </c>
      <c r="D496" s="3" t="s">
        <v>2166</v>
      </c>
      <c r="E496" s="3" t="s">
        <v>3023</v>
      </c>
      <c r="F496" s="3" t="s">
        <v>1752</v>
      </c>
      <c r="G496" s="3" t="s">
        <v>1918</v>
      </c>
      <c r="H496" s="5">
        <f t="shared" si="129"/>
        <v>45919</v>
      </c>
      <c r="I496" t="str">
        <f t="shared" si="130"/>
        <v>АРТ-309</v>
      </c>
      <c r="J496" s="6">
        <f t="shared" si="131"/>
        <v>1</v>
      </c>
      <c r="K496" s="4">
        <f>VALUE(SUBSTITUTE(SUBSTITUTE(SUBSTITUTE(SUBSTITUTE(D496,"$",""),"€",""),"₽","")," ",""))*IF(ISNUMBER(FIND("$",D496)),Справочники!$H$3,IF(ISNUMBER(FIND("€",D496)),Справочники!$H$4,1))</f>
        <v>7800</v>
      </c>
      <c r="L496" t="str">
        <f>IFERROR(VLOOKUP(TRIM(G496),Справочники!$D$3:$E$13,2,0),"Нет в справочнике")</f>
        <v>Отменен</v>
      </c>
      <c r="M496" t="str">
        <f t="shared" si="132"/>
        <v/>
      </c>
      <c r="N496" t="str">
        <f>IFERROR(VLOOKUP(I496,Товары_очищенные!$H$2:$J$502,3,0),"Нет в каталоге")</f>
        <v>Аксессуары</v>
      </c>
      <c r="O496" s="4">
        <f>IFERROR(VLOOKUP(I496,Товары_очищенные!$H$2:$M$502,6,0),"")</f>
        <v>9800</v>
      </c>
      <c r="P496" t="str">
        <f t="shared" si="133"/>
        <v xml:space="preserve">Цена отличается от каталога</v>
      </c>
    </row>
    <row r="497">
      <c r="A497" s="3" t="s">
        <v>3022</v>
      </c>
      <c r="B497" s="3" t="s">
        <v>976</v>
      </c>
      <c r="C497" s="3" t="s">
        <v>1985</v>
      </c>
      <c r="D497" s="3" t="s">
        <v>2044</v>
      </c>
      <c r="E497" s="3" t="s">
        <v>3024</v>
      </c>
      <c r="F497" s="3" t="s">
        <v>1790</v>
      </c>
      <c r="G497" s="3" t="s">
        <v>1924</v>
      </c>
      <c r="H497" s="5">
        <f t="shared" si="129"/>
        <v>45919</v>
      </c>
      <c r="I497" t="str">
        <f t="shared" si="130"/>
        <v>АРТ-259</v>
      </c>
      <c r="J497" s="6">
        <f t="shared" si="131"/>
        <v>-3</v>
      </c>
      <c r="K497" s="4">
        <f>VALUE(SUBSTITUTE(SUBSTITUTE(SUBSTITUTE(SUBSTITUTE(D497,"$",""),"€",""),"₽","")," ",""))*IF(ISNUMBER(FIND("$",D497)),Справочники!$H$3,IF(ISNUMBER(FIND("€",D497)),Справочники!$H$4,1))</f>
        <v>11400</v>
      </c>
      <c r="L497" t="str">
        <f>IFERROR(VLOOKUP(TRIM(G497),Справочники!$D$3:$E$13,2,0),"Нет в справочнике")</f>
        <v>Отменен</v>
      </c>
      <c r="M497" t="str">
        <f t="shared" si="132"/>
        <v/>
      </c>
      <c r="N497" t="str">
        <f>IFERROR(VLOOKUP(I497,Товары_очищенные!$H$2:$J$502,3,0),"Нет в каталоге")</f>
        <v>Телевизоры</v>
      </c>
      <c r="O497" s="4">
        <f>IFERROR(VLOOKUP(I497,Товары_очищенные!$H$2:$M$502,6,0),"")</f>
        <v>92990</v>
      </c>
      <c r="P497" t="str">
        <f t="shared" si="133"/>
        <v xml:space="preserve">Цена отличается от каталога</v>
      </c>
    </row>
    <row r="498">
      <c r="A498" s="3" t="s">
        <v>3025</v>
      </c>
      <c r="B498" s="3" t="s">
        <v>1167</v>
      </c>
      <c r="C498" s="3" t="s">
        <v>1900</v>
      </c>
      <c r="D498" s="3" t="s">
        <v>2046</v>
      </c>
      <c r="E498" s="3" t="s">
        <v>3026</v>
      </c>
      <c r="F498" s="3" t="s">
        <v>1856</v>
      </c>
      <c r="G498" s="3" t="s">
        <v>1903</v>
      </c>
      <c r="H498" s="5">
        <f t="shared" si="129"/>
        <v>45920</v>
      </c>
      <c r="I498" t="str">
        <f t="shared" si="130"/>
        <v>АРТ-326</v>
      </c>
      <c r="J498" s="6">
        <f t="shared" si="131"/>
        <v>2</v>
      </c>
      <c r="K498" s="4">
        <f>VALUE(SUBSTITUTE(SUBSTITUTE(SUBSTITUTE(SUBSTITUTE(D498,"$",""),"€",""),"₽","")," ",""))*IF(ISNUMBER(FIND("$",D498)),Справочники!$H$3,IF(ISNUMBER(FIND("€",D498)),Справочники!$H$4,1))</f>
        <v>10000</v>
      </c>
      <c r="L498" t="str">
        <f>IFERROR(VLOOKUP(TRIM(G498),Справочники!$D$3:$E$13,2,0),"Нет в справочнике")</f>
        <v>Завершен</v>
      </c>
      <c r="M498" t="str">
        <f t="shared" si="132"/>
        <v/>
      </c>
      <c r="N498" t="str">
        <f>IFERROR(VLOOKUP(I498,Товары_очищенные!$H$2:$J$502,3,0),"Нет в каталоге")</f>
        <v>Мониторы</v>
      </c>
      <c r="O498" s="4">
        <f>IFERROR(VLOOKUP(I498,Товары_очищенные!$H$2:$M$502,6,0),"")</f>
        <v>64500</v>
      </c>
      <c r="P498" t="str">
        <f t="shared" si="133"/>
        <v xml:space="preserve">Цена отличается от каталога</v>
      </c>
    </row>
    <row r="499">
      <c r="A499" s="3" t="s">
        <v>3025</v>
      </c>
      <c r="B499" s="3" t="s">
        <v>3027</v>
      </c>
      <c r="C499" s="3" t="s">
        <v>1905</v>
      </c>
      <c r="D499" s="3" t="s">
        <v>2087</v>
      </c>
      <c r="E499" s="3" t="s">
        <v>3028</v>
      </c>
      <c r="F499" s="3" t="s">
        <v>1708</v>
      </c>
      <c r="G499" s="3" t="s">
        <v>1927</v>
      </c>
      <c r="H499" s="5">
        <f t="shared" si="129"/>
        <v>45920</v>
      </c>
      <c r="I499" t="str">
        <f t="shared" si="130"/>
        <v>АРТ-145</v>
      </c>
      <c r="J499" s="6">
        <f t="shared" si="131"/>
        <v>1</v>
      </c>
      <c r="K499" s="4">
        <f>VALUE(SUBSTITUTE(SUBSTITUTE(SUBSTITUTE(SUBSTITUTE(D499,"$",""),"€",""),"₽","")," ",""))*IF(ISNUMBER(FIND("$",D499)),Справочники!$H$3,IF(ISNUMBER(FIND("€",D499)),Справочники!$H$4,1))</f>
        <v>9200</v>
      </c>
      <c r="L499" t="str">
        <f>IFERROR(VLOOKUP(TRIM(G499),Справочники!$D$3:$E$13,2,0),"Нет в справочнике")</f>
        <v>Возврат</v>
      </c>
      <c r="M499" t="str">
        <f t="shared" si="132"/>
        <v/>
      </c>
      <c r="N499" t="str">
        <f>IFERROR(VLOOKUP(I499,Товары_очищенные!$H$2:$J$502,3,0),"Нет в каталоге")</f>
        <v>Смартфоны</v>
      </c>
      <c r="O499" s="4">
        <f>IFERROR(VLOOKUP(I499,Товары_очищенные!$H$2:$M$502,6,0),"")</f>
        <v>45990</v>
      </c>
      <c r="P499" t="str">
        <f t="shared" si="133"/>
        <v xml:space="preserve">Цена отличается от каталога</v>
      </c>
    </row>
    <row r="500">
      <c r="A500" s="3" t="s">
        <v>3029</v>
      </c>
      <c r="B500" s="3" t="s">
        <v>3030</v>
      </c>
      <c r="C500" s="3" t="s">
        <v>1930</v>
      </c>
      <c r="D500" s="3" t="s">
        <v>1986</v>
      </c>
      <c r="E500" s="3" t="s">
        <v>3031</v>
      </c>
      <c r="F500" s="3" t="s">
        <v>1838</v>
      </c>
      <c r="G500" s="3" t="s">
        <v>1908</v>
      </c>
      <c r="H500" s="5">
        <f t="shared" si="129"/>
        <v>45921</v>
      </c>
      <c r="I500" t="str">
        <f t="shared" si="130"/>
        <v>АРТ-020</v>
      </c>
      <c r="J500" s="6">
        <f t="shared" si="131"/>
        <v>3</v>
      </c>
      <c r="K500" s="4">
        <f>VALUE(SUBSTITUTE(SUBSTITUTE(SUBSTITUTE(SUBSTITUTE(D500,"$",""),"€",""),"₽","")," ",""))*IF(ISNUMBER(FIND("$",D500)),Справочники!$H$3,IF(ISNUMBER(FIND("€",D500)),Справочники!$H$4,1))</f>
        <v>8550</v>
      </c>
      <c r="L500" t="str">
        <f>IFERROR(VLOOKUP(TRIM(G500),Справочники!$D$3:$E$13,2,0),"Нет в справочнике")</f>
        <v>Завершен</v>
      </c>
      <c r="M500" t="str">
        <f t="shared" si="132"/>
        <v/>
      </c>
      <c r="N500" t="str">
        <f>IFERROR(VLOOKUP(I500,Товары_очищенные!$H$2:$J$502,3,0),"Нет в каталоге")</f>
        <v>Ноутбуки</v>
      </c>
      <c r="O500" s="4">
        <f>IFERROR(VLOOKUP(I500,Товары_очищенные!$H$2:$M$502,6,0),"")</f>
        <v>133500</v>
      </c>
      <c r="P500" t="str">
        <f t="shared" si="133"/>
        <v xml:space="preserve">Цена отличается от каталога</v>
      </c>
    </row>
    <row r="501">
      <c r="A501" s="3" t="s">
        <v>3029</v>
      </c>
      <c r="B501" s="3" t="s">
        <v>1504</v>
      </c>
      <c r="C501" s="3" t="s">
        <v>1900</v>
      </c>
      <c r="D501" s="3" t="s">
        <v>1989</v>
      </c>
      <c r="E501" s="3" t="s">
        <v>3032</v>
      </c>
      <c r="F501" s="3" t="s">
        <v>1759</v>
      </c>
      <c r="G501" s="3" t="s">
        <v>1913</v>
      </c>
      <c r="H501" s="5">
        <f t="shared" si="129"/>
        <v>45921</v>
      </c>
      <c r="I501" t="str">
        <f t="shared" si="130"/>
        <v>АРТ-479</v>
      </c>
      <c r="J501" s="6">
        <f t="shared" si="131"/>
        <v>2</v>
      </c>
      <c r="K501" s="4">
        <f>VALUE(SUBSTITUTE(SUBSTITUTE(SUBSTITUTE(SUBSTITUTE(D501,"$",""),"€",""),"₽","")," ",""))*IF(ISNUMBER(FIND("$",D501)),Справочники!$H$3,IF(ISNUMBER(FIND("€",D501)),Справочники!$H$4,1))</f>
        <v>7000</v>
      </c>
      <c r="L501" t="str">
        <f>IFERROR(VLOOKUP(TRIM(G501),Справочники!$D$3:$E$13,2,0),"Нет в справочнике")</f>
        <v>Завершен</v>
      </c>
      <c r="M501" t="str">
        <f t="shared" si="132"/>
        <v/>
      </c>
      <c r="N501" t="str">
        <f>IFERROR(VLOOKUP(I501,Товары_очищенные!$H$2:$J$502,3,0),"Нет в каталоге")</f>
        <v>Аксессуары</v>
      </c>
      <c r="O501" s="4">
        <f>IFERROR(VLOOKUP(I501,Товары_очищенные!$H$2:$M$502,6,0),"")</f>
        <v>12500</v>
      </c>
      <c r="P501" t="str">
        <f t="shared" si="133"/>
        <v xml:space="preserve">Цена отличается от каталога</v>
      </c>
    </row>
    <row r="502">
      <c r="A502" s="3" t="s">
        <v>3033</v>
      </c>
      <c r="B502" s="3" t="s">
        <v>3034</v>
      </c>
      <c r="C502" s="3" t="s">
        <v>1938</v>
      </c>
      <c r="D502" s="3" t="s">
        <v>1939</v>
      </c>
      <c r="E502" s="3" t="s">
        <v>3035</v>
      </c>
      <c r="F502" s="3" t="s">
        <v>1642</v>
      </c>
      <c r="G502" s="3" t="s">
        <v>1903</v>
      </c>
      <c r="H502" s="5">
        <f t="shared" si="129"/>
        <v>45922</v>
      </c>
      <c r="I502" t="str">
        <f t="shared" si="130"/>
        <v>АРТ-376</v>
      </c>
      <c r="J502" s="6">
        <f t="shared" si="131"/>
        <v>1</v>
      </c>
      <c r="K502" s="4">
        <f>VALUE(SUBSTITUTE(SUBSTITUTE(SUBSTITUTE(SUBSTITUTE(D502,"$",""),"€",""),"₽","")," ",""))*IF(ISNUMBER(FIND("$",D502)),Справочники!$H$3,IF(ISNUMBER(FIND("€",D502)),Справочники!$H$4,1))</f>
        <v>6500</v>
      </c>
      <c r="L502" t="str">
        <f>IFERROR(VLOOKUP(TRIM(G502),Справочники!$D$3:$E$13,2,0),"Нет в справочнике")</f>
        <v>Завершен</v>
      </c>
      <c r="M502" t="str">
        <f t="shared" si="132"/>
        <v/>
      </c>
      <c r="N502" t="str">
        <f>IFERROR(VLOOKUP(I502,Товары_очищенные!$H$2:$J$502,3,0),"Нет в каталоге")</f>
        <v>Часы</v>
      </c>
      <c r="O502" s="4">
        <f>IFERROR(VLOOKUP(I502,Товары_очищенные!$H$2:$M$502,6,0),"")</f>
        <v>24990</v>
      </c>
      <c r="P502" t="str">
        <f t="shared" si="133"/>
        <v xml:space="preserve">Цена отличается от каталога</v>
      </c>
    </row>
    <row r="503">
      <c r="A503" s="3" t="s">
        <v>3033</v>
      </c>
      <c r="B503" s="3" t="s">
        <v>1251</v>
      </c>
      <c r="C503" s="3" t="s">
        <v>1915</v>
      </c>
      <c r="D503" s="3" t="s">
        <v>1916</v>
      </c>
      <c r="E503" s="3" t="s">
        <v>3036</v>
      </c>
      <c r="F503" s="3" t="s">
        <v>1608</v>
      </c>
      <c r="G503" s="3" t="s">
        <v>1924</v>
      </c>
      <c r="H503" s="5">
        <f t="shared" si="129"/>
        <v>45922</v>
      </c>
      <c r="I503" t="str">
        <f t="shared" si="130"/>
        <v>АРТ-364</v>
      </c>
      <c r="J503" s="6">
        <f t="shared" si="131"/>
        <v>-1</v>
      </c>
      <c r="K503" s="4">
        <f>VALUE(SUBSTITUTE(SUBSTITUTE(SUBSTITUTE(SUBSTITUTE(D503,"$",""),"€",""),"₽","")," ",""))*IF(ISNUMBER(FIND("$",D503)),Справочники!$H$3,IF(ISNUMBER(FIND("€",D503)),Справочники!$H$4,1))</f>
        <v>10450</v>
      </c>
      <c r="L503" t="str">
        <f>IFERROR(VLOOKUP(TRIM(G503),Справочники!$D$3:$E$13,2,0),"Нет в справочнике")</f>
        <v>Отменен</v>
      </c>
      <c r="M503" t="str">
        <f t="shared" si="132"/>
        <v/>
      </c>
      <c r="N503" t="str">
        <f>IFERROR(VLOOKUP(I503,Товары_очищенные!$H$2:$J$502,3,0),"Нет в каталоге")</f>
        <v>Телевизоры</v>
      </c>
      <c r="O503" s="4">
        <f>IFERROR(VLOOKUP(I503,Товары_очищенные!$H$2:$M$502,6,0),"")</f>
        <v>139990</v>
      </c>
      <c r="P503" t="str">
        <f t="shared" si="133"/>
        <v xml:space="preserve">Цена отличается от каталога</v>
      </c>
    </row>
    <row r="504">
      <c r="A504" s="3" t="s">
        <v>3037</v>
      </c>
      <c r="B504" s="3" t="s">
        <v>3038</v>
      </c>
      <c r="C504" s="3" t="s">
        <v>1930</v>
      </c>
      <c r="D504" s="3" t="s">
        <v>1922</v>
      </c>
      <c r="E504" s="3" t="s">
        <v>3039</v>
      </c>
      <c r="F504" s="3" t="s">
        <v>1715</v>
      </c>
      <c r="G504" s="3" t="s">
        <v>1918</v>
      </c>
      <c r="H504" s="5">
        <f t="shared" si="129"/>
        <v>45923</v>
      </c>
      <c r="I504" t="str">
        <f t="shared" si="130"/>
        <v>АРТ-309</v>
      </c>
      <c r="J504" s="6">
        <f t="shared" si="131"/>
        <v>3</v>
      </c>
      <c r="K504" s="4">
        <f>VALUE(SUBSTITUTE(SUBSTITUTE(SUBSTITUTE(SUBSTITUTE(D504,"$",""),"€",""),"₽","")," ",""))*IF(ISNUMBER(FIND("$",D504)),Справочники!$H$3,IF(ISNUMBER(FIND("€",D504)),Справочники!$H$4,1))</f>
        <v>9000</v>
      </c>
      <c r="L504" t="str">
        <f>IFERROR(VLOOKUP(TRIM(G504),Справочники!$D$3:$E$13,2,0),"Нет в справочнике")</f>
        <v>Отменен</v>
      </c>
      <c r="M504" t="str">
        <f t="shared" si="132"/>
        <v/>
      </c>
      <c r="N504" t="str">
        <f>IFERROR(VLOOKUP(I504,Товары_очищенные!$H$2:$J$502,3,0),"Нет в каталоге")</f>
        <v>Аксессуары</v>
      </c>
      <c r="O504" s="4">
        <f>IFERROR(VLOOKUP(I504,Товары_очищенные!$H$2:$M$502,6,0),"")</f>
        <v>9800</v>
      </c>
      <c r="P504" t="str">
        <f t="shared" si="133"/>
        <v>ОК</v>
      </c>
    </row>
    <row r="505">
      <c r="A505" s="3" t="s">
        <v>3037</v>
      </c>
      <c r="B505" s="3" t="s">
        <v>3040</v>
      </c>
      <c r="C505" s="3" t="s">
        <v>1900</v>
      </c>
      <c r="D505" s="3" t="s">
        <v>1925</v>
      </c>
      <c r="E505" s="3" t="s">
        <v>3041</v>
      </c>
      <c r="F505" s="3" t="s">
        <v>1850</v>
      </c>
      <c r="G505" s="3" t="s">
        <v>1927</v>
      </c>
      <c r="H505" s="5">
        <f t="shared" si="129"/>
        <v>45923</v>
      </c>
      <c r="I505" t="str">
        <f t="shared" si="130"/>
        <v>АРТ-251</v>
      </c>
      <c r="J505" s="6">
        <f t="shared" si="131"/>
        <v>2</v>
      </c>
      <c r="K505" s="4">
        <f>VALUE(SUBSTITUTE(SUBSTITUTE(SUBSTITUTE(SUBSTITUTE(D505,"$",""),"€",""),"₽","")," ",""))*IF(ISNUMBER(FIND("$",D505)),Справочники!$H$3,IF(ISNUMBER(FIND("€",D505)),Справочники!$H$4,1))</f>
        <v>8000</v>
      </c>
      <c r="L505" t="str">
        <f>IFERROR(VLOOKUP(TRIM(G505),Справочники!$D$3:$E$13,2,0),"Нет в справочнике")</f>
        <v>Возврат</v>
      </c>
      <c r="M505" t="str">
        <f t="shared" si="132"/>
        <v/>
      </c>
      <c r="N505" t="str">
        <f>IFERROR(VLOOKUP(I505,Товары_очищенные!$H$2:$J$502,3,0),"Нет в каталоге")</f>
        <v>Часы</v>
      </c>
      <c r="O505" s="4">
        <f>IFERROR(VLOOKUP(I505,Товары_очищенные!$H$2:$M$502,6,0),"")</f>
        <v>53500</v>
      </c>
      <c r="P505" t="str">
        <f t="shared" si="133"/>
        <v xml:space="preserve">Цена отличается от каталога</v>
      </c>
    </row>
    <row r="506">
      <c r="A506" s="3" t="s">
        <v>3042</v>
      </c>
      <c r="B506" s="3" t="s">
        <v>2649</v>
      </c>
      <c r="C506" s="3" t="s">
        <v>1905</v>
      </c>
      <c r="D506" s="3" t="s">
        <v>1964</v>
      </c>
      <c r="E506" s="3" t="s">
        <v>3043</v>
      </c>
      <c r="F506" s="3" t="s">
        <v>1615</v>
      </c>
      <c r="G506" s="3" t="s">
        <v>1903</v>
      </c>
      <c r="H506" s="5">
        <f t="shared" si="129"/>
        <v>45924</v>
      </c>
      <c r="I506" t="str">
        <f t="shared" si="130"/>
        <v>АРТ-074</v>
      </c>
      <c r="J506" s="6">
        <f t="shared" si="131"/>
        <v>1</v>
      </c>
      <c r="K506" s="4">
        <f>VALUE(SUBSTITUTE(SUBSTITUTE(SUBSTITUTE(SUBSTITUTE(D506,"$",""),"€",""),"₽","")," ",""))*IF(ISNUMBER(FIND("$",D506)),Справочники!$H$3,IF(ISNUMBER(FIND("€",D506)),Справочники!$H$4,1))</f>
        <v>9025</v>
      </c>
      <c r="L506" t="str">
        <f>IFERROR(VLOOKUP(TRIM(G506),Справочники!$D$3:$E$13,2,0),"Нет в справочнике")</f>
        <v>Завершен</v>
      </c>
      <c r="M506" t="str">
        <f t="shared" si="132"/>
        <v/>
      </c>
      <c r="N506" t="str">
        <f>IFERROR(VLOOKUP(I506,Товары_очищенные!$H$2:$J$502,3,0),"Нет в каталоге")</f>
        <v>Мониторы</v>
      </c>
      <c r="O506" s="4">
        <f>IFERROR(VLOOKUP(I506,Товары_очищенные!$H$2:$M$502,6,0),"")</f>
        <v>77500</v>
      </c>
      <c r="P506" t="str">
        <f t="shared" si="133"/>
        <v xml:space="preserve">Цена отличается от каталога</v>
      </c>
    </row>
    <row r="507">
      <c r="A507" s="3" t="s">
        <v>3042</v>
      </c>
      <c r="B507" s="3" t="s">
        <v>2470</v>
      </c>
      <c r="C507" s="3" t="s">
        <v>1900</v>
      </c>
      <c r="D507" s="3" t="s">
        <v>1968</v>
      </c>
      <c r="E507" s="3" t="s">
        <v>3044</v>
      </c>
      <c r="F507" s="3" t="s">
        <v>1765</v>
      </c>
      <c r="G507" s="3" t="s">
        <v>1908</v>
      </c>
      <c r="H507" s="5">
        <f t="shared" si="129"/>
        <v>45924</v>
      </c>
      <c r="I507" t="str">
        <f t="shared" si="130"/>
        <v>АРТ-481</v>
      </c>
      <c r="J507" s="6">
        <f t="shared" si="131"/>
        <v>2</v>
      </c>
      <c r="K507" s="4">
        <f>VALUE(SUBSTITUTE(SUBSTITUTE(SUBSTITUTE(SUBSTITUTE(D507,"$",""),"€",""),"₽","")," ",""))*IF(ISNUMBER(FIND("$",D507)),Справочники!$H$3,IF(ISNUMBER(FIND("€",D507)),Справочники!$H$4,1))</f>
        <v>7500</v>
      </c>
      <c r="L507" t="str">
        <f>IFERROR(VLOOKUP(TRIM(G507),Справочники!$D$3:$E$13,2,0),"Нет в справочнике")</f>
        <v>Завершен</v>
      </c>
      <c r="M507" t="str">
        <f t="shared" si="132"/>
        <v/>
      </c>
      <c r="N507" t="str">
        <f>IFERROR(VLOOKUP(I507,Товары_очищенные!$H$2:$J$502,3,0),"Нет в каталоге")</f>
        <v>Планшеты</v>
      </c>
      <c r="O507" s="4">
        <f>IFERROR(VLOOKUP(I507,Товары_очищенные!$H$2:$M$502,6,0),"")</f>
        <v>39990</v>
      </c>
      <c r="P507" t="str">
        <f t="shared" si="133"/>
        <v xml:space="preserve">Цена отличается от каталога</v>
      </c>
    </row>
    <row r="508">
      <c r="A508" s="3" t="s">
        <v>3045</v>
      </c>
      <c r="B508" s="3" t="s">
        <v>2473</v>
      </c>
      <c r="C508" s="3" t="s">
        <v>1910</v>
      </c>
      <c r="D508" s="3" t="s">
        <v>1971</v>
      </c>
      <c r="E508" s="3" t="s">
        <v>3046</v>
      </c>
      <c r="F508" s="3" t="s">
        <v>1688</v>
      </c>
      <c r="G508" s="3" t="s">
        <v>1913</v>
      </c>
      <c r="H508" s="5">
        <f t="shared" si="129"/>
        <v>45925</v>
      </c>
      <c r="I508" t="str">
        <f t="shared" si="130"/>
        <v>АРТ-335</v>
      </c>
      <c r="J508" s="6">
        <f t="shared" si="131"/>
        <v>3</v>
      </c>
      <c r="K508" s="4">
        <f>VALUE(SUBSTITUTE(SUBSTITUTE(SUBSTITUTE(SUBSTITUTE(D508,"$",""),"€",""),"₽","")," ",""))*IF(ISNUMBER(FIND("$",D508)),Справочники!$H$3,IF(ISNUMBER(FIND("€",D508)),Справочники!$H$4,1))</f>
        <v>7000</v>
      </c>
      <c r="L508" t="str">
        <f>IFERROR(VLOOKUP(TRIM(G508),Справочники!$D$3:$E$13,2,0),"Нет в справочнике")</f>
        <v>Завершен</v>
      </c>
      <c r="M508" t="str">
        <f t="shared" si="132"/>
        <v/>
      </c>
      <c r="N508" t="str">
        <f>IFERROR(VLOOKUP(I508,Товары_очищенные!$H$2:$J$502,3,0),"Нет в каталоге")</f>
        <v>Планшеты</v>
      </c>
      <c r="O508" s="4">
        <f>IFERROR(VLOOKUP(I508,Товары_очищенные!$H$2:$M$502,6,0),"")</f>
        <v>47000</v>
      </c>
      <c r="P508" t="str">
        <f t="shared" si="133"/>
        <v xml:space="preserve">Цена отличается от каталога</v>
      </c>
    </row>
    <row r="509">
      <c r="A509" s="3" t="s">
        <v>3045</v>
      </c>
      <c r="B509" s="3" t="s">
        <v>2909</v>
      </c>
      <c r="C509" s="3" t="s">
        <v>1942</v>
      </c>
      <c r="D509" s="3" t="s">
        <v>1943</v>
      </c>
      <c r="E509" s="3" t="s">
        <v>3047</v>
      </c>
      <c r="F509" s="3" t="s">
        <v>1832</v>
      </c>
      <c r="G509" s="3" t="s">
        <v>1918</v>
      </c>
      <c r="H509" s="5">
        <f t="shared" si="129"/>
        <v>45925</v>
      </c>
      <c r="I509" t="str">
        <f t="shared" si="130"/>
        <v>АРТ-201</v>
      </c>
      <c r="J509" s="6">
        <f t="shared" si="131"/>
        <v>-2</v>
      </c>
      <c r="K509" s="4">
        <f>VALUE(SUBSTITUTE(SUBSTITUTE(SUBSTITUTE(SUBSTITUTE(D509,"$",""),"€",""),"₽","")," ",""))*IF(ISNUMBER(FIND("$",D509)),Справочники!$H$3,IF(ISNUMBER(FIND("€",D509)),Справочники!$H$4,1))</f>
        <v>10925</v>
      </c>
      <c r="L509" t="str">
        <f>IFERROR(VLOOKUP(TRIM(G509),Справочники!$D$3:$E$13,2,0),"Нет в справочнике")</f>
        <v>Отменен</v>
      </c>
      <c r="M509" t="str">
        <f t="shared" si="132"/>
        <v/>
      </c>
      <c r="N509" t="str">
        <f>IFERROR(VLOOKUP(I509,Товары_очищенные!$H$2:$J$502,3,0),"Нет в каталоге")</f>
        <v>Телевизоры</v>
      </c>
      <c r="O509" s="4">
        <f>IFERROR(VLOOKUP(I509,Товары_очищенные!$H$2:$M$502,6,0),"")</f>
        <v>98500</v>
      </c>
      <c r="P509" t="str">
        <f t="shared" si="133"/>
        <v xml:space="preserve">Цена отличается от каталога</v>
      </c>
    </row>
    <row r="510">
      <c r="A510" s="3" t="s">
        <v>3048</v>
      </c>
      <c r="B510" s="3" t="s">
        <v>3049</v>
      </c>
      <c r="C510" s="3" t="s">
        <v>1905</v>
      </c>
      <c r="D510" s="3" t="s">
        <v>1934</v>
      </c>
      <c r="E510" s="3" t="s">
        <v>3050</v>
      </c>
      <c r="F510" s="3" t="s">
        <v>1594</v>
      </c>
      <c r="G510" s="3" t="s">
        <v>1924</v>
      </c>
      <c r="H510" s="5">
        <f t="shared" si="129"/>
        <v>45926</v>
      </c>
      <c r="I510" t="str">
        <f t="shared" si="130"/>
        <v>АРТ-367</v>
      </c>
      <c r="J510" s="6">
        <f t="shared" si="131"/>
        <v>1</v>
      </c>
      <c r="K510" s="4">
        <f>VALUE(SUBSTITUTE(SUBSTITUTE(SUBSTITUTE(SUBSTITUTE(D510,"$",""),"€",""),"₽","")," ",""))*IF(ISNUMBER(FIND("$",D510)),Справочники!$H$3,IF(ISNUMBER(FIND("€",D510)),Справочники!$H$4,1))</f>
        <v>9500</v>
      </c>
      <c r="L510" t="str">
        <f>IFERROR(VLOOKUP(TRIM(G510),Справочники!$D$3:$E$13,2,0),"Нет в справочнике")</f>
        <v>Отменен</v>
      </c>
      <c r="M510" t="str">
        <f t="shared" si="132"/>
        <v/>
      </c>
      <c r="N510" t="str">
        <f>IFERROR(VLOOKUP(I510,Товары_очищенные!$H$2:$J$502,3,0),"Нет в каталоге")</f>
        <v>Наушники</v>
      </c>
      <c r="O510" s="4">
        <f>IFERROR(VLOOKUP(I510,Товары_очищенные!$H$2:$M$502,6,0),"")</f>
        <v>19990</v>
      </c>
      <c r="P510" t="str">
        <f t="shared" si="133"/>
        <v xml:space="preserve">Цена отличается от каталога</v>
      </c>
    </row>
    <row r="511">
      <c r="A511" s="3" t="s">
        <v>3048</v>
      </c>
      <c r="B511" s="3" t="s">
        <v>2281</v>
      </c>
      <c r="C511" s="3" t="s">
        <v>1900</v>
      </c>
      <c r="D511" s="3" t="s">
        <v>1951</v>
      </c>
      <c r="E511" s="3" t="s">
        <v>3051</v>
      </c>
      <c r="F511" s="3" t="s">
        <v>1796</v>
      </c>
      <c r="G511" s="3" t="s">
        <v>1903</v>
      </c>
      <c r="H511" s="5">
        <f t="shared" si="129"/>
        <v>45926</v>
      </c>
      <c r="I511" t="str">
        <f t="shared" si="130"/>
        <v>АРТ-112</v>
      </c>
      <c r="J511" s="6">
        <f t="shared" si="131"/>
        <v>2</v>
      </c>
      <c r="K511" s="4">
        <f>VALUE(SUBSTITUTE(SUBSTITUTE(SUBSTITUTE(SUBSTITUTE(D511,"$",""),"€",""),"₽","")," ",""))*IF(ISNUMBER(FIND("$",D511)),Справочники!$H$3,IF(ISNUMBER(FIND("€",D511)),Справочники!$H$4,1))</f>
        <v>8500</v>
      </c>
      <c r="L511" t="str">
        <f>IFERROR(VLOOKUP(TRIM(G511),Справочники!$D$3:$E$13,2,0),"Нет в справочнике")</f>
        <v>Завершен</v>
      </c>
      <c r="M511" t="str">
        <f t="shared" si="132"/>
        <v/>
      </c>
      <c r="N511" t="str">
        <f>IFERROR(VLOOKUP(I511,Товары_очищенные!$H$2:$J$502,3,0),"Нет в каталоге")</f>
        <v>Наушники</v>
      </c>
      <c r="O511" s="4">
        <f>IFERROR(VLOOKUP(I511,Товары_очищенные!$H$2:$M$502,6,0),"")</f>
        <v>34990</v>
      </c>
      <c r="P511" t="str">
        <f t="shared" si="133"/>
        <v xml:space="preserve">Цена отличается от каталога</v>
      </c>
    </row>
    <row r="512">
      <c r="A512" s="3" t="s">
        <v>3052</v>
      </c>
      <c r="B512" s="3" t="s">
        <v>3053</v>
      </c>
      <c r="C512" s="3" t="s">
        <v>1930</v>
      </c>
      <c r="D512" s="3" t="s">
        <v>1931</v>
      </c>
      <c r="E512" s="3" t="s">
        <v>3054</v>
      </c>
      <c r="F512" s="3" t="s">
        <v>1656</v>
      </c>
      <c r="G512" s="3" t="s">
        <v>1927</v>
      </c>
      <c r="H512" s="5">
        <f t="shared" si="129"/>
        <v>45927</v>
      </c>
      <c r="I512" t="str">
        <f t="shared" si="130"/>
        <v>АРТ-050</v>
      </c>
      <c r="J512" s="6">
        <f t="shared" si="131"/>
        <v>3</v>
      </c>
      <c r="K512" s="4">
        <f>VALUE(SUBSTITUTE(SUBSTITUTE(SUBSTITUTE(SUBSTITUTE(D512,"$",""),"€",""),"₽","")," ",""))*IF(ISNUMBER(FIND("$",D512)),Справочники!$H$3,IF(ISNUMBER(FIND("€",D512)),Справочники!$H$4,1))</f>
        <v>9975</v>
      </c>
      <c r="L512" t="str">
        <f>IFERROR(VLOOKUP(TRIM(G512),Справочники!$D$3:$E$13,2,0),"Нет в справочнике")</f>
        <v>Возврат</v>
      </c>
      <c r="M512" t="str">
        <f t="shared" si="132"/>
        <v/>
      </c>
      <c r="N512" t="str">
        <f>IFERROR(VLOOKUP(I512,Товары_очищенные!$H$2:$J$502,3,0),"Нет в каталоге")</f>
        <v>Смартфоны</v>
      </c>
      <c r="O512" s="4">
        <f>IFERROR(VLOOKUP(I512,Товары_очищенные!$H$2:$M$502,6,0),"")</f>
        <v>53500</v>
      </c>
      <c r="P512" t="str">
        <f t="shared" si="133"/>
        <v xml:space="preserve">Цена отличается от каталога</v>
      </c>
    </row>
    <row r="513">
      <c r="A513" s="3" t="s">
        <v>3052</v>
      </c>
      <c r="B513" s="3" t="s">
        <v>1424</v>
      </c>
      <c r="C513" s="3" t="s">
        <v>1900</v>
      </c>
      <c r="D513" s="3" t="s">
        <v>1906</v>
      </c>
      <c r="E513" s="3" t="s">
        <v>3055</v>
      </c>
      <c r="F513" s="3" t="s">
        <v>1746</v>
      </c>
      <c r="G513" s="3" t="s">
        <v>1908</v>
      </c>
      <c r="H513" s="5">
        <f t="shared" si="129"/>
        <v>45927</v>
      </c>
      <c r="I513" t="str">
        <f t="shared" si="130"/>
        <v>АРТ-443</v>
      </c>
      <c r="J513" s="6">
        <f t="shared" si="131"/>
        <v>2</v>
      </c>
      <c r="K513" s="4">
        <f>VALUE(SUBSTITUTE(SUBSTITUTE(SUBSTITUTE(SUBSTITUTE(D513,"$",""),"€",""),"₽","")," ",""))*IF(ISNUMBER(FIND("$",D513)),Справочники!$H$3,IF(ISNUMBER(FIND("€",D513)),Справочники!$H$4,1))</f>
        <v>8500</v>
      </c>
      <c r="L513" t="str">
        <f>IFERROR(VLOOKUP(TRIM(G513),Справочники!$D$3:$E$13,2,0),"Нет в справочнике")</f>
        <v>Завершен</v>
      </c>
      <c r="M513" t="str">
        <f t="shared" si="132"/>
        <v/>
      </c>
      <c r="N513" t="str">
        <f>IFERROR(VLOOKUP(I513,Товары_очищенные!$H$2:$J$502,3,0),"Нет в каталоге")</f>
        <v>Смартфоны</v>
      </c>
      <c r="O513" s="4">
        <f>IFERROR(VLOOKUP(I513,Товары_очищенные!$H$2:$M$502,6,0),"")</f>
        <v>23500</v>
      </c>
      <c r="P513" t="str">
        <f t="shared" si="133"/>
        <v xml:space="preserve">Цена отличается от каталога</v>
      </c>
    </row>
    <row r="514">
      <c r="A514" s="3" t="s">
        <v>3056</v>
      </c>
      <c r="B514" s="3" t="s">
        <v>2679</v>
      </c>
      <c r="C514" s="3" t="s">
        <v>1938</v>
      </c>
      <c r="D514" s="3" t="s">
        <v>2166</v>
      </c>
      <c r="E514" s="3" t="s">
        <v>3057</v>
      </c>
      <c r="F514" s="3" t="s">
        <v>1622</v>
      </c>
      <c r="G514" s="3" t="s">
        <v>1913</v>
      </c>
      <c r="H514" s="5">
        <f t="shared" si="129"/>
        <v>45928</v>
      </c>
      <c r="I514" t="str">
        <f t="shared" si="130"/>
        <v>АРТ-322</v>
      </c>
      <c r="J514" s="6">
        <f t="shared" si="131"/>
        <v>1</v>
      </c>
      <c r="K514" s="4">
        <f>VALUE(SUBSTITUTE(SUBSTITUTE(SUBSTITUTE(SUBSTITUTE(D514,"$",""),"€",""),"₽","")," ",""))*IF(ISNUMBER(FIND("$",D514)),Справочники!$H$3,IF(ISNUMBER(FIND("€",D514)),Справочники!$H$4,1))</f>
        <v>7800</v>
      </c>
      <c r="L514" t="str">
        <f>IFERROR(VLOOKUP(TRIM(G514),Справочники!$D$3:$E$13,2,0),"Нет в справочнике")</f>
        <v>Завершен</v>
      </c>
      <c r="M514" t="str">
        <f t="shared" si="132"/>
        <v/>
      </c>
      <c r="N514" t="str">
        <f>IFERROR(VLOOKUP(I514,Товары_очищенные!$H$2:$J$502,3,0),"Нет в каталоге")</f>
        <v>Наушники</v>
      </c>
      <c r="O514" s="4">
        <f>IFERROR(VLOOKUP(I514,Товары_очищенные!$H$2:$M$502,6,0),"")</f>
        <v>12990</v>
      </c>
      <c r="P514" t="str">
        <f t="shared" si="133"/>
        <v xml:space="preserve">Цена отличается от каталога</v>
      </c>
    </row>
    <row r="515">
      <c r="A515" s="3" t="s">
        <v>3056</v>
      </c>
      <c r="B515" s="3" t="s">
        <v>3058</v>
      </c>
      <c r="C515" s="3" t="s">
        <v>1985</v>
      </c>
      <c r="D515" s="3" t="s">
        <v>2044</v>
      </c>
      <c r="E515" s="3" t="s">
        <v>3059</v>
      </c>
      <c r="F515" s="3" t="s">
        <v>1826</v>
      </c>
      <c r="G515" s="3" t="s">
        <v>1903</v>
      </c>
      <c r="H515" s="5">
        <f t="shared" si="129"/>
        <v>45928</v>
      </c>
      <c r="I515" t="str">
        <f t="shared" si="130"/>
        <v>АРТ-398</v>
      </c>
      <c r="J515" s="6">
        <f t="shared" si="131"/>
        <v>-3</v>
      </c>
      <c r="K515" s="4">
        <f>VALUE(SUBSTITUTE(SUBSTITUTE(SUBSTITUTE(SUBSTITUTE(D515,"$",""),"€",""),"₽","")," ",""))*IF(ISNUMBER(FIND("$",D515)),Справочники!$H$3,IF(ISNUMBER(FIND("€",D515)),Справочники!$H$4,1))</f>
        <v>11400</v>
      </c>
      <c r="L515" t="str">
        <f>IFERROR(VLOOKUP(TRIM(G515),Справочники!$D$3:$E$13,2,0),"Нет в справочнике")</f>
        <v>Завершен</v>
      </c>
      <c r="M515" t="str">
        <f t="shared" si="132"/>
        <v/>
      </c>
      <c r="N515" t="str">
        <f>IFERROR(VLOOKUP(I515,Товары_очищенные!$H$2:$J$502,3,0),"Нет в каталоге")</f>
        <v>Аксессуары</v>
      </c>
      <c r="O515" s="4">
        <f>IFERROR(VLOOKUP(I515,Товары_очищенные!$H$2:$M$502,6,0),"")</f>
        <v>7500</v>
      </c>
      <c r="P515" t="str">
        <f t="shared" si="133"/>
        <v xml:space="preserve">Цена отличается от каталога</v>
      </c>
    </row>
    <row r="516">
      <c r="A516" s="3" t="s">
        <v>3060</v>
      </c>
      <c r="B516" s="3" t="s">
        <v>2775</v>
      </c>
      <c r="C516" s="3" t="s">
        <v>1900</v>
      </c>
      <c r="D516" s="3" t="s">
        <v>2046</v>
      </c>
      <c r="E516" s="3" t="s">
        <v>3061</v>
      </c>
      <c r="F516" s="3" t="s">
        <v>1676</v>
      </c>
      <c r="G516" s="3" t="s">
        <v>1924</v>
      </c>
      <c r="H516" s="5">
        <f t="shared" si="129"/>
        <v>45929</v>
      </c>
      <c r="I516" t="str">
        <f t="shared" si="130"/>
        <v>АРТ-258</v>
      </c>
      <c r="J516" s="6">
        <f t="shared" si="131"/>
        <v>2</v>
      </c>
      <c r="K516" s="4">
        <f>VALUE(SUBSTITUTE(SUBSTITUTE(SUBSTITUTE(SUBSTITUTE(D516,"$",""),"€",""),"₽","")," ",""))*IF(ISNUMBER(FIND("$",D516)),Справочники!$H$3,IF(ISNUMBER(FIND("€",D516)),Справочники!$H$4,1))</f>
        <v>10000</v>
      </c>
      <c r="L516" t="str">
        <f>IFERROR(VLOOKUP(TRIM(G516),Справочники!$D$3:$E$13,2,0),"Нет в справочнике")</f>
        <v>Отменен</v>
      </c>
      <c r="M516" t="str">
        <f t="shared" si="132"/>
        <v/>
      </c>
      <c r="N516" t="str">
        <f>IFERROR(VLOOKUP(I516,Товары_очищенные!$H$2:$J$502,3,0),"Нет в каталоге")</f>
        <v>Смартфоны</v>
      </c>
      <c r="O516" s="4">
        <f>IFERROR(VLOOKUP(I516,Товары_очищенные!$H$2:$M$502,6,0),"")</f>
        <v>39500</v>
      </c>
      <c r="P516" t="str">
        <f t="shared" si="133"/>
        <v xml:space="preserve">Цена отличается от каталога</v>
      </c>
    </row>
    <row r="517">
      <c r="A517" s="3" t="s">
        <v>3060</v>
      </c>
      <c r="B517" s="3" t="s">
        <v>3062</v>
      </c>
      <c r="C517" s="3" t="s">
        <v>1905</v>
      </c>
      <c r="D517" s="3" t="s">
        <v>2087</v>
      </c>
      <c r="E517" s="3" t="s">
        <v>3063</v>
      </c>
      <c r="F517" s="3" t="s">
        <v>1772</v>
      </c>
      <c r="G517" s="3" t="s">
        <v>1918</v>
      </c>
      <c r="H517" s="5">
        <f t="shared" si="129"/>
        <v>45929</v>
      </c>
      <c r="I517" t="str">
        <f t="shared" si="130"/>
        <v>АРТ-284</v>
      </c>
      <c r="J517" s="6">
        <f t="shared" si="131"/>
        <v>1</v>
      </c>
      <c r="K517" s="4">
        <f>VALUE(SUBSTITUTE(SUBSTITUTE(SUBSTITUTE(SUBSTITUTE(D517,"$",""),"€",""),"₽","")," ",""))*IF(ISNUMBER(FIND("$",D517)),Справочники!$H$3,IF(ISNUMBER(FIND("€",D517)),Справочники!$H$4,1))</f>
        <v>9200</v>
      </c>
      <c r="L517" t="str">
        <f>IFERROR(VLOOKUP(TRIM(G517),Справочники!$D$3:$E$13,2,0),"Нет в справочнике")</f>
        <v>Отменен</v>
      </c>
      <c r="M517" t="str">
        <f t="shared" si="132"/>
        <v/>
      </c>
      <c r="N517" t="str">
        <f>IFERROR(VLOOKUP(I517,Товары_очищенные!$H$2:$J$502,3,0),"Нет в каталоге")</f>
        <v>Мониторы</v>
      </c>
      <c r="O517" s="4">
        <f>IFERROR(VLOOKUP(I517,Товары_очищенные!$H$2:$M$502,6,0),"")</f>
        <v>82000</v>
      </c>
      <c r="P517" t="str">
        <f t="shared" si="133"/>
        <v xml:space="preserve">Цена отличается от каталога</v>
      </c>
    </row>
    <row r="518">
      <c r="A518" s="3" t="s">
        <v>3064</v>
      </c>
      <c r="B518" s="3" t="s">
        <v>3065</v>
      </c>
      <c r="C518" s="3" t="s">
        <v>1930</v>
      </c>
      <c r="D518" s="3" t="s">
        <v>1986</v>
      </c>
      <c r="E518" s="3" t="s">
        <v>3066</v>
      </c>
      <c r="F518" s="3" t="s">
        <v>1874</v>
      </c>
      <c r="G518" s="3" t="s">
        <v>1927</v>
      </c>
      <c r="H518" s="5">
        <f t="shared" si="129"/>
        <v>45930</v>
      </c>
      <c r="I518" t="str">
        <f t="shared" si="130"/>
        <v>АРТ-093</v>
      </c>
      <c r="J518" s="6">
        <f t="shared" si="131"/>
        <v>3</v>
      </c>
      <c r="K518" s="4">
        <f>VALUE(SUBSTITUTE(SUBSTITUTE(SUBSTITUTE(SUBSTITUTE(D518,"$",""),"€",""),"₽","")," ",""))*IF(ISNUMBER(FIND("$",D518)),Справочники!$H$3,IF(ISNUMBER(FIND("€",D518)),Справочники!$H$4,1))</f>
        <v>8550</v>
      </c>
      <c r="L518" t="str">
        <f>IFERROR(VLOOKUP(TRIM(G518),Справочники!$D$3:$E$13,2,0),"Нет в справочнике")</f>
        <v>Возврат</v>
      </c>
      <c r="M518" t="str">
        <f t="shared" si="132"/>
        <v/>
      </c>
      <c r="N518" t="str">
        <f>IFERROR(VLOOKUP(I518,Товары_очищенные!$H$2:$J$502,3,0),"Нет в каталоге")</f>
        <v>Наушники</v>
      </c>
      <c r="O518" s="4">
        <f>IFERROR(VLOOKUP(I518,Товары_очищенные!$H$2:$M$502,6,0),"")</f>
        <v>10500</v>
      </c>
      <c r="P518" t="str">
        <f t="shared" si="133"/>
        <v>ОК</v>
      </c>
    </row>
    <row r="519">
      <c r="A519" s="3" t="s">
        <v>3064</v>
      </c>
      <c r="B519" s="3" t="s">
        <v>1523</v>
      </c>
      <c r="C519" s="3" t="s">
        <v>1900</v>
      </c>
      <c r="D519" s="3" t="s">
        <v>1989</v>
      </c>
      <c r="E519" s="3" t="s">
        <v>3067</v>
      </c>
      <c r="F519" s="3" t="s">
        <v>1601</v>
      </c>
      <c r="G519" s="3" t="s">
        <v>1903</v>
      </c>
      <c r="H519" s="5">
        <f t="shared" si="129"/>
        <v>45930</v>
      </c>
      <c r="I519" t="str">
        <f t="shared" si="130"/>
        <v>АРТ-488</v>
      </c>
      <c r="J519" s="6">
        <f t="shared" si="131"/>
        <v>2</v>
      </c>
      <c r="K519" s="4">
        <f>VALUE(SUBSTITUTE(SUBSTITUTE(SUBSTITUTE(SUBSTITUTE(D519,"$",""),"€",""),"₽","")," ",""))*IF(ISNUMBER(FIND("$",D519)),Справочники!$H$3,IF(ISNUMBER(FIND("€",D519)),Справочники!$H$4,1))</f>
        <v>7000</v>
      </c>
      <c r="L519" t="str">
        <f>IFERROR(VLOOKUP(TRIM(G519),Справочники!$D$3:$E$13,2,0),"Нет в справочнике")</f>
        <v>Завершен</v>
      </c>
      <c r="M519" t="str">
        <f t="shared" si="132"/>
        <v/>
      </c>
      <c r="N519" t="str">
        <f>IFERROR(VLOOKUP(I519,Товары_очищенные!$H$2:$J$502,3,0),"Нет в каталоге")</f>
        <v>Ноутбуки</v>
      </c>
      <c r="O519" s="4">
        <f>IFERROR(VLOOKUP(I519,Товары_очищенные!$H$2:$M$502,6,0),"")</f>
        <v>108000</v>
      </c>
      <c r="P519" t="str">
        <f t="shared" si="133"/>
        <v xml:space="preserve">Цена отличается от каталога</v>
      </c>
    </row>
    <row r="520">
      <c r="A520" s="3" t="s">
        <v>3068</v>
      </c>
      <c r="B520" s="3" t="s">
        <v>1210</v>
      </c>
      <c r="C520" s="3" t="s">
        <v>1938</v>
      </c>
      <c r="D520" s="3" t="s">
        <v>1939</v>
      </c>
      <c r="E520" s="3" t="s">
        <v>3069</v>
      </c>
      <c r="F520" s="3" t="s">
        <v>1721</v>
      </c>
      <c r="G520" s="3" t="s">
        <v>1908</v>
      </c>
      <c r="H520" s="5">
        <f t="shared" si="129"/>
        <v>45931</v>
      </c>
      <c r="I520" t="str">
        <f t="shared" si="130"/>
        <v>АРТ-345</v>
      </c>
      <c r="J520" s="6">
        <f t="shared" si="131"/>
        <v>1</v>
      </c>
      <c r="K520" s="4">
        <f>VALUE(SUBSTITUTE(SUBSTITUTE(SUBSTITUTE(SUBSTITUTE(D520,"$",""),"€",""),"₽","")," ",""))*IF(ISNUMBER(FIND("$",D520)),Справочники!$H$3,IF(ISNUMBER(FIND("€",D520)),Справочники!$H$4,1))</f>
        <v>6500</v>
      </c>
      <c r="L520" t="str">
        <f>IFERROR(VLOOKUP(TRIM(G520),Справочники!$D$3:$E$13,2,0),"Нет в справочнике")</f>
        <v>Завершен</v>
      </c>
      <c r="M520" t="str">
        <f t="shared" si="132"/>
        <v/>
      </c>
      <c r="N520" t="str">
        <f>IFERROR(VLOOKUP(I520,Товары_очищенные!$H$2:$J$502,3,0),"Нет в каталоге")</f>
        <v>Телевизоры</v>
      </c>
      <c r="O520" s="4">
        <f>IFERROR(VLOOKUP(I520,Товары_очищенные!$H$2:$M$502,6,0),"")</f>
        <v>87500</v>
      </c>
      <c r="P520" t="str">
        <f t="shared" si="133"/>
        <v xml:space="preserve">Цена отличается от каталога</v>
      </c>
    </row>
    <row r="521">
      <c r="A521" s="3" t="s">
        <v>3068</v>
      </c>
      <c r="B521" s="3" t="s">
        <v>3058</v>
      </c>
      <c r="C521" s="3" t="s">
        <v>1915</v>
      </c>
      <c r="D521" s="3" t="s">
        <v>1916</v>
      </c>
      <c r="E521" s="3" t="s">
        <v>3070</v>
      </c>
      <c r="F521" s="3" t="s">
        <v>1663</v>
      </c>
      <c r="G521" s="3" t="s">
        <v>1913</v>
      </c>
      <c r="H521" s="5">
        <f t="shared" si="129"/>
        <v>45931</v>
      </c>
      <c r="I521" t="str">
        <f t="shared" si="130"/>
        <v>АРТ-398</v>
      </c>
      <c r="J521" s="6">
        <f t="shared" si="131"/>
        <v>-1</v>
      </c>
      <c r="K521" s="4">
        <f>VALUE(SUBSTITUTE(SUBSTITUTE(SUBSTITUTE(SUBSTITUTE(D521,"$",""),"€",""),"₽","")," ",""))*IF(ISNUMBER(FIND("$",D521)),Справочники!$H$3,IF(ISNUMBER(FIND("€",D521)),Справочники!$H$4,1))</f>
        <v>10450</v>
      </c>
      <c r="L521" t="str">
        <f>IFERROR(VLOOKUP(TRIM(G521),Справочники!$D$3:$E$13,2,0),"Нет в справочнике")</f>
        <v>Завершен</v>
      </c>
      <c r="M521" t="str">
        <f t="shared" si="132"/>
        <v/>
      </c>
      <c r="N521" t="str">
        <f>IFERROR(VLOOKUP(I521,Товары_очищенные!$H$2:$J$502,3,0),"Нет в каталоге")</f>
        <v>Аксессуары</v>
      </c>
      <c r="O521" s="4">
        <f>IFERROR(VLOOKUP(I521,Товары_очищенные!$H$2:$M$502,6,0),"")</f>
        <v>7500</v>
      </c>
      <c r="P521" t="str">
        <f t="shared" si="133"/>
        <v xml:space="preserve">Цена отличается от каталога</v>
      </c>
    </row>
    <row r="522">
      <c r="A522" s="3" t="s">
        <v>3071</v>
      </c>
      <c r="B522" s="3" t="s">
        <v>2813</v>
      </c>
      <c r="C522" s="3" t="s">
        <v>1930</v>
      </c>
      <c r="D522" s="3" t="s">
        <v>1922</v>
      </c>
      <c r="E522" s="3" t="s">
        <v>3072</v>
      </c>
      <c r="F522" s="3" t="s">
        <v>1802</v>
      </c>
      <c r="G522" s="3" t="s">
        <v>1918</v>
      </c>
      <c r="H522" s="5">
        <f t="shared" si="129"/>
        <v>45932</v>
      </c>
      <c r="I522" t="str">
        <f t="shared" si="130"/>
        <v>АРТ-357</v>
      </c>
      <c r="J522" s="6">
        <f t="shared" si="131"/>
        <v>3</v>
      </c>
      <c r="K522" s="4">
        <f>VALUE(SUBSTITUTE(SUBSTITUTE(SUBSTITUTE(SUBSTITUTE(D522,"$",""),"€",""),"₽","")," ",""))*IF(ISNUMBER(FIND("$",D522)),Справочники!$H$3,IF(ISNUMBER(FIND("€",D522)),Справочники!$H$4,1))</f>
        <v>9000</v>
      </c>
      <c r="L522" t="str">
        <f>IFERROR(VLOOKUP(TRIM(G522),Справочники!$D$3:$E$13,2,0),"Нет в справочнике")</f>
        <v>Отменен</v>
      </c>
      <c r="M522" t="str">
        <f t="shared" si="132"/>
        <v/>
      </c>
      <c r="N522" t="str">
        <f>IFERROR(VLOOKUP(I522,Товары_очищенные!$H$2:$J$502,3,0),"Нет в каталоге")</f>
        <v>Смартфоны</v>
      </c>
      <c r="O522" s="4">
        <f>IFERROR(VLOOKUP(I522,Товары_очищенные!$H$2:$M$502,6,0),"")</f>
        <v>88000</v>
      </c>
      <c r="P522" t="str">
        <f t="shared" si="133"/>
        <v xml:space="preserve">Цена отличается от каталога</v>
      </c>
    </row>
    <row r="523">
      <c r="A523" s="3" t="s">
        <v>3071</v>
      </c>
      <c r="B523" s="3" t="s">
        <v>3073</v>
      </c>
      <c r="C523" s="3" t="s">
        <v>1900</v>
      </c>
      <c r="D523" s="3" t="s">
        <v>1925</v>
      </c>
      <c r="E523" s="3" t="s">
        <v>3074</v>
      </c>
      <c r="F523" s="3" t="s">
        <v>1868</v>
      </c>
      <c r="G523" s="3" t="s">
        <v>1924</v>
      </c>
      <c r="H523" s="5">
        <f t="shared" si="129"/>
        <v>45932</v>
      </c>
      <c r="I523" t="str">
        <f t="shared" si="130"/>
        <v>АРТ-225</v>
      </c>
      <c r="J523" s="6">
        <f t="shared" si="131"/>
        <v>2</v>
      </c>
      <c r="K523" s="4">
        <f>VALUE(SUBSTITUTE(SUBSTITUTE(SUBSTITUTE(SUBSTITUTE(D523,"$",""),"€",""),"₽","")," ",""))*IF(ISNUMBER(FIND("$",D523)),Справочники!$H$3,IF(ISNUMBER(FIND("€",D523)),Справочники!$H$4,1))</f>
        <v>8000</v>
      </c>
      <c r="L523" t="str">
        <f>IFERROR(VLOOKUP(TRIM(G523),Справочники!$D$3:$E$13,2,0),"Нет в справочнике")</f>
        <v>Отменен</v>
      </c>
      <c r="M523" t="str">
        <f t="shared" si="132"/>
        <v/>
      </c>
      <c r="N523" t="str">
        <f>IFERROR(VLOOKUP(I523,Товары_очищенные!$H$2:$J$502,3,0),"Нет в каталоге")</f>
        <v>Мониторы</v>
      </c>
      <c r="O523" s="4">
        <f>IFERROR(VLOOKUP(I523,Товары_очищенные!$H$2:$M$502,6,0),"")</f>
        <v>57000</v>
      </c>
      <c r="P523" t="str">
        <f t="shared" si="133"/>
        <v xml:space="preserve">Цена отличается от каталога</v>
      </c>
    </row>
    <row r="524">
      <c r="A524" s="3" t="s">
        <v>3075</v>
      </c>
      <c r="B524" s="3" t="s">
        <v>3076</v>
      </c>
      <c r="C524" s="3" t="s">
        <v>1905</v>
      </c>
      <c r="D524" s="3" t="s">
        <v>1964</v>
      </c>
      <c r="E524" s="3" t="s">
        <v>3077</v>
      </c>
      <c r="F524" s="3" t="s">
        <v>1587</v>
      </c>
      <c r="G524" s="3" t="s">
        <v>1903</v>
      </c>
      <c r="H524" s="5">
        <f t="shared" si="129"/>
        <v>45933</v>
      </c>
      <c r="I524" t="str">
        <f t="shared" si="130"/>
        <v>АРТ-144</v>
      </c>
      <c r="J524" s="6">
        <f t="shared" si="131"/>
        <v>1</v>
      </c>
      <c r="K524" s="4">
        <f>VALUE(SUBSTITUTE(SUBSTITUTE(SUBSTITUTE(SUBSTITUTE(D524,"$",""),"€",""),"₽","")," ",""))*IF(ISNUMBER(FIND("$",D524)),Справочники!$H$3,IF(ISNUMBER(FIND("€",D524)),Справочники!$H$4,1))</f>
        <v>9025</v>
      </c>
      <c r="L524" t="str">
        <f>IFERROR(VLOOKUP(TRIM(G524),Справочники!$D$3:$E$13,2,0),"Нет в справочнике")</f>
        <v>Завершен</v>
      </c>
      <c r="M524" t="str">
        <f t="shared" si="132"/>
        <v/>
      </c>
      <c r="N524" t="str">
        <f>IFERROR(VLOOKUP(I524,Товары_очищенные!$H$2:$J$502,3,0),"Нет в каталоге")</f>
        <v>Аксессуары</v>
      </c>
      <c r="O524" s="4">
        <f>IFERROR(VLOOKUP(I524,Товары_очищенные!$H$2:$M$502,6,0),"")</f>
        <v>8500</v>
      </c>
      <c r="P524" t="str">
        <f t="shared" si="133"/>
        <v>ОК</v>
      </c>
    </row>
    <row r="525">
      <c r="A525" s="3" t="s">
        <v>3075</v>
      </c>
      <c r="B525" s="3" t="s">
        <v>1453</v>
      </c>
      <c r="C525" s="3" t="s">
        <v>1900</v>
      </c>
      <c r="D525" s="3" t="s">
        <v>1968</v>
      </c>
      <c r="E525" s="3" t="s">
        <v>3078</v>
      </c>
      <c r="F525" s="3" t="s">
        <v>1734</v>
      </c>
      <c r="G525" s="3" t="s">
        <v>1927</v>
      </c>
      <c r="H525" s="5">
        <f t="shared" si="129"/>
        <v>45933</v>
      </c>
      <c r="I525" t="str">
        <f t="shared" si="130"/>
        <v>АРТ-455</v>
      </c>
      <c r="J525" s="6">
        <f t="shared" si="131"/>
        <v>2</v>
      </c>
      <c r="K525" s="4">
        <f>VALUE(SUBSTITUTE(SUBSTITUTE(SUBSTITUTE(SUBSTITUTE(D525,"$",""),"€",""),"₽","")," ",""))*IF(ISNUMBER(FIND("$",D525)),Справочники!$H$3,IF(ISNUMBER(FIND("€",D525)),Справочники!$H$4,1))</f>
        <v>7500</v>
      </c>
      <c r="L525" t="str">
        <f>IFERROR(VLOOKUP(TRIM(G525),Справочники!$D$3:$E$13,2,0),"Нет в справочнике")</f>
        <v>Возврат</v>
      </c>
      <c r="M525" t="str">
        <f t="shared" si="132"/>
        <v/>
      </c>
      <c r="N525" t="str">
        <f>IFERROR(VLOOKUP(I525,Товары_очищенные!$H$2:$J$502,3,0),"Нет в каталоге")</f>
        <v>Мониторы</v>
      </c>
      <c r="O525" s="4">
        <f>IFERROR(VLOOKUP(I525,Товары_очищенные!$H$2:$M$502,6,0),"")</f>
        <v>72000</v>
      </c>
      <c r="P525" t="str">
        <f t="shared" si="133"/>
        <v xml:space="preserve">Цена отличается от каталога</v>
      </c>
    </row>
    <row r="526">
      <c r="A526" s="3" t="s">
        <v>3079</v>
      </c>
      <c r="B526" s="3" t="s">
        <v>2835</v>
      </c>
      <c r="C526" s="3" t="s">
        <v>1910</v>
      </c>
      <c r="D526" s="3" t="s">
        <v>1971</v>
      </c>
      <c r="E526" s="3" t="s">
        <v>3080</v>
      </c>
      <c r="F526" s="3" t="s">
        <v>1649</v>
      </c>
      <c r="G526" s="3" t="s">
        <v>1908</v>
      </c>
      <c r="H526" s="5">
        <f t="shared" si="129"/>
        <v>45934</v>
      </c>
      <c r="I526" t="str">
        <f t="shared" si="130"/>
        <v>АРТ-331</v>
      </c>
      <c r="J526" s="6">
        <f t="shared" si="131"/>
        <v>3</v>
      </c>
      <c r="K526" s="4">
        <f>VALUE(SUBSTITUTE(SUBSTITUTE(SUBSTITUTE(SUBSTITUTE(D526,"$",""),"€",""),"₽","")," ",""))*IF(ISNUMBER(FIND("$",D526)),Справочники!$H$3,IF(ISNUMBER(FIND("€",D526)),Справочники!$H$4,1))</f>
        <v>7000</v>
      </c>
      <c r="L526" t="str">
        <f>IFERROR(VLOOKUP(TRIM(G526),Справочники!$D$3:$E$13,2,0),"Нет в справочнике")</f>
        <v>Завершен</v>
      </c>
      <c r="M526" t="str">
        <f t="shared" si="132"/>
        <v/>
      </c>
      <c r="N526" t="str">
        <f>IFERROR(VLOOKUP(I526,Товары_очищенные!$H$2:$J$502,3,0),"Нет в каталоге")</f>
        <v>Часы</v>
      </c>
      <c r="O526" s="4">
        <f>IFERROR(VLOOKUP(I526,Товары_очищенные!$H$2:$M$502,6,0),"")</f>
        <v>69990</v>
      </c>
      <c r="P526" t="str">
        <f t="shared" si="133"/>
        <v xml:space="preserve">Цена отличается от каталога</v>
      </c>
    </row>
    <row r="527">
      <c r="A527" s="3" t="s">
        <v>3079</v>
      </c>
      <c r="B527" s="3" t="s">
        <v>1100</v>
      </c>
      <c r="C527" s="3" t="s">
        <v>1942</v>
      </c>
      <c r="D527" s="3" t="s">
        <v>1943</v>
      </c>
      <c r="E527" s="3" t="s">
        <v>3081</v>
      </c>
      <c r="F527" s="3" t="s">
        <v>1784</v>
      </c>
      <c r="G527" s="3" t="s">
        <v>1913</v>
      </c>
      <c r="H527" s="5">
        <f t="shared" si="129"/>
        <v>45934</v>
      </c>
      <c r="I527" t="str">
        <f t="shared" si="130"/>
        <v>АРТ-301</v>
      </c>
      <c r="J527" s="6">
        <f t="shared" si="131"/>
        <v>-2</v>
      </c>
      <c r="K527" s="4">
        <f>VALUE(SUBSTITUTE(SUBSTITUTE(SUBSTITUTE(SUBSTITUTE(D527,"$",""),"€",""),"₽","")," ",""))*IF(ISNUMBER(FIND("$",D527)),Справочники!$H$3,IF(ISNUMBER(FIND("€",D527)),Справочники!$H$4,1))</f>
        <v>10925</v>
      </c>
      <c r="L527" t="str">
        <f>IFERROR(VLOOKUP(TRIM(G527),Справочники!$D$3:$E$13,2,0),"Нет в справочнике")</f>
        <v>Завершен</v>
      </c>
      <c r="M527" t="str">
        <f t="shared" si="132"/>
        <v/>
      </c>
      <c r="N527" t="str">
        <f>IFERROR(VLOOKUP(I527,Товары_очищенные!$H$2:$J$502,3,0),"Нет в каталоге")</f>
        <v>Наушники</v>
      </c>
      <c r="O527" s="4">
        <f>IFERROR(VLOOKUP(I527,Товары_очищенные!$H$2:$M$502,6,0),"")</f>
        <v>7990</v>
      </c>
      <c r="P527" t="str">
        <f t="shared" si="133"/>
        <v xml:space="preserve">Цена отличается от каталога</v>
      </c>
    </row>
    <row r="528">
      <c r="A528" s="3" t="s">
        <v>3082</v>
      </c>
      <c r="B528" s="3" t="s">
        <v>1196</v>
      </c>
      <c r="C528" s="3" t="s">
        <v>1905</v>
      </c>
      <c r="D528" s="3" t="s">
        <v>1934</v>
      </c>
      <c r="E528" s="3" t="s">
        <v>3083</v>
      </c>
      <c r="F528" s="3" t="s">
        <v>1844</v>
      </c>
      <c r="G528" s="3" t="s">
        <v>1903</v>
      </c>
      <c r="H528" s="5">
        <f t="shared" si="129"/>
        <v>45935</v>
      </c>
      <c r="I528" t="str">
        <f t="shared" si="130"/>
        <v>АРТ-338</v>
      </c>
      <c r="J528" s="6">
        <f t="shared" si="131"/>
        <v>1</v>
      </c>
      <c r="K528" s="4">
        <f>VALUE(SUBSTITUTE(SUBSTITUTE(SUBSTITUTE(SUBSTITUTE(D528,"$",""),"€",""),"₽","")," ",""))*IF(ISNUMBER(FIND("$",D528)),Справочники!$H$3,IF(ISNUMBER(FIND("€",D528)),Справочники!$H$4,1))</f>
        <v>9500</v>
      </c>
      <c r="L528" t="str">
        <f>IFERROR(VLOOKUP(TRIM(G528),Справочники!$D$3:$E$13,2,0),"Нет в справочнике")</f>
        <v>Завершен</v>
      </c>
      <c r="M528" t="str">
        <f t="shared" si="132"/>
        <v/>
      </c>
      <c r="N528" t="str">
        <f>IFERROR(VLOOKUP(I528,Товары_очищенные!$H$2:$J$502,3,0),"Нет в каталоге")</f>
        <v>Смартфоны</v>
      </c>
      <c r="O528" s="4">
        <f>IFERROR(VLOOKUP(I528,Товары_очищенные!$H$2:$M$502,6,0),"")</f>
        <v>62500</v>
      </c>
      <c r="P528" t="str">
        <f t="shared" si="133"/>
        <v xml:space="preserve">Цена отличается от каталога</v>
      </c>
    </row>
    <row r="529">
      <c r="A529" s="3" t="s">
        <v>3082</v>
      </c>
      <c r="B529" s="3" t="s">
        <v>3084</v>
      </c>
      <c r="C529" s="3" t="s">
        <v>1900</v>
      </c>
      <c r="D529" s="3" t="s">
        <v>1951</v>
      </c>
      <c r="E529" s="3" t="s">
        <v>3085</v>
      </c>
      <c r="F529" s="3" t="s">
        <v>1566</v>
      </c>
      <c r="G529" s="3" t="s">
        <v>1924</v>
      </c>
      <c r="H529" s="5">
        <f t="shared" si="129"/>
        <v>45935</v>
      </c>
      <c r="I529" t="str">
        <f t="shared" si="130"/>
        <v>АРТ-267</v>
      </c>
      <c r="J529" s="6">
        <f t="shared" si="131"/>
        <v>2</v>
      </c>
      <c r="K529" s="4">
        <f>VALUE(SUBSTITUTE(SUBSTITUTE(SUBSTITUTE(SUBSTITUTE(D529,"$",""),"€",""),"₽","")," ",""))*IF(ISNUMBER(FIND("$",D529)),Справочники!$H$3,IF(ISNUMBER(FIND("€",D529)),Справочники!$H$4,1))</f>
        <v>8500</v>
      </c>
      <c r="L529" t="str">
        <f>IFERROR(VLOOKUP(TRIM(G529),Справочники!$D$3:$E$13,2,0),"Нет в справочнике")</f>
        <v>Отменен</v>
      </c>
      <c r="M529" t="str">
        <f t="shared" si="132"/>
        <v/>
      </c>
      <c r="N529" t="str">
        <f>IFERROR(VLOOKUP(I529,Товары_очищенные!$H$2:$J$502,3,0),"Нет в каталоге")</f>
        <v>Мониторы</v>
      </c>
      <c r="O529" s="4">
        <f>IFERROR(VLOOKUP(I529,Товары_очищенные!$H$2:$M$502,6,0),"")</f>
        <v>70000</v>
      </c>
      <c r="P529" t="str">
        <f t="shared" si="133"/>
        <v xml:space="preserve">Цена отличается от каталога</v>
      </c>
    </row>
    <row r="530">
      <c r="A530" s="3" t="s">
        <v>3086</v>
      </c>
      <c r="B530" s="3" t="s">
        <v>2792</v>
      </c>
      <c r="C530" s="3" t="s">
        <v>1930</v>
      </c>
      <c r="D530" s="3" t="s">
        <v>1931</v>
      </c>
      <c r="E530" s="3" t="s">
        <v>3087</v>
      </c>
      <c r="F530" s="3" t="s">
        <v>1701</v>
      </c>
      <c r="G530" s="3" t="s">
        <v>1918</v>
      </c>
      <c r="H530" s="5">
        <f t="shared" si="129"/>
        <v>45936</v>
      </c>
      <c r="I530" t="str">
        <f t="shared" si="130"/>
        <v>АРТ-080</v>
      </c>
      <c r="J530" s="6">
        <f t="shared" si="131"/>
        <v>3</v>
      </c>
      <c r="K530" s="4">
        <f>VALUE(SUBSTITUTE(SUBSTITUTE(SUBSTITUTE(SUBSTITUTE(D530,"$",""),"€",""),"₽","")," ",""))*IF(ISNUMBER(FIND("$",D530)),Справочники!$H$3,IF(ISNUMBER(FIND("€",D530)),Справочники!$H$4,1))</f>
        <v>9975</v>
      </c>
      <c r="L530" t="str">
        <f>IFERROR(VLOOKUP(TRIM(G530),Справочники!$D$3:$E$13,2,0),"Нет в справочнике")</f>
        <v>Отменен</v>
      </c>
      <c r="M530" t="str">
        <f t="shared" si="132"/>
        <v/>
      </c>
      <c r="N530" t="str">
        <f>IFERROR(VLOOKUP(I530,Товары_очищенные!$H$2:$J$502,3,0),"Нет в каталоге")</f>
        <v>Планшеты</v>
      </c>
      <c r="O530" s="4">
        <f>IFERROR(VLOOKUP(I530,Товары_очищенные!$H$2:$M$502,6,0),"")</f>
        <v>44500</v>
      </c>
      <c r="P530" t="str">
        <f t="shared" si="133"/>
        <v xml:space="preserve">Цена отличается от каталога</v>
      </c>
    </row>
    <row r="531">
      <c r="A531" s="3" t="s">
        <v>3086</v>
      </c>
      <c r="B531" s="3" t="s">
        <v>3088</v>
      </c>
      <c r="C531" s="3" t="s">
        <v>1900</v>
      </c>
      <c r="D531" s="3" t="s">
        <v>1906</v>
      </c>
      <c r="E531" s="3" t="s">
        <v>3089</v>
      </c>
      <c r="F531" s="3" t="s">
        <v>1814</v>
      </c>
      <c r="G531" s="3" t="s">
        <v>1927</v>
      </c>
      <c r="H531" s="5">
        <f t="shared" si="129"/>
        <v>45936</v>
      </c>
      <c r="I531" t="str">
        <f t="shared" si="130"/>
        <v>АРТ-445</v>
      </c>
      <c r="J531" s="6">
        <f t="shared" si="131"/>
        <v>2</v>
      </c>
      <c r="K531" s="4">
        <f>VALUE(SUBSTITUTE(SUBSTITUTE(SUBSTITUTE(SUBSTITUTE(D531,"$",""),"€",""),"₽","")," ",""))*IF(ISNUMBER(FIND("$",D531)),Справочники!$H$3,IF(ISNUMBER(FIND("€",D531)),Справочники!$H$4,1))</f>
        <v>8500</v>
      </c>
      <c r="L531" t="str">
        <f>IFERROR(VLOOKUP(TRIM(G531),Справочники!$D$3:$E$13,2,0),"Нет в справочнике")</f>
        <v>Возврат</v>
      </c>
      <c r="M531" t="str">
        <f t="shared" si="132"/>
        <v/>
      </c>
      <c r="N531" t="str">
        <f>IFERROR(VLOOKUP(I531,Товары_очищенные!$H$2:$J$502,3,0),"Нет в каталоге")</f>
        <v>Ноутбуки</v>
      </c>
      <c r="O531" s="4">
        <f>IFERROR(VLOOKUP(I531,Товары_очищенные!$H$2:$M$502,6,0),"")</f>
        <v>141990</v>
      </c>
      <c r="P531" t="str">
        <f t="shared" si="133"/>
        <v xml:space="preserve">Цена отличается от каталога</v>
      </c>
    </row>
    <row r="532">
      <c r="A532" s="3" t="s">
        <v>3090</v>
      </c>
      <c r="B532" s="3" t="s">
        <v>3091</v>
      </c>
      <c r="C532" s="3" t="s">
        <v>1938</v>
      </c>
      <c r="D532" s="3" t="s">
        <v>2166</v>
      </c>
      <c r="E532" s="3" t="s">
        <v>3092</v>
      </c>
      <c r="F532" s="3" t="s">
        <v>1880</v>
      </c>
      <c r="G532" s="3" t="s">
        <v>1903</v>
      </c>
      <c r="H532" s="5">
        <f t="shared" si="129"/>
        <v>45937</v>
      </c>
      <c r="I532" t="str">
        <f t="shared" si="130"/>
        <v>АРТ-288</v>
      </c>
      <c r="J532" s="6">
        <f t="shared" si="131"/>
        <v>1</v>
      </c>
      <c r="K532" s="4">
        <f>VALUE(SUBSTITUTE(SUBSTITUTE(SUBSTITUTE(SUBSTITUTE(D532,"$",""),"€",""),"₽","")," ",""))*IF(ISNUMBER(FIND("$",D532)),Справочники!$H$3,IF(ISNUMBER(FIND("€",D532)),Справочники!$H$4,1))</f>
        <v>7800</v>
      </c>
      <c r="L532" t="str">
        <f>IFERROR(VLOOKUP(TRIM(G532),Справочники!$D$3:$E$13,2,0),"Нет в справочнике")</f>
        <v>Завершен</v>
      </c>
      <c r="M532" t="str">
        <f t="shared" si="132"/>
        <v/>
      </c>
      <c r="N532" t="str">
        <f>IFERROR(VLOOKUP(I532,Товары_очищенные!$H$2:$J$502,3,0),"Нет в каталоге")</f>
        <v>Аксессуары</v>
      </c>
      <c r="O532" s="4">
        <f>IFERROR(VLOOKUP(I532,Товары_очищенные!$H$2:$M$502,6,0),"")</f>
        <v>8000</v>
      </c>
      <c r="P532" t="str">
        <f t="shared" si="133"/>
        <v>ОК</v>
      </c>
    </row>
    <row r="533">
      <c r="A533" s="3" t="s">
        <v>3090</v>
      </c>
      <c r="B533" s="3" t="s">
        <v>3093</v>
      </c>
      <c r="C533" s="3" t="s">
        <v>1985</v>
      </c>
      <c r="D533" s="3" t="s">
        <v>2044</v>
      </c>
      <c r="E533" s="3" t="s">
        <v>3094</v>
      </c>
      <c r="F533" s="3" t="s">
        <v>1636</v>
      </c>
      <c r="G533" s="3" t="s">
        <v>1908</v>
      </c>
      <c r="H533" s="5">
        <f t="shared" si="129"/>
        <v>45937</v>
      </c>
      <c r="I533" t="str">
        <f t="shared" si="130"/>
        <v>АРТ-377</v>
      </c>
      <c r="J533" s="6">
        <f t="shared" si="131"/>
        <v>-3</v>
      </c>
      <c r="K533" s="4">
        <f>VALUE(SUBSTITUTE(SUBSTITUTE(SUBSTITUTE(SUBSTITUTE(D533,"$",""),"€",""),"₽","")," ",""))*IF(ISNUMBER(FIND("$",D533)),Справочники!$H$3,IF(ISNUMBER(FIND("€",D533)),Справочники!$H$4,1))</f>
        <v>11400</v>
      </c>
      <c r="L533" t="str">
        <f>IFERROR(VLOOKUP(TRIM(G533),Справочники!$D$3:$E$13,2,0),"Нет в справочнике")</f>
        <v>Завершен</v>
      </c>
      <c r="M533" t="str">
        <f t="shared" si="132"/>
        <v/>
      </c>
      <c r="N533" t="str">
        <f>IFERROR(VLOOKUP(I533,Товары_очищенные!$H$2:$J$502,3,0),"Нет в каталоге")</f>
        <v>Часы</v>
      </c>
      <c r="O533" s="4">
        <f>IFERROR(VLOOKUP(I533,Товары_очищенные!$H$2:$M$502,6,0),"")</f>
        <v>23500</v>
      </c>
      <c r="P533" t="str">
        <f t="shared" si="133"/>
        <v xml:space="preserve">Цена отличается от каталога</v>
      </c>
    </row>
    <row r="534">
      <c r="A534" s="3" t="s">
        <v>3095</v>
      </c>
      <c r="B534" s="3" t="s">
        <v>1086</v>
      </c>
      <c r="C534" s="3" t="s">
        <v>1900</v>
      </c>
      <c r="D534" s="3" t="s">
        <v>2046</v>
      </c>
      <c r="E534" s="3" t="s">
        <v>3096</v>
      </c>
      <c r="F534" s="3" t="s">
        <v>1740</v>
      </c>
      <c r="G534" s="3" t="s">
        <v>1913</v>
      </c>
      <c r="H534" s="5">
        <f t="shared" si="129"/>
        <v>45938</v>
      </c>
      <c r="I534" t="str">
        <f t="shared" si="130"/>
        <v>АРТ-296</v>
      </c>
      <c r="J534" s="6">
        <f t="shared" si="131"/>
        <v>2</v>
      </c>
      <c r="K534" s="4">
        <f>VALUE(SUBSTITUTE(SUBSTITUTE(SUBSTITUTE(SUBSTITUTE(D534,"$",""),"€",""),"₽","")," ",""))*IF(ISNUMBER(FIND("$",D534)),Справочники!$H$3,IF(ISNUMBER(FIND("€",D534)),Справочники!$H$4,1))</f>
        <v>10000</v>
      </c>
      <c r="L534" t="str">
        <f>IFERROR(VLOOKUP(TRIM(G534),Справочники!$D$3:$E$13,2,0),"Нет в справочнике")</f>
        <v>Завершен</v>
      </c>
      <c r="M534" t="str">
        <f t="shared" si="132"/>
        <v/>
      </c>
      <c r="N534" t="str">
        <f>IFERROR(VLOOKUP(I534,Товары_очищенные!$H$2:$J$502,3,0),"Нет в каталоге")</f>
        <v>Смартфоны</v>
      </c>
      <c r="O534" s="4">
        <f>IFERROR(VLOOKUP(I534,Товары_очищенные!$H$2:$M$502,6,0),"")</f>
        <v>33500</v>
      </c>
      <c r="P534" t="str">
        <f t="shared" si="133"/>
        <v xml:space="preserve">Цена отличается от каталога</v>
      </c>
    </row>
    <row r="535">
      <c r="A535" s="3" t="s">
        <v>3095</v>
      </c>
      <c r="B535" s="3" t="s">
        <v>3073</v>
      </c>
      <c r="C535" s="3" t="s">
        <v>1905</v>
      </c>
      <c r="D535" s="3" t="s">
        <v>2087</v>
      </c>
      <c r="E535" s="3" t="s">
        <v>3097</v>
      </c>
      <c r="F535" s="3" t="s">
        <v>1682</v>
      </c>
      <c r="G535" s="3" t="s">
        <v>1918</v>
      </c>
      <c r="H535" s="5">
        <f t="shared" si="129"/>
        <v>45938</v>
      </c>
      <c r="I535" t="str">
        <f t="shared" si="130"/>
        <v>АРТ-225</v>
      </c>
      <c r="J535" s="6">
        <f t="shared" si="131"/>
        <v>1</v>
      </c>
      <c r="K535" s="4">
        <f>VALUE(SUBSTITUTE(SUBSTITUTE(SUBSTITUTE(SUBSTITUTE(D535,"$",""),"€",""),"₽","")," ",""))*IF(ISNUMBER(FIND("$",D535)),Справочники!$H$3,IF(ISNUMBER(FIND("€",D535)),Справочники!$H$4,1))</f>
        <v>9200</v>
      </c>
      <c r="L535" t="str">
        <f>IFERROR(VLOOKUP(TRIM(G535),Справочники!$D$3:$E$13,2,0),"Нет в справочнике")</f>
        <v>Отменен</v>
      </c>
      <c r="M535" t="str">
        <f t="shared" si="132"/>
        <v/>
      </c>
      <c r="N535" t="str">
        <f>IFERROR(VLOOKUP(I535,Товары_очищенные!$H$2:$J$502,3,0),"Нет в каталоге")</f>
        <v>Мониторы</v>
      </c>
      <c r="O535" s="4">
        <f>IFERROR(VLOOKUP(I535,Товары_очищенные!$H$2:$M$502,6,0),"")</f>
        <v>57000</v>
      </c>
      <c r="P535" t="str">
        <f t="shared" si="133"/>
        <v xml:space="preserve">Цена отличается от каталога</v>
      </c>
    </row>
    <row r="536">
      <c r="A536" s="3" t="s">
        <v>3098</v>
      </c>
      <c r="B536" s="3" t="s">
        <v>308</v>
      </c>
      <c r="C536" s="3" t="s">
        <v>1930</v>
      </c>
      <c r="D536" s="3" t="s">
        <v>1986</v>
      </c>
      <c r="E536" s="3" t="s">
        <v>3099</v>
      </c>
      <c r="F536" s="3" t="s">
        <v>1820</v>
      </c>
      <c r="G536" s="3" t="s">
        <v>1924</v>
      </c>
      <c r="H536" s="5">
        <f t="shared" si="129"/>
        <v>45939</v>
      </c>
      <c r="I536" t="str">
        <f t="shared" si="130"/>
        <v>АРТ-064</v>
      </c>
      <c r="J536" s="6">
        <f t="shared" si="131"/>
        <v>3</v>
      </c>
      <c r="K536" s="4">
        <f>VALUE(SUBSTITUTE(SUBSTITUTE(SUBSTITUTE(SUBSTITUTE(D536,"$",""),"€",""),"₽","")," ",""))*IF(ISNUMBER(FIND("$",D536)),Справочники!$H$3,IF(ISNUMBER(FIND("€",D536)),Справочники!$H$4,1))</f>
        <v>8550</v>
      </c>
      <c r="L536" t="str">
        <f>IFERROR(VLOOKUP(TRIM(G536),Справочники!$D$3:$E$13,2,0),"Нет в справочнике")</f>
        <v>Отменен</v>
      </c>
      <c r="M536" t="str">
        <f t="shared" si="132"/>
        <v/>
      </c>
      <c r="N536" t="str">
        <f>IFERROR(VLOOKUP(I536,Товары_очищенные!$H$2:$J$502,3,0),"Нет в каталоге")</f>
        <v>Смартфоны</v>
      </c>
      <c r="O536" s="4">
        <f>IFERROR(VLOOKUP(I536,Товары_очищенные!$H$2:$M$502,6,0),"")</f>
        <v>56990</v>
      </c>
      <c r="P536" t="str">
        <f t="shared" si="133"/>
        <v xml:space="preserve">Цена отличается от каталога</v>
      </c>
    </row>
    <row r="537">
      <c r="A537" s="3" t="s">
        <v>3098</v>
      </c>
      <c r="B537" s="3" t="s">
        <v>2170</v>
      </c>
      <c r="C537" s="3" t="s">
        <v>1900</v>
      </c>
      <c r="D537" s="3" t="s">
        <v>1989</v>
      </c>
      <c r="E537" s="3" t="s">
        <v>3100</v>
      </c>
      <c r="F537" s="3" t="s">
        <v>1580</v>
      </c>
      <c r="G537" s="3" t="s">
        <v>1903</v>
      </c>
      <c r="H537" s="5">
        <f t="shared" si="129"/>
        <v>45939</v>
      </c>
      <c r="I537" t="str">
        <f t="shared" si="130"/>
        <v>АРТ-490</v>
      </c>
      <c r="J537" s="6">
        <f t="shared" si="131"/>
        <v>2</v>
      </c>
      <c r="K537" s="4">
        <f>VALUE(SUBSTITUTE(SUBSTITUTE(SUBSTITUTE(SUBSTITUTE(D537,"$",""),"€",""),"₽","")," ",""))*IF(ISNUMBER(FIND("$",D537)),Справочники!$H$3,IF(ISNUMBER(FIND("€",D537)),Справочники!$H$4,1))</f>
        <v>7000</v>
      </c>
      <c r="L537" t="str">
        <f>IFERROR(VLOOKUP(TRIM(G537),Справочники!$D$3:$E$13,2,0),"Нет в справочнике")</f>
        <v>Завершен</v>
      </c>
      <c r="M537" t="str">
        <f t="shared" si="132"/>
        <v/>
      </c>
      <c r="N537" t="str">
        <f>IFERROR(VLOOKUP(I537,Товары_очищенные!$H$2:$J$502,3,0),"Нет в каталоге")</f>
        <v>Телевизоры</v>
      </c>
      <c r="O537" s="4">
        <f>IFERROR(VLOOKUP(I537,Товары_очищенные!$H$2:$M$502,6,0),"")</f>
        <v>61990</v>
      </c>
      <c r="P537" t="str">
        <f t="shared" si="133"/>
        <v xml:space="preserve">Цена отличается от каталога</v>
      </c>
    </row>
    <row r="538">
      <c r="A538" s="3" t="s">
        <v>3101</v>
      </c>
      <c r="B538" s="3" t="s">
        <v>3102</v>
      </c>
      <c r="C538" s="3" t="s">
        <v>1938</v>
      </c>
      <c r="D538" s="3" t="s">
        <v>1939</v>
      </c>
      <c r="E538" s="3" t="s">
        <v>3103</v>
      </c>
      <c r="F538" s="3" t="s">
        <v>1727</v>
      </c>
      <c r="G538" s="3" t="s">
        <v>1927</v>
      </c>
      <c r="H538" s="5">
        <f t="shared" si="129"/>
        <v>45940</v>
      </c>
      <c r="I538" t="str">
        <f t="shared" si="130"/>
        <v>АРТ-386</v>
      </c>
      <c r="J538" s="6">
        <f t="shared" si="131"/>
        <v>1</v>
      </c>
      <c r="K538" s="4">
        <f>VALUE(SUBSTITUTE(SUBSTITUTE(SUBSTITUTE(SUBSTITUTE(D538,"$",""),"€",""),"₽","")," ",""))*IF(ISNUMBER(FIND("$",D538)),Справочники!$H$3,IF(ISNUMBER(FIND("€",D538)),Справочники!$H$4,1))</f>
        <v>6500</v>
      </c>
      <c r="L538" t="str">
        <f>IFERROR(VLOOKUP(TRIM(G538),Справочники!$D$3:$E$13,2,0),"Нет в справочнике")</f>
        <v>Возврат</v>
      </c>
      <c r="M538" t="str">
        <f t="shared" si="132"/>
        <v/>
      </c>
      <c r="N538" t="str">
        <f>IFERROR(VLOOKUP(I538,Товары_очищенные!$H$2:$J$502,3,0),"Нет в каталоге")</f>
        <v>Ноутбуки</v>
      </c>
      <c r="O538" s="4">
        <f>IFERROR(VLOOKUP(I538,Товары_очищенные!$H$2:$M$502,6,0),"")</f>
        <v>114000</v>
      </c>
      <c r="P538" t="str">
        <f t="shared" si="133"/>
        <v xml:space="preserve">Цена отличается от каталога</v>
      </c>
    </row>
    <row r="539">
      <c r="A539" s="3" t="s">
        <v>3101</v>
      </c>
      <c r="B539" s="3" t="s">
        <v>3104</v>
      </c>
      <c r="C539" s="3" t="s">
        <v>1915</v>
      </c>
      <c r="D539" s="3" t="s">
        <v>1916</v>
      </c>
      <c r="E539" s="3" t="s">
        <v>3105</v>
      </c>
      <c r="F539" s="3" t="s">
        <v>1629</v>
      </c>
      <c r="G539" s="3" t="s">
        <v>1908</v>
      </c>
      <c r="H539" s="5">
        <f t="shared" si="129"/>
        <v>45940</v>
      </c>
      <c r="I539" t="str">
        <f t="shared" si="130"/>
        <v>АРТ-299</v>
      </c>
      <c r="J539" s="6">
        <f t="shared" si="131"/>
        <v>-1</v>
      </c>
      <c r="K539" s="4">
        <f>VALUE(SUBSTITUTE(SUBSTITUTE(SUBSTITUTE(SUBSTITUTE(D539,"$",""),"€",""),"₽","")," ",""))*IF(ISNUMBER(FIND("$",D539)),Справочники!$H$3,IF(ISNUMBER(FIND("€",D539)),Справочники!$H$4,1))</f>
        <v>10450</v>
      </c>
      <c r="L539" t="str">
        <f>IFERROR(VLOOKUP(TRIM(G539),Справочники!$D$3:$E$13,2,0),"Нет в справочнике")</f>
        <v>Завершен</v>
      </c>
      <c r="M539" t="str">
        <f t="shared" si="132"/>
        <v/>
      </c>
      <c r="N539" t="str">
        <f>IFERROR(VLOOKUP(I539,Товары_очищенные!$H$2:$J$502,3,0),"Нет в каталоге")</f>
        <v>Телевизоры</v>
      </c>
      <c r="O539" s="4">
        <f>IFERROR(VLOOKUP(I539,Товары_очищенные!$H$2:$M$502,6,0),"")</f>
        <v>63500</v>
      </c>
      <c r="P539" t="str">
        <f t="shared" si="133"/>
        <v xml:space="preserve">Цена отличается от каталога</v>
      </c>
    </row>
    <row r="540">
      <c r="A540" s="3" t="s">
        <v>3106</v>
      </c>
      <c r="B540" s="3" t="s">
        <v>1372</v>
      </c>
      <c r="C540" s="3" t="s">
        <v>1930</v>
      </c>
      <c r="D540" s="3" t="s">
        <v>1922</v>
      </c>
      <c r="E540" s="3" t="s">
        <v>3107</v>
      </c>
      <c r="F540" s="3" t="s">
        <v>1778</v>
      </c>
      <c r="G540" s="3" t="s">
        <v>1913</v>
      </c>
      <c r="H540" s="5">
        <f t="shared" si="129"/>
        <v>45941</v>
      </c>
      <c r="I540" t="str">
        <f t="shared" si="130"/>
        <v>АРТ-419</v>
      </c>
      <c r="J540" s="6">
        <f t="shared" si="131"/>
        <v>3</v>
      </c>
      <c r="K540" s="4">
        <f>VALUE(SUBSTITUTE(SUBSTITUTE(SUBSTITUTE(SUBSTITUTE(D540,"$",""),"€",""),"₽","")," ",""))*IF(ISNUMBER(FIND("$",D540)),Справочники!$H$3,IF(ISNUMBER(FIND("€",D540)),Справочники!$H$4,1))</f>
        <v>9000</v>
      </c>
      <c r="L540" t="str">
        <f>IFERROR(VLOOKUP(TRIM(G540),Справочники!$D$3:$E$13,2,0),"Нет в справочнике")</f>
        <v>Завершен</v>
      </c>
      <c r="M540" t="str">
        <f t="shared" si="132"/>
        <v/>
      </c>
      <c r="N540" t="str">
        <f>IFERROR(VLOOKUP(I540,Товары_очищенные!$H$2:$J$502,3,0),"Нет в каталоге")</f>
        <v>Часы</v>
      </c>
      <c r="O540" s="4">
        <f>IFERROR(VLOOKUP(I540,Товары_очищенные!$H$2:$M$502,6,0),"")</f>
        <v>28500</v>
      </c>
      <c r="P540" t="str">
        <f t="shared" si="133"/>
        <v xml:space="preserve">Цена отличается от каталога</v>
      </c>
    </row>
    <row r="541">
      <c r="A541" s="3" t="s">
        <v>3106</v>
      </c>
      <c r="B541" s="3" t="s">
        <v>3108</v>
      </c>
      <c r="C541" s="3" t="s">
        <v>1900</v>
      </c>
      <c r="D541" s="3" t="s">
        <v>1925</v>
      </c>
      <c r="E541" s="3" t="s">
        <v>3109</v>
      </c>
      <c r="F541" s="3" t="s">
        <v>1862</v>
      </c>
      <c r="G541" s="3" t="s">
        <v>1903</v>
      </c>
      <c r="H541" s="5">
        <f t="shared" si="129"/>
        <v>45941</v>
      </c>
      <c r="I541" t="str">
        <f t="shared" si="130"/>
        <v>АРТ-320</v>
      </c>
      <c r="J541" s="6">
        <f t="shared" si="131"/>
        <v>2</v>
      </c>
      <c r="K541" s="4">
        <f>VALUE(SUBSTITUTE(SUBSTITUTE(SUBSTITUTE(SUBSTITUTE(D541,"$",""),"€",""),"₽","")," ",""))*IF(ISNUMBER(FIND("$",D541)),Справочники!$H$3,IF(ISNUMBER(FIND("€",D541)),Справочники!$H$4,1))</f>
        <v>8000</v>
      </c>
      <c r="L541" t="str">
        <f>IFERROR(VLOOKUP(TRIM(G541),Справочники!$D$3:$E$13,2,0),"Нет в справочнике")</f>
        <v>Завершен</v>
      </c>
      <c r="M541" t="str">
        <f t="shared" si="132"/>
        <v/>
      </c>
      <c r="N541" t="str">
        <f>IFERROR(VLOOKUP(I541,Товары_очищенные!$H$2:$J$502,3,0),"Нет в каталоге")</f>
        <v>Телевизоры</v>
      </c>
      <c r="O541" s="4">
        <f>IFERROR(VLOOKUP(I541,Товары_очищенные!$H$2:$M$502,6,0),"")</f>
        <v>181500</v>
      </c>
      <c r="P541" t="str">
        <f t="shared" si="133"/>
        <v xml:space="preserve">Цена отличается от каталога</v>
      </c>
    </row>
    <row r="542">
      <c r="A542" s="3" t="s">
        <v>3110</v>
      </c>
      <c r="B542" s="3" t="s">
        <v>210</v>
      </c>
      <c r="C542" s="3" t="s">
        <v>1905</v>
      </c>
      <c r="D542" s="3" t="s">
        <v>1964</v>
      </c>
      <c r="E542" s="3" t="s">
        <v>3111</v>
      </c>
      <c r="F542" s="3" t="s">
        <v>1695</v>
      </c>
      <c r="G542" s="3" t="s">
        <v>1924</v>
      </c>
      <c r="H542" s="5">
        <f t="shared" si="129"/>
        <v>45942</v>
      </c>
      <c r="I542" t="str">
        <f t="shared" si="130"/>
        <v>АРТ-040</v>
      </c>
      <c r="J542" s="6">
        <f t="shared" si="131"/>
        <v>1</v>
      </c>
      <c r="K542" s="4">
        <f>VALUE(SUBSTITUTE(SUBSTITUTE(SUBSTITUTE(SUBSTITUTE(D542,"$",""),"€",""),"₽","")," ",""))*IF(ISNUMBER(FIND("$",D542)),Справочники!$H$3,IF(ISNUMBER(FIND("€",D542)),Справочники!$H$4,1))</f>
        <v>9025</v>
      </c>
      <c r="L542" t="str">
        <f>IFERROR(VLOOKUP(TRIM(G542),Справочники!$D$3:$E$13,2,0),"Нет в справочнике")</f>
        <v>Отменен</v>
      </c>
      <c r="M542" t="str">
        <f t="shared" si="132"/>
        <v/>
      </c>
      <c r="N542" t="str">
        <f>IFERROR(VLOOKUP(I542,Товары_очищенные!$H$2:$J$502,3,0),"Нет в каталоге")</f>
        <v>Ноутбуки</v>
      </c>
      <c r="O542" s="4">
        <f>IFERROR(VLOOKUP(I542,Товары_очищенные!$H$2:$M$502,6,0),"")</f>
        <v>142000</v>
      </c>
      <c r="P542" t="str">
        <f t="shared" si="133"/>
        <v xml:space="preserve">Цена отличается от каталога</v>
      </c>
    </row>
    <row r="543">
      <c r="A543" s="3" t="s">
        <v>3110</v>
      </c>
      <c r="B543" s="3" t="s">
        <v>2561</v>
      </c>
      <c r="C543" s="3" t="s">
        <v>1900</v>
      </c>
      <c r="D543" s="3" t="s">
        <v>1968</v>
      </c>
      <c r="E543" s="3" t="s">
        <v>3112</v>
      </c>
      <c r="F543" s="3" t="s">
        <v>1573</v>
      </c>
      <c r="G543" s="3" t="s">
        <v>1918</v>
      </c>
      <c r="H543" s="5">
        <f t="shared" si="129"/>
        <v>45942</v>
      </c>
      <c r="I543" t="str">
        <f t="shared" si="130"/>
        <v>АРТ-462</v>
      </c>
      <c r="J543" s="6">
        <f t="shared" si="131"/>
        <v>2</v>
      </c>
      <c r="K543" s="4">
        <f>VALUE(SUBSTITUTE(SUBSTITUTE(SUBSTITUTE(SUBSTITUTE(D543,"$",""),"€",""),"₽","")," ",""))*IF(ISNUMBER(FIND("$",D543)),Справочники!$H$3,IF(ISNUMBER(FIND("€",D543)),Справочники!$H$4,1))</f>
        <v>7500</v>
      </c>
      <c r="L543" t="str">
        <f>IFERROR(VLOOKUP(TRIM(G543),Справочники!$D$3:$E$13,2,0),"Нет в справочнике")</f>
        <v>Отменен</v>
      </c>
      <c r="M543" t="str">
        <f t="shared" si="132"/>
        <v/>
      </c>
      <c r="N543" t="str">
        <f>IFERROR(VLOOKUP(I543,Товары_очищенные!$H$2:$J$502,3,0),"Нет в каталоге")</f>
        <v>Часы</v>
      </c>
      <c r="O543" s="4">
        <f>IFERROR(VLOOKUP(I543,Товары_очищенные!$H$2:$M$502,6,0),"")</f>
        <v>49500</v>
      </c>
      <c r="P543" t="str">
        <f t="shared" si="133"/>
        <v xml:space="preserve">Цена отличается от каталога</v>
      </c>
    </row>
    <row r="544">
      <c r="A544" s="3" t="s">
        <v>3113</v>
      </c>
      <c r="B544" s="3" t="s">
        <v>2526</v>
      </c>
      <c r="C544" s="3" t="s">
        <v>1910</v>
      </c>
      <c r="D544" s="3" t="s">
        <v>1971</v>
      </c>
      <c r="E544" s="3" t="s">
        <v>3114</v>
      </c>
      <c r="F544" s="3" t="s">
        <v>1808</v>
      </c>
      <c r="G544" s="3" t="s">
        <v>1927</v>
      </c>
      <c r="H544" s="5">
        <f t="shared" si="129"/>
        <v>45943</v>
      </c>
      <c r="I544" t="str">
        <f t="shared" si="130"/>
        <v>АРТ-346</v>
      </c>
      <c r="J544" s="6">
        <f t="shared" si="131"/>
        <v>3</v>
      </c>
      <c r="K544" s="4">
        <f>VALUE(SUBSTITUTE(SUBSTITUTE(SUBSTITUTE(SUBSTITUTE(D544,"$",""),"€",""),"₽","")," ",""))*IF(ISNUMBER(FIND("$",D544)),Справочники!$H$3,IF(ISNUMBER(FIND("€",D544)),Справочники!$H$4,1))</f>
        <v>7000</v>
      </c>
      <c r="L544" t="str">
        <f>IFERROR(VLOOKUP(TRIM(G544),Справочники!$D$3:$E$13,2,0),"Нет в справочнике")</f>
        <v>Возврат</v>
      </c>
      <c r="M544" t="str">
        <f t="shared" si="132"/>
        <v/>
      </c>
      <c r="N544" t="str">
        <f>IFERROR(VLOOKUP(I544,Товары_очищенные!$H$2:$J$502,3,0),"Нет в каталоге")</f>
        <v>Наушники</v>
      </c>
      <c r="O544" s="4">
        <f>IFERROR(VLOOKUP(I544,Товары_очищенные!$H$2:$M$502,6,0),"")</f>
        <v>19990</v>
      </c>
      <c r="P544" t="str">
        <f t="shared" si="133"/>
        <v xml:space="preserve">Цена отличается от каталога</v>
      </c>
    </row>
    <row r="545">
      <c r="A545" s="3" t="s">
        <v>3113</v>
      </c>
      <c r="B545" s="3" t="s">
        <v>1125</v>
      </c>
      <c r="C545" s="3" t="s">
        <v>1942</v>
      </c>
      <c r="D545" s="3" t="s">
        <v>1943</v>
      </c>
      <c r="E545" s="3" t="s">
        <v>3115</v>
      </c>
      <c r="F545" s="3" t="s">
        <v>1670</v>
      </c>
      <c r="G545" s="3" t="s">
        <v>1903</v>
      </c>
      <c r="H545" s="5">
        <f t="shared" si="129"/>
        <v>45943</v>
      </c>
      <c r="I545" t="str">
        <f t="shared" si="130"/>
        <v>АРТ-310</v>
      </c>
      <c r="J545" s="6">
        <f t="shared" si="131"/>
        <v>-2</v>
      </c>
      <c r="K545" s="4">
        <f>VALUE(SUBSTITUTE(SUBSTITUTE(SUBSTITUTE(SUBSTITUTE(D545,"$",""),"€",""),"₽","")," ",""))*IF(ISNUMBER(FIND("$",D545)),Справочники!$H$3,IF(ISNUMBER(FIND("€",D545)),Справочники!$H$4,1))</f>
        <v>10925</v>
      </c>
      <c r="L545" t="str">
        <f>IFERROR(VLOOKUP(TRIM(G545),Справочники!$D$3:$E$13,2,0),"Нет в справочнике")</f>
        <v>Завершен</v>
      </c>
      <c r="M545" t="str">
        <f t="shared" si="132"/>
        <v/>
      </c>
      <c r="N545" t="str">
        <f>IFERROR(VLOOKUP(I545,Товары_очищенные!$H$2:$J$502,3,0),"Нет в каталоге")</f>
        <v>Планшеты</v>
      </c>
      <c r="O545" s="4">
        <f>IFERROR(VLOOKUP(I545,Товары_очищенные!$H$2:$M$502,6,0),"")</f>
        <v>64990</v>
      </c>
      <c r="P545" t="str">
        <f t="shared" si="133"/>
        <v xml:space="preserve">Цена отличается от каталога</v>
      </c>
    </row>
    <row r="546">
      <c r="A546" s="3" t="s">
        <v>3116</v>
      </c>
      <c r="B546" s="3" t="s">
        <v>2504</v>
      </c>
      <c r="C546" s="3" t="s">
        <v>1905</v>
      </c>
      <c r="D546" s="3" t="s">
        <v>1934</v>
      </c>
      <c r="E546" s="3" t="s">
        <v>3117</v>
      </c>
      <c r="F546" s="3" t="s">
        <v>1752</v>
      </c>
      <c r="G546" s="3" t="s">
        <v>1908</v>
      </c>
      <c r="H546" s="5">
        <f t="shared" si="129"/>
        <v>45944</v>
      </c>
      <c r="I546" t="str">
        <f t="shared" si="130"/>
        <v>АРТ-276</v>
      </c>
      <c r="J546" s="6">
        <f t="shared" si="131"/>
        <v>1</v>
      </c>
      <c r="K546" s="4">
        <f>VALUE(SUBSTITUTE(SUBSTITUTE(SUBSTITUTE(SUBSTITUTE(D546,"$",""),"€",""),"₽","")," ",""))*IF(ISNUMBER(FIND("$",D546)),Справочники!$H$3,IF(ISNUMBER(FIND("€",D546)),Справочники!$H$4,1))</f>
        <v>9500</v>
      </c>
      <c r="L546" t="str">
        <f>IFERROR(VLOOKUP(TRIM(G546),Справочники!$D$3:$E$13,2,0),"Нет в справочнике")</f>
        <v>Завершен</v>
      </c>
      <c r="M546" t="str">
        <f t="shared" si="132"/>
        <v/>
      </c>
      <c r="N546" t="str">
        <f>IFERROR(VLOOKUP(I546,Товары_очищенные!$H$2:$J$502,3,0),"Нет в каталоге")</f>
        <v>Планшеты</v>
      </c>
      <c r="O546" s="4">
        <f>IFERROR(VLOOKUP(I546,Товары_очищенные!$H$2:$M$502,6,0),"")</f>
        <v>50500</v>
      </c>
      <c r="P546" t="str">
        <f t="shared" si="133"/>
        <v xml:space="preserve">Цена отличается от каталога</v>
      </c>
    </row>
    <row r="547">
      <c r="A547" s="3" t="s">
        <v>3116</v>
      </c>
      <c r="B547" s="3" t="s">
        <v>3118</v>
      </c>
      <c r="C547" s="3" t="s">
        <v>1900</v>
      </c>
      <c r="D547" s="3" t="s">
        <v>1951</v>
      </c>
      <c r="E547" s="3" t="s">
        <v>3119</v>
      </c>
      <c r="F547" s="3" t="s">
        <v>1790</v>
      </c>
      <c r="G547" s="3" t="s">
        <v>1913</v>
      </c>
      <c r="H547" s="5">
        <f t="shared" si="129"/>
        <v>45944</v>
      </c>
      <c r="I547" t="str">
        <f t="shared" si="130"/>
        <v>АРТ-083</v>
      </c>
      <c r="J547" s="6">
        <f t="shared" si="131"/>
        <v>2</v>
      </c>
      <c r="K547" s="4">
        <f>VALUE(SUBSTITUTE(SUBSTITUTE(SUBSTITUTE(SUBSTITUTE(D547,"$",""),"€",""),"₽","")," ",""))*IF(ISNUMBER(FIND("$",D547)),Справочники!$H$3,IF(ISNUMBER(FIND("€",D547)),Справочники!$H$4,1))</f>
        <v>8500</v>
      </c>
      <c r="L547" t="str">
        <f>IFERROR(VLOOKUP(TRIM(G547),Справочники!$D$3:$E$13,2,0),"Нет в справочнике")</f>
        <v>Завершен</v>
      </c>
      <c r="M547" t="str">
        <f t="shared" si="132"/>
        <v/>
      </c>
      <c r="N547" t="str">
        <f>IFERROR(VLOOKUP(I547,Товары_очищенные!$H$2:$J$502,3,0),"Нет в каталоге")</f>
        <v>Часы</v>
      </c>
      <c r="O547" s="4">
        <f>IFERROR(VLOOKUP(I547,Товары_очищенные!$H$2:$M$502,6,0),"")</f>
        <v>38500</v>
      </c>
      <c r="P547" t="str">
        <f t="shared" si="133"/>
        <v xml:space="preserve">Цена отличается от каталога</v>
      </c>
    </row>
    <row r="548">
      <c r="A548" s="3" t="s">
        <v>3120</v>
      </c>
      <c r="B548" s="3" t="s">
        <v>2269</v>
      </c>
      <c r="C548" s="3" t="s">
        <v>1930</v>
      </c>
      <c r="D548" s="3" t="s">
        <v>1931</v>
      </c>
      <c r="E548" s="3" t="s">
        <v>3121</v>
      </c>
      <c r="F548" s="3" t="s">
        <v>1856</v>
      </c>
      <c r="G548" s="3" t="s">
        <v>1918</v>
      </c>
      <c r="H548" s="5">
        <f t="shared" ref="H548:H611" si="134">DATE(VALUE(RIGHT(A548,4)),VALUE(LEFT(A548,2)),VALUE(MID(A548,4,2)))</f>
        <v>45945</v>
      </c>
      <c r="I548" t="str">
        <f t="shared" ref="I548:I611" si="135">"АРТ-"&amp;TEXT(VALUE(LEFT(SUBSTITUTE(SUBSTITUTE(SUBSTITUTE(SUBSTITUTE(TRIM(B548),"№",""),"АРТ-",""),"АРТ_",""),"АРТ",""),3)),"000")</f>
        <v>АРТ-138</v>
      </c>
      <c r="J548" s="6">
        <f t="shared" ref="J548:J611" si="136">VALUE(TRIM(SUBSTITUTE(SUBSTITUTE(TRIM(C548),"шт.",""),"шт","")))</f>
        <v>3</v>
      </c>
      <c r="K548" s="4">
        <f>VALUE(SUBSTITUTE(SUBSTITUTE(SUBSTITUTE(SUBSTITUTE(D548,"$",""),"€",""),"₽","")," ",""))*IF(ISNUMBER(FIND("$",D548)),Справочники!$H$3,IF(ISNUMBER(FIND("€",D548)),Справочники!$H$4,1))</f>
        <v>9975</v>
      </c>
      <c r="L548" t="str">
        <f>IFERROR(VLOOKUP(TRIM(G548),Справочники!$D$3:$E$13,2,0),"Нет в справочнике")</f>
        <v>Отменен</v>
      </c>
      <c r="M548" t="str">
        <f t="shared" ref="M548:M611" si="137">IF(COUNTIFS($H$2:H548,H548,$I$2:I548,I548,$E$2:E548,E548)&gt;1,"Дубликат","")</f>
        <v/>
      </c>
      <c r="N548" t="str">
        <f>IFERROR(VLOOKUP(I548,Товары_очищенные!$H$2:$J$502,3,0),"Нет в каталоге")</f>
        <v>Наушники</v>
      </c>
      <c r="O548" s="4">
        <f>IFERROR(VLOOKUP(I548,Товары_очищенные!$H$2:$M$502,6,0),"")</f>
        <v>24000</v>
      </c>
      <c r="P548" t="str">
        <f t="shared" ref="P548:P611" si="138">IF(O548="","Нет в каталоге",IF(ABS(K548/O548-1)&lt;=0.2,"ОК","Цена отличается от каталога"))</f>
        <v xml:space="preserve">Цена отличается от каталога</v>
      </c>
    </row>
    <row r="549">
      <c r="A549" s="3" t="s">
        <v>3120</v>
      </c>
      <c r="B549" s="3" t="s">
        <v>1424</v>
      </c>
      <c r="C549" s="3" t="s">
        <v>1900</v>
      </c>
      <c r="D549" s="3" t="s">
        <v>1906</v>
      </c>
      <c r="E549" s="3" t="s">
        <v>3122</v>
      </c>
      <c r="F549" s="3" t="s">
        <v>1708</v>
      </c>
      <c r="G549" s="3" t="s">
        <v>1924</v>
      </c>
      <c r="H549" s="5">
        <f t="shared" si="134"/>
        <v>45945</v>
      </c>
      <c r="I549" t="str">
        <f t="shared" si="135"/>
        <v>АРТ-443</v>
      </c>
      <c r="J549" s="6">
        <f t="shared" si="136"/>
        <v>2</v>
      </c>
      <c r="K549" s="4">
        <f>VALUE(SUBSTITUTE(SUBSTITUTE(SUBSTITUTE(SUBSTITUTE(D549,"$",""),"€",""),"₽","")," ",""))*IF(ISNUMBER(FIND("$",D549)),Справочники!$H$3,IF(ISNUMBER(FIND("€",D549)),Справочники!$H$4,1))</f>
        <v>8500</v>
      </c>
      <c r="L549" t="str">
        <f>IFERROR(VLOOKUP(TRIM(G549),Справочники!$D$3:$E$13,2,0),"Нет в справочнике")</f>
        <v>Отменен</v>
      </c>
      <c r="M549" t="str">
        <f t="shared" si="137"/>
        <v/>
      </c>
      <c r="N549" t="str">
        <f>IFERROR(VLOOKUP(I549,Товары_очищенные!$H$2:$J$502,3,0),"Нет в каталоге")</f>
        <v>Смартфоны</v>
      </c>
      <c r="O549" s="4">
        <f>IFERROR(VLOOKUP(I549,Товары_очищенные!$H$2:$M$502,6,0),"")</f>
        <v>23500</v>
      </c>
      <c r="P549" t="str">
        <f t="shared" si="138"/>
        <v xml:space="preserve">Цена отличается от каталога</v>
      </c>
    </row>
    <row r="550">
      <c r="A550" s="3" t="s">
        <v>3123</v>
      </c>
      <c r="B550" s="3" t="s">
        <v>3124</v>
      </c>
      <c r="C550" s="3" t="s">
        <v>1938</v>
      </c>
      <c r="D550" s="3" t="s">
        <v>2166</v>
      </c>
      <c r="E550" s="3" t="s">
        <v>3125</v>
      </c>
      <c r="F550" s="3" t="s">
        <v>1838</v>
      </c>
      <c r="G550" s="3" t="s">
        <v>1903</v>
      </c>
      <c r="H550" s="5">
        <f t="shared" si="134"/>
        <v>45946</v>
      </c>
      <c r="I550" t="str">
        <f t="shared" si="135"/>
        <v>АРТ-330</v>
      </c>
      <c r="J550" s="6">
        <f t="shared" si="136"/>
        <v>1</v>
      </c>
      <c r="K550" s="4">
        <f>VALUE(SUBSTITUTE(SUBSTITUTE(SUBSTITUTE(SUBSTITUTE(D550,"$",""),"€",""),"₽","")," ",""))*IF(ISNUMBER(FIND("$",D550)),Справочники!$H$3,IF(ISNUMBER(FIND("€",D550)),Справочники!$H$4,1))</f>
        <v>7800</v>
      </c>
      <c r="L550" t="str">
        <f>IFERROR(VLOOKUP(TRIM(G550),Справочники!$D$3:$E$13,2,0),"Нет в справочнике")</f>
        <v>Завершен</v>
      </c>
      <c r="M550" t="str">
        <f t="shared" si="137"/>
        <v/>
      </c>
      <c r="N550" t="str">
        <f>IFERROR(VLOOKUP(I550,Товары_очищенные!$H$2:$J$502,3,0),"Нет в каталоге")</f>
        <v>Аксессуары</v>
      </c>
      <c r="O550" s="4">
        <f>IFERROR(VLOOKUP(I550,Товары_очищенные!$H$2:$M$502,6,0),"")</f>
        <v>12800</v>
      </c>
      <c r="P550" t="str">
        <f t="shared" si="138"/>
        <v xml:space="preserve">Цена отличается от каталога</v>
      </c>
    </row>
    <row r="551">
      <c r="A551" s="3" t="s">
        <v>3123</v>
      </c>
      <c r="B551" s="3" t="s">
        <v>3126</v>
      </c>
      <c r="C551" s="3" t="s">
        <v>1985</v>
      </c>
      <c r="D551" s="3" t="s">
        <v>2044</v>
      </c>
      <c r="E551" s="3" t="s">
        <v>3127</v>
      </c>
      <c r="F551" s="3" t="s">
        <v>1759</v>
      </c>
      <c r="G551" s="3" t="s">
        <v>1927</v>
      </c>
      <c r="H551" s="5">
        <f t="shared" si="134"/>
        <v>45946</v>
      </c>
      <c r="I551" t="str">
        <f t="shared" si="135"/>
        <v>АРТ-296</v>
      </c>
      <c r="J551" s="6">
        <f t="shared" si="136"/>
        <v>-3</v>
      </c>
      <c r="K551" s="4">
        <f>VALUE(SUBSTITUTE(SUBSTITUTE(SUBSTITUTE(SUBSTITUTE(D551,"$",""),"€",""),"₽","")," ",""))*IF(ISNUMBER(FIND("$",D551)),Справочники!$H$3,IF(ISNUMBER(FIND("€",D551)),Справочники!$H$4,1))</f>
        <v>11400</v>
      </c>
      <c r="L551" t="str">
        <f>IFERROR(VLOOKUP(TRIM(G551),Справочники!$D$3:$E$13,2,0),"Нет в справочнике")</f>
        <v>Возврат</v>
      </c>
      <c r="M551" t="str">
        <f t="shared" si="137"/>
        <v/>
      </c>
      <c r="N551" t="str">
        <f>IFERROR(VLOOKUP(I551,Товары_очищенные!$H$2:$J$502,3,0),"Нет в каталоге")</f>
        <v>Смартфоны</v>
      </c>
      <c r="O551" s="4">
        <f>IFERROR(VLOOKUP(I551,Товары_очищенные!$H$2:$M$502,6,0),"")</f>
        <v>33500</v>
      </c>
      <c r="P551" t="str">
        <f t="shared" si="138"/>
        <v xml:space="preserve">Цена отличается от каталога</v>
      </c>
    </row>
    <row r="552">
      <c r="A552" s="3" t="s">
        <v>3128</v>
      </c>
      <c r="B552" s="3" t="s">
        <v>3129</v>
      </c>
      <c r="C552" s="3" t="s">
        <v>1900</v>
      </c>
      <c r="D552" s="3" t="s">
        <v>2046</v>
      </c>
      <c r="E552" s="3" t="s">
        <v>3130</v>
      </c>
      <c r="F552" s="3" t="s">
        <v>1642</v>
      </c>
      <c r="G552" s="3" t="s">
        <v>1908</v>
      </c>
      <c r="H552" s="5">
        <f t="shared" si="134"/>
        <v>45947</v>
      </c>
      <c r="I552" t="str">
        <f t="shared" si="135"/>
        <v>АРТ-354</v>
      </c>
      <c r="J552" s="6">
        <f t="shared" si="136"/>
        <v>2</v>
      </c>
      <c r="K552" s="4">
        <f>VALUE(SUBSTITUTE(SUBSTITUTE(SUBSTITUTE(SUBSTITUTE(D552,"$",""),"€",""),"₽","")," ",""))*IF(ISNUMBER(FIND("$",D552)),Справочники!$H$3,IF(ISNUMBER(FIND("€",D552)),Справочники!$H$4,1))</f>
        <v>10000</v>
      </c>
      <c r="L552" t="str">
        <f>IFERROR(VLOOKUP(TRIM(G552),Справочники!$D$3:$E$13,2,0),"Нет в справочнике")</f>
        <v>Завершен</v>
      </c>
      <c r="M552" t="str">
        <f t="shared" si="137"/>
        <v/>
      </c>
      <c r="N552" t="str">
        <f>IFERROR(VLOOKUP(I552,Товары_очищенные!$H$2:$J$502,3,0),"Нет в каталоге")</f>
        <v>Аксессуары</v>
      </c>
      <c r="O552" s="4">
        <f>IFERROR(VLOOKUP(I552,Товары_очищенные!$H$2:$M$502,6,0),"")</f>
        <v>7800</v>
      </c>
      <c r="P552" t="str">
        <f t="shared" si="138"/>
        <v xml:space="preserve">Цена отличается от каталога</v>
      </c>
    </row>
    <row r="553">
      <c r="A553" s="3" t="s">
        <v>3128</v>
      </c>
      <c r="B553" s="3" t="s">
        <v>803</v>
      </c>
      <c r="C553" s="3" t="s">
        <v>1905</v>
      </c>
      <c r="D553" s="3" t="s">
        <v>2087</v>
      </c>
      <c r="E553" s="3" t="s">
        <v>3131</v>
      </c>
      <c r="F553" s="3" t="s">
        <v>1608</v>
      </c>
      <c r="G553" s="3" t="s">
        <v>1913</v>
      </c>
      <c r="H553" s="5">
        <f t="shared" si="134"/>
        <v>45947</v>
      </c>
      <c r="I553" t="str">
        <f t="shared" si="135"/>
        <v>АРТ-198</v>
      </c>
      <c r="J553" s="6">
        <f t="shared" si="136"/>
        <v>1</v>
      </c>
      <c r="K553" s="4">
        <f>VALUE(SUBSTITUTE(SUBSTITUTE(SUBSTITUTE(SUBSTITUTE(D553,"$",""),"€",""),"₽","")," ",""))*IF(ISNUMBER(FIND("$",D553)),Справочники!$H$3,IF(ISNUMBER(FIND("€",D553)),Справочники!$H$4,1))</f>
        <v>9200</v>
      </c>
      <c r="L553" t="str">
        <f>IFERROR(VLOOKUP(TRIM(G553),Справочники!$D$3:$E$13,2,0),"Нет в справочнике")</f>
        <v>Завершен</v>
      </c>
      <c r="M553" t="str">
        <f t="shared" si="137"/>
        <v/>
      </c>
      <c r="N553" t="str">
        <f>IFERROR(VLOOKUP(I553,Товары_очищенные!$H$2:$J$502,3,0),"Нет в каталоге")</f>
        <v>Смартфоны</v>
      </c>
      <c r="O553" s="4">
        <f>IFERROR(VLOOKUP(I553,Товары_очищенные!$H$2:$M$502,6,0),"")</f>
        <v>55500</v>
      </c>
      <c r="P553" t="str">
        <f t="shared" si="138"/>
        <v xml:space="preserve">Цена отличается от каталога</v>
      </c>
    </row>
    <row r="554">
      <c r="A554" s="3" t="s">
        <v>3132</v>
      </c>
      <c r="B554" s="3" t="s">
        <v>652</v>
      </c>
      <c r="C554" s="3" t="s">
        <v>1930</v>
      </c>
      <c r="D554" s="3" t="s">
        <v>1986</v>
      </c>
      <c r="E554" s="3" t="s">
        <v>3133</v>
      </c>
      <c r="F554" s="3" t="s">
        <v>1715</v>
      </c>
      <c r="G554" s="3" t="s">
        <v>1903</v>
      </c>
      <c r="H554" s="5">
        <f t="shared" si="134"/>
        <v>45948</v>
      </c>
      <c r="I554" t="str">
        <f t="shared" si="135"/>
        <v>АРТ-154</v>
      </c>
      <c r="J554" s="6">
        <f t="shared" si="136"/>
        <v>3</v>
      </c>
      <c r="K554" s="4">
        <f>VALUE(SUBSTITUTE(SUBSTITUTE(SUBSTITUTE(SUBSTITUTE(D554,"$",""),"€",""),"₽","")," ",""))*IF(ISNUMBER(FIND("$",D554)),Справочники!$H$3,IF(ISNUMBER(FIND("€",D554)),Справочники!$H$4,1))</f>
        <v>8550</v>
      </c>
      <c r="L554" t="str">
        <f>IFERROR(VLOOKUP(TRIM(G554),Справочники!$D$3:$E$13,2,0),"Нет в справочнике")</f>
        <v>Завершен</v>
      </c>
      <c r="M554" t="str">
        <f t="shared" si="137"/>
        <v/>
      </c>
      <c r="N554" t="str">
        <f>IFERROR(VLOOKUP(I554,Товары_очищенные!$H$2:$J$502,3,0),"Нет в каталоге")</f>
        <v>Наушники</v>
      </c>
      <c r="O554" s="4">
        <f>IFERROR(VLOOKUP(I554,Товары_очищенные!$H$2:$M$502,6,0),"")</f>
        <v>16990</v>
      </c>
      <c r="P554" t="str">
        <f t="shared" si="138"/>
        <v xml:space="preserve">Цена отличается от каталога</v>
      </c>
    </row>
    <row r="555">
      <c r="A555" s="3" t="s">
        <v>3132</v>
      </c>
      <c r="B555" s="3" t="s">
        <v>2676</v>
      </c>
      <c r="C555" s="3" t="s">
        <v>1900</v>
      </c>
      <c r="D555" s="3" t="s">
        <v>1989</v>
      </c>
      <c r="E555" s="3" t="s">
        <v>3134</v>
      </c>
      <c r="F555" s="3" t="s">
        <v>1850</v>
      </c>
      <c r="G555" s="3" t="s">
        <v>1924</v>
      </c>
      <c r="H555" s="5">
        <f t="shared" si="134"/>
        <v>45948</v>
      </c>
      <c r="I555" t="str">
        <f t="shared" si="135"/>
        <v>АРТ-471</v>
      </c>
      <c r="J555" s="6">
        <f t="shared" si="136"/>
        <v>2</v>
      </c>
      <c r="K555" s="4">
        <f>VALUE(SUBSTITUTE(SUBSTITUTE(SUBSTITUTE(SUBSTITUTE(D555,"$",""),"€",""),"₽","")," ",""))*IF(ISNUMBER(FIND("$",D555)),Справочники!$H$3,IF(ISNUMBER(FIND("€",D555)),Справочники!$H$4,1))</f>
        <v>7000</v>
      </c>
      <c r="L555" t="str">
        <f>IFERROR(VLOOKUP(TRIM(G555),Справочники!$D$3:$E$13,2,0),"Нет в справочнике")</f>
        <v>Отменен</v>
      </c>
      <c r="M555" t="str">
        <f t="shared" si="137"/>
        <v/>
      </c>
      <c r="N555" t="str">
        <f>IFERROR(VLOOKUP(I555,Товары_очищенные!$H$2:$J$502,3,0),"Нет в каталоге")</f>
        <v>Телевизоры</v>
      </c>
      <c r="O555" s="4">
        <f>IFERROR(VLOOKUP(I555,Товары_очищенные!$H$2:$M$502,6,0),"")</f>
        <v>61000</v>
      </c>
      <c r="P555" t="str">
        <f t="shared" si="138"/>
        <v xml:space="preserve">Цена отличается от каталога</v>
      </c>
    </row>
    <row r="556">
      <c r="A556" s="3" t="s">
        <v>3135</v>
      </c>
      <c r="B556" s="3" t="s">
        <v>1248</v>
      </c>
      <c r="C556" s="3" t="s">
        <v>1938</v>
      </c>
      <c r="D556" s="3" t="s">
        <v>1939</v>
      </c>
      <c r="E556" s="3" t="s">
        <v>3136</v>
      </c>
      <c r="F556" s="3" t="s">
        <v>1615</v>
      </c>
      <c r="G556" s="3" t="s">
        <v>1918</v>
      </c>
      <c r="H556" s="5">
        <f t="shared" si="134"/>
        <v>45949</v>
      </c>
      <c r="I556" t="str">
        <f t="shared" si="135"/>
        <v>АРТ-363</v>
      </c>
      <c r="J556" s="6">
        <f t="shared" si="136"/>
        <v>1</v>
      </c>
      <c r="K556" s="4">
        <f>VALUE(SUBSTITUTE(SUBSTITUTE(SUBSTITUTE(SUBSTITUTE(D556,"$",""),"€",""),"₽","")," ",""))*IF(ISNUMBER(FIND("$",D556)),Справочники!$H$3,IF(ISNUMBER(FIND("€",D556)),Справочники!$H$4,1))</f>
        <v>6500</v>
      </c>
      <c r="L556" t="str">
        <f>IFERROR(VLOOKUP(TRIM(G556),Справочники!$D$3:$E$13,2,0),"Нет в справочнике")</f>
        <v>Отменен</v>
      </c>
      <c r="M556" t="str">
        <f t="shared" si="137"/>
        <v/>
      </c>
      <c r="N556" t="str">
        <f>IFERROR(VLOOKUP(I556,Товары_очищенные!$H$2:$J$502,3,0),"Нет в каталоге")</f>
        <v>Ноутбуки</v>
      </c>
      <c r="O556" s="4">
        <f>IFERROR(VLOOKUP(I556,Товары_очищенные!$H$2:$M$502,6,0),"")</f>
        <v>149000</v>
      </c>
      <c r="P556" t="str">
        <f t="shared" si="138"/>
        <v xml:space="preserve">Цена отличается от каталога</v>
      </c>
    </row>
    <row r="557">
      <c r="A557" s="3" t="s">
        <v>3135</v>
      </c>
      <c r="B557" s="3" t="s">
        <v>1263</v>
      </c>
      <c r="C557" s="3" t="s">
        <v>1915</v>
      </c>
      <c r="D557" s="3" t="s">
        <v>1916</v>
      </c>
      <c r="E557" s="3" t="s">
        <v>3137</v>
      </c>
      <c r="F557" s="3" t="s">
        <v>1765</v>
      </c>
      <c r="G557" s="3" t="s">
        <v>1927</v>
      </c>
      <c r="H557" s="5">
        <f t="shared" si="134"/>
        <v>45949</v>
      </c>
      <c r="I557" t="str">
        <f t="shared" si="135"/>
        <v>АРТ-370</v>
      </c>
      <c r="J557" s="6">
        <f t="shared" si="136"/>
        <v>-1</v>
      </c>
      <c r="K557" s="4">
        <f>VALUE(SUBSTITUTE(SUBSTITUTE(SUBSTITUTE(SUBSTITUTE(D557,"$",""),"€",""),"₽","")," ",""))*IF(ISNUMBER(FIND("$",D557)),Справочники!$H$3,IF(ISNUMBER(FIND("€",D557)),Справочники!$H$4,1))</f>
        <v>10450</v>
      </c>
      <c r="L557" t="str">
        <f>IFERROR(VLOOKUP(TRIM(G557),Справочники!$D$3:$E$13,2,0),"Нет в справочнике")</f>
        <v>Возврат</v>
      </c>
      <c r="M557" t="str">
        <f t="shared" si="137"/>
        <v/>
      </c>
      <c r="N557" t="str">
        <f>IFERROR(VLOOKUP(I557,Товары_очищенные!$H$2:$J$502,3,0),"Нет в каталоге")</f>
        <v>Мониторы</v>
      </c>
      <c r="O557" s="4">
        <f>IFERROR(VLOOKUP(I557,Товары_очищенные!$H$2:$M$502,6,0),"")</f>
        <v>49990</v>
      </c>
      <c r="P557" t="str">
        <f t="shared" si="138"/>
        <v xml:space="preserve">Цена отличается от каталога</v>
      </c>
    </row>
    <row r="558">
      <c r="A558" s="3" t="s">
        <v>3138</v>
      </c>
      <c r="B558" s="3" t="s">
        <v>1182</v>
      </c>
      <c r="C558" s="3" t="s">
        <v>1930</v>
      </c>
      <c r="D558" s="3" t="s">
        <v>1922</v>
      </c>
      <c r="E558" s="3" t="s">
        <v>3139</v>
      </c>
      <c r="F558" s="3" t="s">
        <v>1688</v>
      </c>
      <c r="G558" s="3" t="s">
        <v>1903</v>
      </c>
      <c r="H558" s="5">
        <f t="shared" si="134"/>
        <v>45950</v>
      </c>
      <c r="I558" t="str">
        <f t="shared" si="135"/>
        <v>АРТ-332</v>
      </c>
      <c r="J558" s="6">
        <f t="shared" si="136"/>
        <v>3</v>
      </c>
      <c r="K558" s="4">
        <f>VALUE(SUBSTITUTE(SUBSTITUTE(SUBSTITUTE(SUBSTITUTE(D558,"$",""),"€",""),"₽","")," ",""))*IF(ISNUMBER(FIND("$",D558)),Справочники!$H$3,IF(ISNUMBER(FIND("€",D558)),Справочники!$H$4,1))</f>
        <v>9000</v>
      </c>
      <c r="L558" t="str">
        <f>IFERROR(VLOOKUP(TRIM(G558),Справочники!$D$3:$E$13,2,0),"Нет в справочнике")</f>
        <v>Завершен</v>
      </c>
      <c r="M558" t="str">
        <f t="shared" si="137"/>
        <v/>
      </c>
      <c r="N558" t="str">
        <f>IFERROR(VLOOKUP(I558,Товары_очищенные!$H$2:$J$502,3,0),"Нет в каталоге")</f>
        <v>Часы</v>
      </c>
      <c r="O558" s="4">
        <f>IFERROR(VLOOKUP(I558,Товары_очищенные!$H$2:$M$502,6,0),"")</f>
        <v>67500</v>
      </c>
      <c r="P558" t="str">
        <f t="shared" si="138"/>
        <v xml:space="preserve">Цена отличается от каталога</v>
      </c>
    </row>
    <row r="559">
      <c r="A559" s="3" t="s">
        <v>3138</v>
      </c>
      <c r="B559" s="3" t="s">
        <v>615</v>
      </c>
      <c r="C559" s="3" t="s">
        <v>1900</v>
      </c>
      <c r="D559" s="3" t="s">
        <v>1925</v>
      </c>
      <c r="E559" s="3" t="s">
        <v>3140</v>
      </c>
      <c r="F559" s="3" t="s">
        <v>1832</v>
      </c>
      <c r="G559" s="3" t="s">
        <v>1908</v>
      </c>
      <c r="H559" s="5">
        <f t="shared" si="134"/>
        <v>45950</v>
      </c>
      <c r="I559" t="str">
        <f t="shared" si="135"/>
        <v>АРТ-144</v>
      </c>
      <c r="J559" s="6">
        <f t="shared" si="136"/>
        <v>2</v>
      </c>
      <c r="K559" s="4">
        <f>VALUE(SUBSTITUTE(SUBSTITUTE(SUBSTITUTE(SUBSTITUTE(D559,"$",""),"€",""),"₽","")," ",""))*IF(ISNUMBER(FIND("$",D559)),Справочники!$H$3,IF(ISNUMBER(FIND("€",D559)),Справочники!$H$4,1))</f>
        <v>8000</v>
      </c>
      <c r="L559" t="str">
        <f>IFERROR(VLOOKUP(TRIM(G559),Справочники!$D$3:$E$13,2,0),"Нет в справочнике")</f>
        <v>Завершен</v>
      </c>
      <c r="M559" t="str">
        <f t="shared" si="137"/>
        <v/>
      </c>
      <c r="N559" t="str">
        <f>IFERROR(VLOOKUP(I559,Товары_очищенные!$H$2:$J$502,3,0),"Нет в каталоге")</f>
        <v>Аксессуары</v>
      </c>
      <c r="O559" s="4">
        <f>IFERROR(VLOOKUP(I559,Товары_очищенные!$H$2:$M$502,6,0),"")</f>
        <v>8500</v>
      </c>
      <c r="P559" t="str">
        <f t="shared" si="138"/>
        <v>ОК</v>
      </c>
    </row>
    <row r="560">
      <c r="A560" s="3" t="s">
        <v>3141</v>
      </c>
      <c r="B560" s="3" t="s">
        <v>3053</v>
      </c>
      <c r="C560" s="3" t="s">
        <v>1905</v>
      </c>
      <c r="D560" s="3" t="s">
        <v>1964</v>
      </c>
      <c r="E560" s="3" t="s">
        <v>3142</v>
      </c>
      <c r="F560" s="3" t="s">
        <v>1594</v>
      </c>
      <c r="G560" s="3" t="s">
        <v>1913</v>
      </c>
      <c r="H560" s="5">
        <f t="shared" si="134"/>
        <v>45951</v>
      </c>
      <c r="I560" t="str">
        <f t="shared" si="135"/>
        <v>АРТ-050</v>
      </c>
      <c r="J560" s="6">
        <f t="shared" si="136"/>
        <v>1</v>
      </c>
      <c r="K560" s="4">
        <f>VALUE(SUBSTITUTE(SUBSTITUTE(SUBSTITUTE(SUBSTITUTE(D560,"$",""),"€",""),"₽","")," ",""))*IF(ISNUMBER(FIND("$",D560)),Справочники!$H$3,IF(ISNUMBER(FIND("€",D560)),Справочники!$H$4,1))</f>
        <v>9025</v>
      </c>
      <c r="L560" t="str">
        <f>IFERROR(VLOOKUP(TRIM(G560),Справочники!$D$3:$E$13,2,0),"Нет в справочнике")</f>
        <v>Завершен</v>
      </c>
      <c r="M560" t="str">
        <f t="shared" si="137"/>
        <v/>
      </c>
      <c r="N560" t="str">
        <f>IFERROR(VLOOKUP(I560,Товары_очищенные!$H$2:$J$502,3,0),"Нет в каталоге")</f>
        <v>Смартфоны</v>
      </c>
      <c r="O560" s="4">
        <f>IFERROR(VLOOKUP(I560,Товары_очищенные!$H$2:$M$502,6,0),"")</f>
        <v>53500</v>
      </c>
      <c r="P560" t="str">
        <f t="shared" si="138"/>
        <v xml:space="preserve">Цена отличается от каталога</v>
      </c>
    </row>
    <row r="561">
      <c r="A561" s="3" t="s">
        <v>3141</v>
      </c>
      <c r="B561" s="3" t="s">
        <v>3020</v>
      </c>
      <c r="C561" s="3" t="s">
        <v>1900</v>
      </c>
      <c r="D561" s="3" t="s">
        <v>1968</v>
      </c>
      <c r="E561" s="3" t="s">
        <v>3143</v>
      </c>
      <c r="F561" s="3" t="s">
        <v>1796</v>
      </c>
      <c r="G561" s="3" t="s">
        <v>1918</v>
      </c>
      <c r="H561" s="5">
        <f t="shared" si="134"/>
        <v>45951</v>
      </c>
      <c r="I561" t="str">
        <f t="shared" si="135"/>
        <v>АРТ-498</v>
      </c>
      <c r="J561" s="6">
        <f t="shared" si="136"/>
        <v>2</v>
      </c>
      <c r="K561" s="4">
        <f>VALUE(SUBSTITUTE(SUBSTITUTE(SUBSTITUTE(SUBSTITUTE(D561,"$",""),"€",""),"₽","")," ",""))*IF(ISNUMBER(FIND("$",D561)),Справочники!$H$3,IF(ISNUMBER(FIND("€",D561)),Справочники!$H$4,1))</f>
        <v>7500</v>
      </c>
      <c r="L561" t="str">
        <f>IFERROR(VLOOKUP(TRIM(G561),Справочники!$D$3:$E$13,2,0),"Нет в справочнике")</f>
        <v>Отменен</v>
      </c>
      <c r="M561" t="str">
        <f t="shared" si="137"/>
        <v/>
      </c>
      <c r="N561" t="str">
        <f>IFERROR(VLOOKUP(I561,Товары_очищенные!$H$2:$J$502,3,0),"Нет в каталоге")</f>
        <v>Мониторы</v>
      </c>
      <c r="O561" s="4">
        <f>IFERROR(VLOOKUP(I561,Товары_очищенные!$H$2:$M$502,6,0),"")</f>
        <v>62000</v>
      </c>
      <c r="P561" t="str">
        <f t="shared" si="138"/>
        <v xml:space="preserve">Цена отличается от каталога</v>
      </c>
    </row>
    <row r="562">
      <c r="A562" s="3" t="s">
        <v>3144</v>
      </c>
      <c r="B562" s="3" t="s">
        <v>2783</v>
      </c>
      <c r="C562" s="3" t="s">
        <v>1910</v>
      </c>
      <c r="D562" s="3" t="s">
        <v>1971</v>
      </c>
      <c r="E562" s="3" t="s">
        <v>3145</v>
      </c>
      <c r="F562" s="3" t="s">
        <v>1656</v>
      </c>
      <c r="G562" s="3" t="s">
        <v>1924</v>
      </c>
      <c r="H562" s="5">
        <f t="shared" si="134"/>
        <v>45952</v>
      </c>
      <c r="I562" t="str">
        <f t="shared" si="135"/>
        <v>АРТ-342</v>
      </c>
      <c r="J562" s="6">
        <f t="shared" si="136"/>
        <v>3</v>
      </c>
      <c r="K562" s="4">
        <f>VALUE(SUBSTITUTE(SUBSTITUTE(SUBSTITUTE(SUBSTITUTE(D562,"$",""),"€",""),"₽","")," ",""))*IF(ISNUMBER(FIND("$",D562)),Справочники!$H$3,IF(ISNUMBER(FIND("€",D562)),Справочники!$H$4,1))</f>
        <v>7000</v>
      </c>
      <c r="L562" t="str">
        <f>IFERROR(VLOOKUP(TRIM(G562),Справочники!$D$3:$E$13,2,0),"Нет в справочнике")</f>
        <v>Отменен</v>
      </c>
      <c r="M562" t="str">
        <f t="shared" si="137"/>
        <v/>
      </c>
      <c r="N562" t="str">
        <f>IFERROR(VLOOKUP(I562,Товары_очищенные!$H$2:$J$502,3,0),"Нет в каталоге")</f>
        <v>Ноутбуки</v>
      </c>
      <c r="O562" s="4">
        <f>IFERROR(VLOOKUP(I562,Товары_очищенные!$H$2:$M$502,6,0),"")</f>
        <v>137500</v>
      </c>
      <c r="P562" t="str">
        <f t="shared" si="138"/>
        <v xml:space="preserve">Цена отличается от каталога</v>
      </c>
    </row>
    <row r="563">
      <c r="A563" s="3" t="s">
        <v>3144</v>
      </c>
      <c r="B563" s="3" t="s">
        <v>3146</v>
      </c>
      <c r="C563" s="3" t="s">
        <v>1942</v>
      </c>
      <c r="D563" s="3" t="s">
        <v>1943</v>
      </c>
      <c r="E563" s="3" t="s">
        <v>3147</v>
      </c>
      <c r="F563" s="3" t="s">
        <v>1746</v>
      </c>
      <c r="G563" s="3" t="s">
        <v>1903</v>
      </c>
      <c r="H563" s="5">
        <f t="shared" si="134"/>
        <v>45952</v>
      </c>
      <c r="I563" t="str">
        <f t="shared" si="135"/>
        <v>АРТ-192</v>
      </c>
      <c r="J563" s="6">
        <f t="shared" si="136"/>
        <v>-2</v>
      </c>
      <c r="K563" s="4">
        <f>VALUE(SUBSTITUTE(SUBSTITUTE(SUBSTITUTE(SUBSTITUTE(D563,"$",""),"€",""),"₽","")," ",""))*IF(ISNUMBER(FIND("$",D563)),Справочники!$H$3,IF(ISNUMBER(FIND("€",D563)),Справочники!$H$4,1))</f>
        <v>10925</v>
      </c>
      <c r="L563" t="str">
        <f>IFERROR(VLOOKUP(TRIM(G563),Справочники!$D$3:$E$13,2,0),"Нет в справочнике")</f>
        <v>Завершен</v>
      </c>
      <c r="M563" t="str">
        <f t="shared" si="137"/>
        <v/>
      </c>
      <c r="N563" t="str">
        <f>IFERROR(VLOOKUP(I563,Товары_очищенные!$H$2:$J$502,3,0),"Нет в каталоге")</f>
        <v>Планшеты</v>
      </c>
      <c r="O563" s="4">
        <f>IFERROR(VLOOKUP(I563,Товары_очищенные!$H$2:$M$502,6,0),"")</f>
        <v>26500</v>
      </c>
      <c r="P563" t="str">
        <f t="shared" si="138"/>
        <v xml:space="preserve">Цена отличается от каталога</v>
      </c>
    </row>
    <row r="564">
      <c r="A564" s="3" t="s">
        <v>3148</v>
      </c>
      <c r="B564" s="3" t="s">
        <v>2600</v>
      </c>
      <c r="C564" s="3" t="s">
        <v>1905</v>
      </c>
      <c r="D564" s="3" t="s">
        <v>1934</v>
      </c>
      <c r="E564" s="3" t="s">
        <v>3149</v>
      </c>
      <c r="F564" s="3" t="s">
        <v>1622</v>
      </c>
      <c r="G564" s="3" t="s">
        <v>1927</v>
      </c>
      <c r="H564" s="5">
        <f t="shared" si="134"/>
        <v>45953</v>
      </c>
      <c r="I564" t="str">
        <f t="shared" si="135"/>
        <v>АРТ-303</v>
      </c>
      <c r="J564" s="6">
        <f t="shared" si="136"/>
        <v>1</v>
      </c>
      <c r="K564" s="4">
        <f>VALUE(SUBSTITUTE(SUBSTITUTE(SUBSTITUTE(SUBSTITUTE(D564,"$",""),"€",""),"₽","")," ",""))*IF(ISNUMBER(FIND("$",D564)),Справочники!$H$3,IF(ISNUMBER(FIND("€",D564)),Справочники!$H$4,1))</f>
        <v>9500</v>
      </c>
      <c r="L564" t="str">
        <f>IFERROR(VLOOKUP(TRIM(G564),Справочники!$D$3:$E$13,2,0),"Нет в справочнике")</f>
        <v>Возврат</v>
      </c>
      <c r="M564" t="str">
        <f t="shared" si="137"/>
        <v/>
      </c>
      <c r="N564" t="str">
        <f>IFERROR(VLOOKUP(I564,Товары_очищенные!$H$2:$J$502,3,0),"Нет в каталоге")</f>
        <v>Наушники</v>
      </c>
      <c r="O564" s="4">
        <f>IFERROR(VLOOKUP(I564,Товары_очищенные!$H$2:$M$502,6,0),"")</f>
        <v>8800</v>
      </c>
      <c r="P564" t="str">
        <f t="shared" si="138"/>
        <v>ОК</v>
      </c>
    </row>
    <row r="565">
      <c r="A565" s="3" t="s">
        <v>3148</v>
      </c>
      <c r="B565" s="3" t="s">
        <v>2266</v>
      </c>
      <c r="C565" s="3" t="s">
        <v>1900</v>
      </c>
      <c r="D565" s="3" t="s">
        <v>1951</v>
      </c>
      <c r="E565" s="3" t="s">
        <v>3150</v>
      </c>
      <c r="F565" s="3" t="s">
        <v>1826</v>
      </c>
      <c r="G565" s="3" t="s">
        <v>1908</v>
      </c>
      <c r="H565" s="5">
        <f t="shared" si="134"/>
        <v>45953</v>
      </c>
      <c r="I565" t="str">
        <f t="shared" si="135"/>
        <v>АРТ-256</v>
      </c>
      <c r="J565" s="6">
        <f t="shared" si="136"/>
        <v>2</v>
      </c>
      <c r="K565" s="4">
        <f>VALUE(SUBSTITUTE(SUBSTITUTE(SUBSTITUTE(SUBSTITUTE(D565,"$",""),"€",""),"₽","")," ",""))*IF(ISNUMBER(FIND("$",D565)),Справочники!$H$3,IF(ISNUMBER(FIND("€",D565)),Справочники!$H$4,1))</f>
        <v>8500</v>
      </c>
      <c r="L565" t="str">
        <f>IFERROR(VLOOKUP(TRIM(G565),Справочники!$D$3:$E$13,2,0),"Нет в справочнике")</f>
        <v>Завершен</v>
      </c>
      <c r="M565" t="str">
        <f t="shared" si="137"/>
        <v/>
      </c>
      <c r="N565" t="str">
        <f>IFERROR(VLOOKUP(I565,Товары_очищенные!$H$2:$J$502,3,0),"Нет в каталоге")</f>
        <v>Смартфоны</v>
      </c>
      <c r="O565" s="4">
        <f>IFERROR(VLOOKUP(I565,Товары_очищенные!$H$2:$M$502,6,0),"")</f>
        <v>37990</v>
      </c>
      <c r="P565" t="str">
        <f t="shared" si="138"/>
        <v xml:space="preserve">Цена отличается от каталога</v>
      </c>
    </row>
    <row r="566">
      <c r="A566" s="3" t="s">
        <v>3151</v>
      </c>
      <c r="B566" s="3" t="s">
        <v>3152</v>
      </c>
      <c r="C566" s="3" t="s">
        <v>1930</v>
      </c>
      <c r="D566" s="3" t="s">
        <v>1931</v>
      </c>
      <c r="E566" s="3" t="s">
        <v>3153</v>
      </c>
      <c r="F566" s="3" t="s">
        <v>1676</v>
      </c>
      <c r="G566" s="3" t="s">
        <v>1913</v>
      </c>
      <c r="H566" s="5">
        <f t="shared" si="134"/>
        <v>45954</v>
      </c>
      <c r="I566" t="str">
        <f t="shared" si="135"/>
        <v>АРТ-087</v>
      </c>
      <c r="J566" s="6">
        <f t="shared" si="136"/>
        <v>3</v>
      </c>
      <c r="K566" s="4">
        <f>VALUE(SUBSTITUTE(SUBSTITUTE(SUBSTITUTE(SUBSTITUTE(D566,"$",""),"€",""),"₽","")," ",""))*IF(ISNUMBER(FIND("$",D566)),Справочники!$H$3,IF(ISNUMBER(FIND("€",D566)),Справочники!$H$4,1))</f>
        <v>9975</v>
      </c>
      <c r="L566" t="str">
        <f>IFERROR(VLOOKUP(TRIM(G566),Справочники!$D$3:$E$13,2,0),"Нет в справочнике")</f>
        <v>Завершен</v>
      </c>
      <c r="M566" t="str">
        <f t="shared" si="137"/>
        <v/>
      </c>
      <c r="N566" t="str">
        <f>IFERROR(VLOOKUP(I566,Товары_очищенные!$H$2:$J$502,3,0),"Нет в каталоге")</f>
        <v>Ноутбуки</v>
      </c>
      <c r="O566" s="4">
        <f>IFERROR(VLOOKUP(I566,Товары_очищенные!$H$2:$M$502,6,0),"")</f>
        <v>112000</v>
      </c>
      <c r="P566" t="str">
        <f t="shared" si="138"/>
        <v xml:space="preserve">Цена отличается от каталога</v>
      </c>
    </row>
    <row r="567">
      <c r="A567" s="3" t="s">
        <v>3151</v>
      </c>
      <c r="B567" s="3" t="s">
        <v>1380</v>
      </c>
      <c r="C567" s="3" t="s">
        <v>1900</v>
      </c>
      <c r="D567" s="3" t="s">
        <v>1906</v>
      </c>
      <c r="E567" s="3" t="s">
        <v>3154</v>
      </c>
      <c r="F567" s="3" t="s">
        <v>1772</v>
      </c>
      <c r="G567" s="3" t="s">
        <v>1903</v>
      </c>
      <c r="H567" s="5">
        <f t="shared" si="134"/>
        <v>45954</v>
      </c>
      <c r="I567" t="str">
        <f t="shared" si="135"/>
        <v>АРТ-422</v>
      </c>
      <c r="J567" s="6">
        <f t="shared" si="136"/>
        <v>2</v>
      </c>
      <c r="K567" s="4">
        <f>VALUE(SUBSTITUTE(SUBSTITUTE(SUBSTITUTE(SUBSTITUTE(D567,"$",""),"€",""),"₽","")," ",""))*IF(ISNUMBER(FIND("$",D567)),Справочники!$H$3,IF(ISNUMBER(FIND("€",D567)),Справочники!$H$4,1))</f>
        <v>8500</v>
      </c>
      <c r="L567" t="str">
        <f>IFERROR(VLOOKUP(TRIM(G567),Справочники!$D$3:$E$13,2,0),"Нет в справочнике")</f>
        <v>Завершен</v>
      </c>
      <c r="M567" t="str">
        <f t="shared" si="137"/>
        <v/>
      </c>
      <c r="N567" t="str">
        <f>IFERROR(VLOOKUP(I567,Товары_очищенные!$H$2:$J$502,3,0),"Нет в каталоге")</f>
        <v>Ноутбуки</v>
      </c>
      <c r="O567" s="4">
        <f>IFERROR(VLOOKUP(I567,Товары_очищенные!$H$2:$M$502,6,0),"")</f>
        <v>124000</v>
      </c>
      <c r="P567" t="str">
        <f t="shared" si="138"/>
        <v xml:space="preserve">Цена отличается от каталога</v>
      </c>
    </row>
    <row r="568">
      <c r="A568" s="3" t="s">
        <v>3155</v>
      </c>
      <c r="B568" s="3" t="s">
        <v>1170</v>
      </c>
      <c r="C568" s="3" t="s">
        <v>1938</v>
      </c>
      <c r="D568" s="3" t="s">
        <v>2166</v>
      </c>
      <c r="E568" s="3" t="s">
        <v>3156</v>
      </c>
      <c r="F568" s="3" t="s">
        <v>1874</v>
      </c>
      <c r="G568" s="3" t="s">
        <v>1924</v>
      </c>
      <c r="H568" s="5">
        <f t="shared" si="134"/>
        <v>45955</v>
      </c>
      <c r="I568" t="str">
        <f t="shared" si="135"/>
        <v>АРТ-327</v>
      </c>
      <c r="J568" s="6">
        <f t="shared" si="136"/>
        <v>1</v>
      </c>
      <c r="K568" s="4">
        <f>VALUE(SUBSTITUTE(SUBSTITUTE(SUBSTITUTE(SUBSTITUTE(D568,"$",""),"€",""),"₽","")," ",""))*IF(ISNUMBER(FIND("$",D568)),Справочники!$H$3,IF(ISNUMBER(FIND("€",D568)),Справочники!$H$4,1))</f>
        <v>7800</v>
      </c>
      <c r="L568" t="str">
        <f>IFERROR(VLOOKUP(TRIM(G568),Справочники!$D$3:$E$13,2,0),"Нет в справочнике")</f>
        <v>Отменен</v>
      </c>
      <c r="M568" t="str">
        <f t="shared" si="137"/>
        <v/>
      </c>
      <c r="N568" t="str">
        <f>IFERROR(VLOOKUP(I568,Товары_очищенные!$H$2:$J$502,3,0),"Нет в каталоге")</f>
        <v>Мониторы</v>
      </c>
      <c r="O568" s="4">
        <f>IFERROR(VLOOKUP(I568,Товары_очищенные!$H$2:$M$502,6,0),"")</f>
        <v>69000</v>
      </c>
      <c r="P568" t="str">
        <f t="shared" si="138"/>
        <v xml:space="preserve">Цена отличается от каталога</v>
      </c>
    </row>
    <row r="569">
      <c r="A569" s="3" t="s">
        <v>3155</v>
      </c>
      <c r="B569" s="3" t="s">
        <v>886</v>
      </c>
      <c r="C569" s="3" t="s">
        <v>1985</v>
      </c>
      <c r="D569" s="3" t="s">
        <v>2044</v>
      </c>
      <c r="E569" s="3" t="s">
        <v>3157</v>
      </c>
      <c r="F569" s="3" t="s">
        <v>1601</v>
      </c>
      <c r="G569" s="3" t="s">
        <v>1918</v>
      </c>
      <c r="H569" s="5">
        <f t="shared" si="134"/>
        <v>45955</v>
      </c>
      <c r="I569" t="str">
        <f t="shared" si="135"/>
        <v>АРТ-226</v>
      </c>
      <c r="J569" s="6">
        <f t="shared" si="136"/>
        <v>-3</v>
      </c>
      <c r="K569" s="4">
        <f>VALUE(SUBSTITUTE(SUBSTITUTE(SUBSTITUTE(SUBSTITUTE(D569,"$",""),"€",""),"₽","")," ",""))*IF(ISNUMBER(FIND("$",D569)),Справочники!$H$3,IF(ISNUMBER(FIND("€",D569)),Справочники!$H$4,1))</f>
        <v>11400</v>
      </c>
      <c r="L569" t="str">
        <f>IFERROR(VLOOKUP(TRIM(G569),Справочники!$D$3:$E$13,2,0),"Нет в справочнике")</f>
        <v>Отменен</v>
      </c>
      <c r="M569" t="str">
        <f t="shared" si="137"/>
        <v/>
      </c>
      <c r="N569" t="str">
        <f>IFERROR(VLOOKUP(I569,Товары_очищенные!$H$2:$J$502,3,0),"Нет в каталоге")</f>
        <v>Аксессуары</v>
      </c>
      <c r="O569" s="4">
        <f>IFERROR(VLOOKUP(I569,Товары_очищенные!$H$2:$M$502,6,0),"")</f>
        <v>5990</v>
      </c>
      <c r="P569" t="str">
        <f t="shared" si="138"/>
        <v xml:space="preserve">Цена отличается от каталога</v>
      </c>
    </row>
    <row r="570">
      <c r="A570" s="3" t="s">
        <v>3158</v>
      </c>
      <c r="B570" s="3" t="s">
        <v>3159</v>
      </c>
      <c r="C570" s="3" t="s">
        <v>1900</v>
      </c>
      <c r="D570" s="3" t="s">
        <v>2046</v>
      </c>
      <c r="E570" s="3" t="s">
        <v>3160</v>
      </c>
      <c r="F570" s="3" t="s">
        <v>1721</v>
      </c>
      <c r="G570" s="3" t="s">
        <v>1927</v>
      </c>
      <c r="H570" s="5">
        <f t="shared" si="134"/>
        <v>45956</v>
      </c>
      <c r="I570" t="str">
        <f t="shared" si="135"/>
        <v>АРТ-396</v>
      </c>
      <c r="J570" s="6">
        <f t="shared" si="136"/>
        <v>2</v>
      </c>
      <c r="K570" s="4">
        <f>VALUE(SUBSTITUTE(SUBSTITUTE(SUBSTITUTE(SUBSTITUTE(D570,"$",""),"€",""),"₽","")," ",""))*IF(ISNUMBER(FIND("$",D570)),Справочники!$H$3,IF(ISNUMBER(FIND("€",D570)),Справочники!$H$4,1))</f>
        <v>10000</v>
      </c>
      <c r="L570" t="str">
        <f>IFERROR(VLOOKUP(TRIM(G570),Справочники!$D$3:$E$13,2,0),"Нет в справочнике")</f>
        <v>Возврат</v>
      </c>
      <c r="M570" t="str">
        <f t="shared" si="137"/>
        <v/>
      </c>
      <c r="N570" t="str">
        <f>IFERROR(VLOOKUP(I570,Товары_очищенные!$H$2:$J$502,3,0),"Нет в каталоге")</f>
        <v>Мониторы</v>
      </c>
      <c r="O570" s="4">
        <f>IFERROR(VLOOKUP(I570,Товары_очищенные!$H$2:$M$502,6,0),"")</f>
        <v>67000</v>
      </c>
      <c r="P570" t="str">
        <f t="shared" si="138"/>
        <v xml:space="preserve">Цена отличается от каталога</v>
      </c>
    </row>
    <row r="571">
      <c r="A571" s="3" t="s">
        <v>3158</v>
      </c>
      <c r="B571" s="3" t="s">
        <v>3161</v>
      </c>
      <c r="C571" s="3" t="s">
        <v>1905</v>
      </c>
      <c r="D571" s="3" t="s">
        <v>2087</v>
      </c>
      <c r="E571" s="3" t="s">
        <v>3162</v>
      </c>
      <c r="F571" s="3" t="s">
        <v>1663</v>
      </c>
      <c r="G571" s="3" t="s">
        <v>1903</v>
      </c>
      <c r="H571" s="5">
        <f t="shared" si="134"/>
        <v>45956</v>
      </c>
      <c r="I571" t="str">
        <f t="shared" si="135"/>
        <v>АРТ-253</v>
      </c>
      <c r="J571" s="6">
        <f t="shared" si="136"/>
        <v>1</v>
      </c>
      <c r="K571" s="4">
        <f>VALUE(SUBSTITUTE(SUBSTITUTE(SUBSTITUTE(SUBSTITUTE(D571,"$",""),"€",""),"₽","")," ",""))*IF(ISNUMBER(FIND("$",D571)),Справочники!$H$3,IF(ISNUMBER(FIND("€",D571)),Справочники!$H$4,1))</f>
        <v>9200</v>
      </c>
      <c r="L571" t="str">
        <f>IFERROR(VLOOKUP(TRIM(G571),Справочники!$D$3:$E$13,2,0),"Нет в справочнике")</f>
        <v>Завершен</v>
      </c>
      <c r="M571" t="str">
        <f t="shared" si="137"/>
        <v/>
      </c>
      <c r="N571" t="str">
        <f>IFERROR(VLOOKUP(I571,Товары_очищенные!$H$2:$J$502,3,0),"Нет в каталоге")</f>
        <v>Ноутбуки</v>
      </c>
      <c r="O571" s="4">
        <f>IFERROR(VLOOKUP(I571,Товары_очищенные!$H$2:$M$502,6,0),"")</f>
        <v>159990</v>
      </c>
      <c r="P571" t="str">
        <f t="shared" si="138"/>
        <v xml:space="preserve">Цена отличается от каталога</v>
      </c>
    </row>
    <row r="572">
      <c r="A572" s="3" t="s">
        <v>3163</v>
      </c>
      <c r="B572" s="3" t="s">
        <v>294</v>
      </c>
      <c r="C572" s="3" t="s">
        <v>1930</v>
      </c>
      <c r="D572" s="3" t="s">
        <v>1986</v>
      </c>
      <c r="E572" s="3" t="s">
        <v>3164</v>
      </c>
      <c r="F572" s="3" t="s">
        <v>1802</v>
      </c>
      <c r="G572" s="3" t="s">
        <v>1908</v>
      </c>
      <c r="H572" s="5">
        <f t="shared" si="134"/>
        <v>45957</v>
      </c>
      <c r="I572" t="str">
        <f t="shared" si="135"/>
        <v>АРТ-061</v>
      </c>
      <c r="J572" s="6">
        <f t="shared" si="136"/>
        <v>3</v>
      </c>
      <c r="K572" s="4">
        <f>VALUE(SUBSTITUTE(SUBSTITUTE(SUBSTITUTE(SUBSTITUTE(D572,"$",""),"€",""),"₽","")," ",""))*IF(ISNUMBER(FIND("$",D572)),Справочники!$H$3,IF(ISNUMBER(FIND("€",D572)),Справочники!$H$4,1))</f>
        <v>8550</v>
      </c>
      <c r="L572" t="str">
        <f>IFERROR(VLOOKUP(TRIM(G572),Справочники!$D$3:$E$13,2,0),"Нет в справочнике")</f>
        <v>Завершен</v>
      </c>
      <c r="M572" t="str">
        <f t="shared" si="137"/>
        <v/>
      </c>
      <c r="N572" t="str">
        <f>IFERROR(VLOOKUP(I572,Товары_очищенные!$H$2:$J$502,3,0),"Нет в каталоге")</f>
        <v>Ноутбуки</v>
      </c>
      <c r="O572" s="4">
        <f>IFERROR(VLOOKUP(I572,Товары_очищенные!$H$2:$M$502,6,0),"")</f>
        <v>124999</v>
      </c>
      <c r="P572" t="str">
        <f t="shared" si="138"/>
        <v xml:space="preserve">Цена отличается от каталога</v>
      </c>
    </row>
    <row r="573">
      <c r="A573" s="3" t="s">
        <v>3163</v>
      </c>
      <c r="B573" s="3" t="s">
        <v>3165</v>
      </c>
      <c r="C573" s="3" t="s">
        <v>1900</v>
      </c>
      <c r="D573" s="3" t="s">
        <v>1989</v>
      </c>
      <c r="E573" s="3" t="s">
        <v>3166</v>
      </c>
      <c r="F573" s="3" t="s">
        <v>1868</v>
      </c>
      <c r="G573" s="3" t="s">
        <v>1913</v>
      </c>
      <c r="H573" s="5">
        <f t="shared" si="134"/>
        <v>45957</v>
      </c>
      <c r="I573" t="str">
        <f t="shared" si="135"/>
        <v>АРТ-484</v>
      </c>
      <c r="J573" s="6">
        <f t="shared" si="136"/>
        <v>2</v>
      </c>
      <c r="K573" s="4">
        <f>VALUE(SUBSTITUTE(SUBSTITUTE(SUBSTITUTE(SUBSTITUTE(D573,"$",""),"€",""),"₽","")," ",""))*IF(ISNUMBER(FIND("$",D573)),Справочники!$H$3,IF(ISNUMBER(FIND("€",D573)),Справочники!$H$4,1))</f>
        <v>7000</v>
      </c>
      <c r="L573" t="str">
        <f>IFERROR(VLOOKUP(TRIM(G573),Справочники!$D$3:$E$13,2,0),"Нет в справочнике")</f>
        <v>Завершен</v>
      </c>
      <c r="M573" t="str">
        <f t="shared" si="137"/>
        <v/>
      </c>
      <c r="N573" t="str">
        <f>IFERROR(VLOOKUP(I573,Товары_очищенные!$H$2:$J$502,3,0),"Нет в каталоге")</f>
        <v>Смартфоны</v>
      </c>
      <c r="O573" s="4">
        <f>IFERROR(VLOOKUP(I573,Товары_очищенные!$H$2:$M$502,6,0),"")</f>
        <v>33990</v>
      </c>
      <c r="P573" t="str">
        <f t="shared" si="138"/>
        <v xml:space="preserve">Цена отличается от каталога</v>
      </c>
    </row>
    <row r="574">
      <c r="A574" s="3" t="s">
        <v>3167</v>
      </c>
      <c r="B574" s="3" t="s">
        <v>2770</v>
      </c>
      <c r="C574" s="3" t="s">
        <v>1938</v>
      </c>
      <c r="D574" s="3" t="s">
        <v>1939</v>
      </c>
      <c r="E574" s="3" t="s">
        <v>3168</v>
      </c>
      <c r="F574" s="3" t="s">
        <v>1587</v>
      </c>
      <c r="G574" s="3" t="s">
        <v>1918</v>
      </c>
      <c r="H574" s="5">
        <f t="shared" si="134"/>
        <v>45958</v>
      </c>
      <c r="I574" t="str">
        <f t="shared" si="135"/>
        <v>АРТ-389</v>
      </c>
      <c r="J574" s="6">
        <f t="shared" si="136"/>
        <v>1</v>
      </c>
      <c r="K574" s="4">
        <f>VALUE(SUBSTITUTE(SUBSTITUTE(SUBSTITUTE(SUBSTITUTE(D574,"$",""),"€",""),"₽","")," ",""))*IF(ISNUMBER(FIND("$",D574)),Справочники!$H$3,IF(ISNUMBER(FIND("€",D574)),Справочники!$H$4,1))</f>
        <v>6500</v>
      </c>
      <c r="L574" t="str">
        <f>IFERROR(VLOOKUP(TRIM(G574),Справочники!$D$3:$E$13,2,0),"Нет в справочнике")</f>
        <v>Отменен</v>
      </c>
      <c r="M574" t="str">
        <f t="shared" si="137"/>
        <v/>
      </c>
      <c r="N574" t="str">
        <f>IFERROR(VLOOKUP(I574,Товары_очищенные!$H$2:$J$502,3,0),"Нет в каталоге")</f>
        <v>Телевизоры</v>
      </c>
      <c r="O574" s="4">
        <f>IFERROR(VLOOKUP(I574,Товары_очищенные!$H$2:$M$502,6,0),"")</f>
        <v>75000</v>
      </c>
      <c r="P574" t="str">
        <f t="shared" si="138"/>
        <v xml:space="preserve">Цена отличается от каталога</v>
      </c>
    </row>
    <row r="575">
      <c r="A575" s="3" t="s">
        <v>3167</v>
      </c>
      <c r="B575" s="3" t="s">
        <v>1040</v>
      </c>
      <c r="C575" s="3" t="s">
        <v>1915</v>
      </c>
      <c r="D575" s="3" t="s">
        <v>1916</v>
      </c>
      <c r="E575" s="3" t="s">
        <v>3169</v>
      </c>
      <c r="F575" s="3" t="s">
        <v>1734</v>
      </c>
      <c r="G575" s="3" t="s">
        <v>1924</v>
      </c>
      <c r="H575" s="5">
        <f t="shared" si="134"/>
        <v>45958</v>
      </c>
      <c r="I575" t="str">
        <f t="shared" si="135"/>
        <v>АРТ-280</v>
      </c>
      <c r="J575" s="6">
        <f t="shared" si="136"/>
        <v>-1</v>
      </c>
      <c r="K575" s="4">
        <f>VALUE(SUBSTITUTE(SUBSTITUTE(SUBSTITUTE(SUBSTITUTE(D575,"$",""),"€",""),"₽","")," ",""))*IF(ISNUMBER(FIND("$",D575)),Справочники!$H$3,IF(ISNUMBER(FIND("€",D575)),Справочники!$H$4,1))</f>
        <v>10450</v>
      </c>
      <c r="L575" t="str">
        <f>IFERROR(VLOOKUP(TRIM(G575),Справочники!$D$3:$E$13,2,0),"Нет в справочнике")</f>
        <v>Отменен</v>
      </c>
      <c r="M575" t="str">
        <f t="shared" si="137"/>
        <v/>
      </c>
      <c r="N575" t="str">
        <f>IFERROR(VLOOKUP(I575,Товары_очищенные!$H$2:$J$502,3,0),"Нет в каталоге")</f>
        <v>Наушники</v>
      </c>
      <c r="O575" s="4">
        <f>IFERROR(VLOOKUP(I575,Товары_очищенные!$H$2:$M$502,6,0),"")</f>
        <v>32990</v>
      </c>
      <c r="P575" t="str">
        <f t="shared" si="138"/>
        <v xml:space="preserve">Цена отличается от каталога</v>
      </c>
    </row>
    <row r="576">
      <c r="A576" s="3" t="s">
        <v>3170</v>
      </c>
      <c r="B576" s="3" t="s">
        <v>2120</v>
      </c>
      <c r="C576" s="3" t="s">
        <v>1930</v>
      </c>
      <c r="D576" s="3" t="s">
        <v>1922</v>
      </c>
      <c r="E576" s="3" t="s">
        <v>3171</v>
      </c>
      <c r="F576" s="3" t="s">
        <v>1649</v>
      </c>
      <c r="G576" s="3" t="s">
        <v>1903</v>
      </c>
      <c r="H576" s="5">
        <f t="shared" si="134"/>
        <v>45959</v>
      </c>
      <c r="I576" t="str">
        <f t="shared" si="135"/>
        <v>АРТ-348</v>
      </c>
      <c r="J576" s="6">
        <f t="shared" si="136"/>
        <v>3</v>
      </c>
      <c r="K576" s="4">
        <f>VALUE(SUBSTITUTE(SUBSTITUTE(SUBSTITUTE(SUBSTITUTE(D576,"$",""),"€",""),"₽","")," ",""))*IF(ISNUMBER(FIND("$",D576)),Справочники!$H$3,IF(ISNUMBER(FIND("€",D576)),Справочники!$H$4,1))</f>
        <v>9000</v>
      </c>
      <c r="L576" t="str">
        <f>IFERROR(VLOOKUP(TRIM(G576),Справочники!$D$3:$E$13,2,0),"Нет в справочнике")</f>
        <v>Завершен</v>
      </c>
      <c r="M576" t="str">
        <f t="shared" si="137"/>
        <v/>
      </c>
      <c r="N576" t="str">
        <f>IFERROR(VLOOKUP(I576,Товары_очищенные!$H$2:$J$502,3,0),"Нет в каталоге")</f>
        <v>Наушники</v>
      </c>
      <c r="O576" s="4">
        <f>IFERROR(VLOOKUP(I576,Товары_очищенные!$H$2:$M$502,6,0),"")</f>
        <v>20800</v>
      </c>
      <c r="P576" t="str">
        <f t="shared" si="138"/>
        <v xml:space="preserve">Цена отличается от каталога</v>
      </c>
    </row>
    <row r="577">
      <c r="A577" s="3" t="s">
        <v>3170</v>
      </c>
      <c r="B577" s="3" t="s">
        <v>3172</v>
      </c>
      <c r="C577" s="3" t="s">
        <v>1900</v>
      </c>
      <c r="D577" s="3" t="s">
        <v>1925</v>
      </c>
      <c r="E577" s="3" t="s">
        <v>3173</v>
      </c>
      <c r="F577" s="3" t="s">
        <v>1784</v>
      </c>
      <c r="G577" s="3" t="s">
        <v>1927</v>
      </c>
      <c r="H577" s="5">
        <f t="shared" si="134"/>
        <v>45959</v>
      </c>
      <c r="I577" t="str">
        <f t="shared" si="135"/>
        <v>АРТ-141</v>
      </c>
      <c r="J577" s="6">
        <f t="shared" si="136"/>
        <v>2</v>
      </c>
      <c r="K577" s="4">
        <f>VALUE(SUBSTITUTE(SUBSTITUTE(SUBSTITUTE(SUBSTITUTE(D577,"$",""),"€",""),"₽","")," ",""))*IF(ISNUMBER(FIND("$",D577)),Справочники!$H$3,IF(ISNUMBER(FIND("€",D577)),Справочники!$H$4,1))</f>
        <v>8000</v>
      </c>
      <c r="L577" t="str">
        <f>IFERROR(VLOOKUP(TRIM(G577),Справочники!$D$3:$E$13,2,0),"Нет в справочнике")</f>
        <v>Возврат</v>
      </c>
      <c r="M577" t="str">
        <f t="shared" si="137"/>
        <v/>
      </c>
      <c r="N577" t="str">
        <f>IFERROR(VLOOKUP(I577,Товары_очищенные!$H$2:$J$502,3,0),"Нет в каталоге")</f>
        <v>Мониторы</v>
      </c>
      <c r="O577" s="4">
        <f>IFERROR(VLOOKUP(I577,Товары_очищенные!$H$2:$M$502,6,0),"")</f>
        <v>92500</v>
      </c>
      <c r="P577" t="str">
        <f t="shared" si="138"/>
        <v xml:space="preserve">Цена отличается от каталога</v>
      </c>
    </row>
    <row r="578">
      <c r="A578" s="3" t="s">
        <v>3174</v>
      </c>
      <c r="B578" s="3" t="s">
        <v>1899</v>
      </c>
      <c r="C578" s="3" t="s">
        <v>1905</v>
      </c>
      <c r="D578" s="3" t="s">
        <v>1964</v>
      </c>
      <c r="E578" s="3" t="s">
        <v>3175</v>
      </c>
      <c r="F578" s="3" t="s">
        <v>1844</v>
      </c>
      <c r="G578" s="3" t="s">
        <v>1908</v>
      </c>
      <c r="H578" s="5">
        <f t="shared" si="134"/>
        <v>45960</v>
      </c>
      <c r="I578" t="str">
        <f t="shared" si="135"/>
        <v>АРТ-045</v>
      </c>
      <c r="J578" s="6">
        <f t="shared" si="136"/>
        <v>1</v>
      </c>
      <c r="K578" s="4">
        <f>VALUE(SUBSTITUTE(SUBSTITUTE(SUBSTITUTE(SUBSTITUTE(D578,"$",""),"€",""),"₽","")," ",""))*IF(ISNUMBER(FIND("$",D578)),Справочники!$H$3,IF(ISNUMBER(FIND("€",D578)),Справочники!$H$4,1))</f>
        <v>9025</v>
      </c>
      <c r="L578" t="str">
        <f>IFERROR(VLOOKUP(TRIM(G578),Справочники!$D$3:$E$13,2,0),"Нет в справочнике")</f>
        <v>Завершен</v>
      </c>
      <c r="M578" t="str">
        <f t="shared" si="137"/>
        <v/>
      </c>
      <c r="N578" t="str">
        <f>IFERROR(VLOOKUP(I578,Товары_очищенные!$H$2:$J$502,3,0),"Нет в каталоге")</f>
        <v>Телевизоры</v>
      </c>
      <c r="O578" s="4">
        <f>IFERROR(VLOOKUP(I578,Товары_очищенные!$H$2:$M$502,6,0),"")</f>
        <v>137000</v>
      </c>
      <c r="P578" t="str">
        <f t="shared" si="138"/>
        <v xml:space="preserve">Цена отличается от каталога</v>
      </c>
    </row>
    <row r="579">
      <c r="A579" s="3" t="s">
        <v>3174</v>
      </c>
      <c r="B579" s="3" t="s">
        <v>3176</v>
      </c>
      <c r="C579" s="3" t="s">
        <v>1900</v>
      </c>
      <c r="D579" s="3" t="s">
        <v>1968</v>
      </c>
      <c r="E579" s="3" t="s">
        <v>3177</v>
      </c>
      <c r="F579" s="3" t="s">
        <v>1566</v>
      </c>
      <c r="G579" s="3" t="s">
        <v>1913</v>
      </c>
      <c r="H579" s="5">
        <f t="shared" si="134"/>
        <v>45960</v>
      </c>
      <c r="I579" t="str">
        <f t="shared" si="135"/>
        <v>АРТ-475</v>
      </c>
      <c r="J579" s="6">
        <f t="shared" si="136"/>
        <v>2</v>
      </c>
      <c r="K579" s="4">
        <f>VALUE(SUBSTITUTE(SUBSTITUTE(SUBSTITUTE(SUBSTITUTE(D579,"$",""),"€",""),"₽","")," ",""))*IF(ISNUMBER(FIND("$",D579)),Справочники!$H$3,IF(ISNUMBER(FIND("€",D579)),Справочники!$H$4,1))</f>
        <v>7500</v>
      </c>
      <c r="L579" t="str">
        <f>IFERROR(VLOOKUP(TRIM(G579),Справочники!$D$3:$E$13,2,0),"Нет в справочнике")</f>
        <v>Завершен</v>
      </c>
      <c r="M579" t="str">
        <f t="shared" si="137"/>
        <v/>
      </c>
      <c r="N579" t="str">
        <f>IFERROR(VLOOKUP(I579,Товары_очищенные!$H$2:$J$502,3,0),"Нет в каталоге")</f>
        <v>Мониторы</v>
      </c>
      <c r="O579" s="4">
        <f>IFERROR(VLOOKUP(I579,Товары_очищенные!$H$2:$M$502,6,0),"")</f>
        <v>52990</v>
      </c>
      <c r="P579" t="str">
        <f t="shared" si="138"/>
        <v xml:space="preserve">Цена отличается от каталога</v>
      </c>
    </row>
    <row r="580">
      <c r="A580" s="3" t="s">
        <v>3178</v>
      </c>
      <c r="B580" s="3" t="s">
        <v>2019</v>
      </c>
      <c r="C580" s="3" t="s">
        <v>1910</v>
      </c>
      <c r="D580" s="3" t="s">
        <v>1971</v>
      </c>
      <c r="E580" s="3" t="s">
        <v>3179</v>
      </c>
      <c r="F580" s="3" t="s">
        <v>1701</v>
      </c>
      <c r="G580" s="3" t="s">
        <v>1903</v>
      </c>
      <c r="H580" s="5">
        <f t="shared" si="134"/>
        <v>45961</v>
      </c>
      <c r="I580" t="str">
        <f t="shared" si="135"/>
        <v>АРТ-352</v>
      </c>
      <c r="J580" s="6">
        <f t="shared" si="136"/>
        <v>3</v>
      </c>
      <c r="K580" s="4">
        <f>VALUE(SUBSTITUTE(SUBSTITUTE(SUBSTITUTE(SUBSTITUTE(D580,"$",""),"€",""),"₽","")," ",""))*IF(ISNUMBER(FIND("$",D580)),Справочники!$H$3,IF(ISNUMBER(FIND("€",D580)),Справочники!$H$4,1))</f>
        <v>7000</v>
      </c>
      <c r="L580" t="str">
        <f>IFERROR(VLOOKUP(TRIM(G580),Справочники!$D$3:$E$13,2,0),"Нет в справочнике")</f>
        <v>Завершен</v>
      </c>
      <c r="M580" t="str">
        <f t="shared" si="137"/>
        <v/>
      </c>
      <c r="N580" t="str">
        <f>IFERROR(VLOOKUP(I580,Товары_очищенные!$H$2:$J$502,3,0),"Нет в каталоге")</f>
        <v>Аксессуары</v>
      </c>
      <c r="O580" s="4">
        <f>IFERROR(VLOOKUP(I580,Товары_очищенные!$H$2:$M$502,6,0),"")</f>
        <v>6990</v>
      </c>
      <c r="P580" t="str">
        <f t="shared" si="138"/>
        <v>ОК</v>
      </c>
    </row>
    <row r="581">
      <c r="A581" s="3" t="s">
        <v>3178</v>
      </c>
      <c r="B581" s="3" t="s">
        <v>905</v>
      </c>
      <c r="C581" s="3" t="s">
        <v>1942</v>
      </c>
      <c r="D581" s="3" t="s">
        <v>1943</v>
      </c>
      <c r="E581" s="3" t="s">
        <v>3180</v>
      </c>
      <c r="F581" s="3" t="s">
        <v>1814</v>
      </c>
      <c r="G581" s="3" t="s">
        <v>1924</v>
      </c>
      <c r="H581" s="5">
        <f t="shared" si="134"/>
        <v>45961</v>
      </c>
      <c r="I581" t="str">
        <f t="shared" si="135"/>
        <v>АРТ-232</v>
      </c>
      <c r="J581" s="6">
        <f t="shared" si="136"/>
        <v>-2</v>
      </c>
      <c r="K581" s="4">
        <f>VALUE(SUBSTITUTE(SUBSTITUTE(SUBSTITUTE(SUBSTITUTE(D581,"$",""),"€",""),"₽","")," ",""))*IF(ISNUMBER(FIND("$",D581)),Справочники!$H$3,IF(ISNUMBER(FIND("€",D581)),Справочники!$H$4,1))</f>
        <v>10925</v>
      </c>
      <c r="L581" t="str">
        <f>IFERROR(VLOOKUP(TRIM(G581),Справочники!$D$3:$E$13,2,0),"Нет в справочнике")</f>
        <v>Отменен</v>
      </c>
      <c r="M581" t="str">
        <f t="shared" si="137"/>
        <v/>
      </c>
      <c r="N581" t="str">
        <f>IFERROR(VLOOKUP(I581,Товары_очищенные!$H$2:$J$502,3,0),"Нет в каталоге")</f>
        <v>Смартфоны</v>
      </c>
      <c r="O581" s="4">
        <f>IFERROR(VLOOKUP(I581,Товары_очищенные!$H$2:$M$502,6,0),"")</f>
        <v>42990</v>
      </c>
      <c r="P581" t="str">
        <f t="shared" si="138"/>
        <v xml:space="preserve">Цена отличается от каталога</v>
      </c>
    </row>
    <row r="582">
      <c r="A582" s="3" t="s">
        <v>3181</v>
      </c>
      <c r="B582" s="3" t="s">
        <v>1070</v>
      </c>
      <c r="C582" s="3" t="s">
        <v>1905</v>
      </c>
      <c r="D582" s="3" t="s">
        <v>1934</v>
      </c>
      <c r="E582" s="3" t="s">
        <v>3182</v>
      </c>
      <c r="F582" s="3" t="s">
        <v>1880</v>
      </c>
      <c r="G582" s="3" t="s">
        <v>1918</v>
      </c>
      <c r="H582" s="5">
        <f t="shared" si="134"/>
        <v>45962</v>
      </c>
      <c r="I582" t="str">
        <f t="shared" si="135"/>
        <v>АРТ-290</v>
      </c>
      <c r="J582" s="6">
        <f t="shared" si="136"/>
        <v>1</v>
      </c>
      <c r="K582" s="4">
        <f>VALUE(SUBSTITUTE(SUBSTITUTE(SUBSTITUTE(SUBSTITUTE(D582,"$",""),"€",""),"₽","")," ",""))*IF(ISNUMBER(FIND("$",D582)),Справочники!$H$3,IF(ISNUMBER(FIND("€",D582)),Справочники!$H$4,1))</f>
        <v>9500</v>
      </c>
      <c r="L582" t="str">
        <f>IFERROR(VLOOKUP(TRIM(G582),Справочники!$D$3:$E$13,2,0),"Нет в справочнике")</f>
        <v>Отменен</v>
      </c>
      <c r="M582" t="str">
        <f t="shared" si="137"/>
        <v/>
      </c>
      <c r="N582" t="str">
        <f>IFERROR(VLOOKUP(I582,Товары_очищенные!$H$2:$J$502,3,0),"Нет в каталоге")</f>
        <v>Часы</v>
      </c>
      <c r="O582" s="4">
        <f>IFERROR(VLOOKUP(I582,Товары_очищенные!$H$2:$M$502,6,0),"")</f>
        <v>60500</v>
      </c>
      <c r="P582" t="str">
        <f t="shared" si="138"/>
        <v xml:space="preserve">Цена отличается от каталога</v>
      </c>
    </row>
    <row r="583">
      <c r="A583" s="3" t="s">
        <v>3181</v>
      </c>
      <c r="B583" s="3" t="s">
        <v>2802</v>
      </c>
      <c r="C583" s="3" t="s">
        <v>1900</v>
      </c>
      <c r="D583" s="3" t="s">
        <v>1951</v>
      </c>
      <c r="E583" s="3" t="s">
        <v>3183</v>
      </c>
      <c r="F583" s="3" t="s">
        <v>1636</v>
      </c>
      <c r="G583" s="3" t="s">
        <v>1927</v>
      </c>
      <c r="H583" s="5">
        <f t="shared" si="134"/>
        <v>45962</v>
      </c>
      <c r="I583" t="str">
        <f t="shared" si="135"/>
        <v>АРТ-181</v>
      </c>
      <c r="J583" s="6">
        <f t="shared" si="136"/>
        <v>2</v>
      </c>
      <c r="K583" s="4">
        <f>VALUE(SUBSTITUTE(SUBSTITUTE(SUBSTITUTE(SUBSTITUTE(D583,"$",""),"€",""),"₽","")," ",""))*IF(ISNUMBER(FIND("$",D583)),Справочники!$H$3,IF(ISNUMBER(FIND("€",D583)),Справочники!$H$4,1))</f>
        <v>8500</v>
      </c>
      <c r="L583" t="str">
        <f>IFERROR(VLOOKUP(TRIM(G583),Справочники!$D$3:$E$13,2,0),"Нет в справочнике")</f>
        <v>Возврат</v>
      </c>
      <c r="M583" t="str">
        <f t="shared" si="137"/>
        <v/>
      </c>
      <c r="N583" t="str">
        <f>IFERROR(VLOOKUP(I583,Товары_очищенные!$H$2:$J$502,3,0),"Нет в каталоге")</f>
        <v>Мониторы</v>
      </c>
      <c r="O583" s="4">
        <f>IFERROR(VLOOKUP(I583,Товары_очищенные!$H$2:$M$502,6,0),"")</f>
        <v>169990</v>
      </c>
      <c r="P583" t="str">
        <f t="shared" si="138"/>
        <v xml:space="preserve">Цена отличается от каталога</v>
      </c>
    </row>
    <row r="584">
      <c r="A584" s="3" t="s">
        <v>3184</v>
      </c>
      <c r="B584" s="3" t="s">
        <v>2035</v>
      </c>
      <c r="C584" s="3" t="s">
        <v>1930</v>
      </c>
      <c r="D584" s="3" t="s">
        <v>1931</v>
      </c>
      <c r="E584" s="3" t="s">
        <v>3185</v>
      </c>
      <c r="F584" s="3" t="s">
        <v>1740</v>
      </c>
      <c r="G584" s="3" t="s">
        <v>1903</v>
      </c>
      <c r="H584" s="5">
        <f t="shared" si="134"/>
        <v>45963</v>
      </c>
      <c r="I584" t="str">
        <f t="shared" si="135"/>
        <v>АРТ-116</v>
      </c>
      <c r="J584" s="6">
        <f t="shared" si="136"/>
        <v>3</v>
      </c>
      <c r="K584" s="4">
        <f>VALUE(SUBSTITUTE(SUBSTITUTE(SUBSTITUTE(SUBSTITUTE(D584,"$",""),"€",""),"₽","")," ",""))*IF(ISNUMBER(FIND("$",D584)),Справочники!$H$3,IF(ISNUMBER(FIND("€",D584)),Справочники!$H$4,1))</f>
        <v>9975</v>
      </c>
      <c r="L584" t="str">
        <f>IFERROR(VLOOKUP(TRIM(G584),Справочники!$D$3:$E$13,2,0),"Нет в справочнике")</f>
        <v>Завершен</v>
      </c>
      <c r="M584" t="str">
        <f t="shared" si="137"/>
        <v/>
      </c>
      <c r="N584" t="str">
        <f>IFERROR(VLOOKUP(I584,Товары_очищенные!$H$2:$J$502,3,0),"Нет в каталоге")</f>
        <v>Мониторы</v>
      </c>
      <c r="O584" s="4">
        <f>IFERROR(VLOOKUP(I584,Товары_очищенные!$H$2:$M$502,6,0),"")</f>
        <v>72500</v>
      </c>
      <c r="P584" t="str">
        <f t="shared" si="138"/>
        <v xml:space="preserve">Цена отличается от каталога</v>
      </c>
    </row>
    <row r="585">
      <c r="A585" s="3" t="s">
        <v>3184</v>
      </c>
      <c r="B585" s="3" t="s">
        <v>1386</v>
      </c>
      <c r="C585" s="3" t="s">
        <v>1900</v>
      </c>
      <c r="D585" s="3" t="s">
        <v>1906</v>
      </c>
      <c r="E585" s="3" t="s">
        <v>3186</v>
      </c>
      <c r="F585" s="3" t="s">
        <v>1682</v>
      </c>
      <c r="G585" s="3" t="s">
        <v>1908</v>
      </c>
      <c r="H585" s="5">
        <f t="shared" si="134"/>
        <v>45963</v>
      </c>
      <c r="I585" t="str">
        <f t="shared" si="135"/>
        <v>АРТ-425</v>
      </c>
      <c r="J585" s="6">
        <f t="shared" si="136"/>
        <v>2</v>
      </c>
      <c r="K585" s="4">
        <f>VALUE(SUBSTITUTE(SUBSTITUTE(SUBSTITUTE(SUBSTITUTE(D585,"$",""),"€",""),"₽","")," ",""))*IF(ISNUMBER(FIND("$",D585)),Справочники!$H$3,IF(ISNUMBER(FIND("€",D585)),Справочники!$H$4,1))</f>
        <v>8500</v>
      </c>
      <c r="L585" t="str">
        <f>IFERROR(VLOOKUP(TRIM(G585),Справочники!$D$3:$E$13,2,0),"Нет в справочнике")</f>
        <v>Завершен</v>
      </c>
      <c r="M585" t="str">
        <f t="shared" si="137"/>
        <v/>
      </c>
      <c r="N585" t="str">
        <f>IFERROR(VLOOKUP(I585,Товары_очищенные!$H$2:$J$502,3,0),"Нет в каталоге")</f>
        <v>Смартфоны</v>
      </c>
      <c r="O585" s="4">
        <f>IFERROR(VLOOKUP(I585,Товары_очищенные!$H$2:$M$502,6,0),"")</f>
        <v>47500</v>
      </c>
      <c r="P585" t="str">
        <f t="shared" si="138"/>
        <v xml:space="preserve">Цена отличается от каталога</v>
      </c>
    </row>
    <row r="586">
      <c r="A586" s="3" t="s">
        <v>3187</v>
      </c>
      <c r="B586" s="3" t="s">
        <v>2540</v>
      </c>
      <c r="C586" s="3" t="s">
        <v>1938</v>
      </c>
      <c r="D586" s="3" t="s">
        <v>2166</v>
      </c>
      <c r="E586" s="3" t="s">
        <v>3188</v>
      </c>
      <c r="F586" s="3" t="s">
        <v>1820</v>
      </c>
      <c r="G586" s="3" t="s">
        <v>1913</v>
      </c>
      <c r="H586" s="5">
        <f t="shared" si="134"/>
        <v>45964</v>
      </c>
      <c r="I586" t="str">
        <f t="shared" si="135"/>
        <v>АРТ-312</v>
      </c>
      <c r="J586" s="6">
        <f t="shared" si="136"/>
        <v>1</v>
      </c>
      <c r="K586" s="4">
        <f>VALUE(SUBSTITUTE(SUBSTITUTE(SUBSTITUTE(SUBSTITUTE(D586,"$",""),"€",""),"₽","")," ",""))*IF(ISNUMBER(FIND("$",D586)),Справочники!$H$3,IF(ISNUMBER(FIND("€",D586)),Справочники!$H$4,1))</f>
        <v>7800</v>
      </c>
      <c r="L586" t="str">
        <f>IFERROR(VLOOKUP(TRIM(G586),Справочники!$D$3:$E$13,2,0),"Нет в справочнике")</f>
        <v>Завершен</v>
      </c>
      <c r="M586" t="str">
        <f t="shared" si="137"/>
        <v/>
      </c>
      <c r="N586" t="str">
        <f>IFERROR(VLOOKUP(I586,Товары_очищенные!$H$2:$J$502,3,0),"Нет в каталоге")</f>
        <v>Планшеты</v>
      </c>
      <c r="O586" s="4">
        <f>IFERROR(VLOOKUP(I586,Товары_очищенные!$H$2:$M$502,6,0),"")</f>
        <v>67000</v>
      </c>
      <c r="P586" t="str">
        <f t="shared" si="138"/>
        <v xml:space="preserve">Цена отличается от каталога</v>
      </c>
    </row>
    <row r="587">
      <c r="A587" s="3" t="s">
        <v>3187</v>
      </c>
      <c r="B587" s="3" t="s">
        <v>877</v>
      </c>
      <c r="C587" s="3" t="s">
        <v>1985</v>
      </c>
      <c r="D587" s="3" t="s">
        <v>2044</v>
      </c>
      <c r="E587" s="3" t="s">
        <v>3189</v>
      </c>
      <c r="F587" s="3" t="s">
        <v>1580</v>
      </c>
      <c r="G587" s="3" t="s">
        <v>1918</v>
      </c>
      <c r="H587" s="5">
        <f t="shared" si="134"/>
        <v>45964</v>
      </c>
      <c r="I587" t="str">
        <f t="shared" si="135"/>
        <v>АРТ-223</v>
      </c>
      <c r="J587" s="6">
        <f t="shared" si="136"/>
        <v>-3</v>
      </c>
      <c r="K587" s="4">
        <f>VALUE(SUBSTITUTE(SUBSTITUTE(SUBSTITUTE(SUBSTITUTE(D587,"$",""),"€",""),"₽","")," ",""))*IF(ISNUMBER(FIND("$",D587)),Справочники!$H$3,IF(ISNUMBER(FIND("€",D587)),Справочники!$H$4,1))</f>
        <v>11400</v>
      </c>
      <c r="L587" t="str">
        <f>IFERROR(VLOOKUP(TRIM(G587),Справочники!$D$3:$E$13,2,0),"Нет в справочнике")</f>
        <v>Отменен</v>
      </c>
      <c r="M587" t="str">
        <f t="shared" si="137"/>
        <v/>
      </c>
      <c r="N587" t="str">
        <f>IFERROR(VLOOKUP(I587,Товары_очищенные!$H$2:$J$502,3,0),"Нет в каталоге")</f>
        <v>Мониторы</v>
      </c>
      <c r="O587" s="4">
        <f>IFERROR(VLOOKUP(I587,Товары_очищенные!$H$2:$M$502,6,0),"")</f>
        <v>54990</v>
      </c>
      <c r="P587" t="str">
        <f t="shared" si="138"/>
        <v xml:space="preserve">Цена отличается от каталога</v>
      </c>
    </row>
    <row r="588">
      <c r="A588" s="3" t="s">
        <v>3190</v>
      </c>
      <c r="B588" s="3" t="s">
        <v>1299</v>
      </c>
      <c r="C588" s="3" t="s">
        <v>1900</v>
      </c>
      <c r="D588" s="3" t="s">
        <v>2046</v>
      </c>
      <c r="E588" s="3" t="s">
        <v>3191</v>
      </c>
      <c r="F588" s="3" t="s">
        <v>1727</v>
      </c>
      <c r="G588" s="3" t="s">
        <v>1924</v>
      </c>
      <c r="H588" s="5">
        <f t="shared" si="134"/>
        <v>45965</v>
      </c>
      <c r="I588" t="str">
        <f t="shared" si="135"/>
        <v>АРТ-386</v>
      </c>
      <c r="J588" s="6">
        <f t="shared" si="136"/>
        <v>2</v>
      </c>
      <c r="K588" s="4">
        <f>VALUE(SUBSTITUTE(SUBSTITUTE(SUBSTITUTE(SUBSTITUTE(D588,"$",""),"€",""),"₽","")," ",""))*IF(ISNUMBER(FIND("$",D588)),Справочники!$H$3,IF(ISNUMBER(FIND("€",D588)),Справочники!$H$4,1))</f>
        <v>10000</v>
      </c>
      <c r="L588" t="str">
        <f>IFERROR(VLOOKUP(TRIM(G588),Справочники!$D$3:$E$13,2,0),"Нет в справочнике")</f>
        <v>Отменен</v>
      </c>
      <c r="M588" t="str">
        <f t="shared" si="137"/>
        <v/>
      </c>
      <c r="N588" t="str">
        <f>IFERROR(VLOOKUP(I588,Товары_очищенные!$H$2:$J$502,3,0),"Нет в каталоге")</f>
        <v>Ноутбуки</v>
      </c>
      <c r="O588" s="4">
        <f>IFERROR(VLOOKUP(I588,Товары_очищенные!$H$2:$M$502,6,0),"")</f>
        <v>114000</v>
      </c>
      <c r="P588" t="str">
        <f t="shared" si="138"/>
        <v xml:space="preserve">Цена отличается от каталога</v>
      </c>
    </row>
    <row r="589">
      <c r="A589" s="3" t="s">
        <v>3190</v>
      </c>
      <c r="B589" s="3" t="s">
        <v>3192</v>
      </c>
      <c r="C589" s="3" t="s">
        <v>1905</v>
      </c>
      <c r="D589" s="3" t="s">
        <v>2087</v>
      </c>
      <c r="E589" s="3" t="s">
        <v>3193</v>
      </c>
      <c r="F589" s="3" t="s">
        <v>1629</v>
      </c>
      <c r="G589" s="3" t="s">
        <v>1903</v>
      </c>
      <c r="H589" s="5">
        <f t="shared" si="134"/>
        <v>45965</v>
      </c>
      <c r="I589" t="str">
        <f t="shared" si="135"/>
        <v>АРТ-272</v>
      </c>
      <c r="J589" s="6">
        <f t="shared" si="136"/>
        <v>1</v>
      </c>
      <c r="K589" s="4">
        <f>VALUE(SUBSTITUTE(SUBSTITUTE(SUBSTITUTE(SUBSTITUTE(D589,"$",""),"€",""),"₽","")," ",""))*IF(ISNUMBER(FIND("$",D589)),Справочники!$H$3,IF(ISNUMBER(FIND("€",D589)),Справочники!$H$4,1))</f>
        <v>9200</v>
      </c>
      <c r="L589" t="str">
        <f>IFERROR(VLOOKUP(TRIM(G589),Справочники!$D$3:$E$13,2,0),"Нет в справочнике")</f>
        <v>Завершен</v>
      </c>
      <c r="M589" t="str">
        <f t="shared" si="137"/>
        <v/>
      </c>
      <c r="N589" t="str">
        <f>IFERROR(VLOOKUP(I589,Товары_очищенные!$H$2:$J$502,3,0),"Нет в каталоге")</f>
        <v>Смартфоны</v>
      </c>
      <c r="O589" s="4">
        <f>IFERROR(VLOOKUP(I589,Товары_очищенные!$H$2:$M$502,6,0),"")</f>
        <v>43500</v>
      </c>
      <c r="P589" t="str">
        <f t="shared" si="138"/>
        <v xml:space="preserve">Цена отличается от каталога</v>
      </c>
    </row>
    <row r="590">
      <c r="A590" s="3" t="s">
        <v>3194</v>
      </c>
      <c r="B590" s="3" t="s">
        <v>757</v>
      </c>
      <c r="C590" s="3" t="s">
        <v>1930</v>
      </c>
      <c r="D590" s="3" t="s">
        <v>1986</v>
      </c>
      <c r="E590" s="3" t="s">
        <v>3195</v>
      </c>
      <c r="F590" s="3" t="s">
        <v>1778</v>
      </c>
      <c r="G590" s="3" t="s">
        <v>1927</v>
      </c>
      <c r="H590" s="5">
        <f t="shared" si="134"/>
        <v>45966</v>
      </c>
      <c r="I590" t="str">
        <f t="shared" si="135"/>
        <v>АРТ-184</v>
      </c>
      <c r="J590" s="6">
        <f t="shared" si="136"/>
        <v>3</v>
      </c>
      <c r="K590" s="4">
        <f>VALUE(SUBSTITUTE(SUBSTITUTE(SUBSTITUTE(SUBSTITUTE(D590,"$",""),"€",""),"₽","")," ",""))*IF(ISNUMBER(FIND("$",D590)),Справочники!$H$3,IF(ISNUMBER(FIND("€",D590)),Справочники!$H$4,1))</f>
        <v>8550</v>
      </c>
      <c r="L590" t="str">
        <f>IFERROR(VLOOKUP(TRIM(G590),Справочники!$D$3:$E$13,2,0),"Нет в справочнике")</f>
        <v>Возврат</v>
      </c>
      <c r="M590" t="str">
        <f t="shared" si="137"/>
        <v/>
      </c>
      <c r="N590" t="str">
        <f>IFERROR(VLOOKUP(I590,Товары_очищенные!$H$2:$J$502,3,0),"Нет в каталоге")</f>
        <v>Аксессуары</v>
      </c>
      <c r="O590" s="4">
        <f>IFERROR(VLOOKUP(I590,Товары_очищенные!$H$2:$M$502,6,0),"")</f>
        <v>19990</v>
      </c>
      <c r="P590" t="str">
        <f t="shared" si="138"/>
        <v xml:space="preserve">Цена отличается от каталога</v>
      </c>
    </row>
    <row r="591">
      <c r="A591" s="3" t="s">
        <v>3194</v>
      </c>
      <c r="B591" s="3" t="s">
        <v>3196</v>
      </c>
      <c r="C591" s="3" t="s">
        <v>1900</v>
      </c>
      <c r="D591" s="3" t="s">
        <v>1989</v>
      </c>
      <c r="E591" s="3" t="s">
        <v>3197</v>
      </c>
      <c r="F591" s="3" t="s">
        <v>1862</v>
      </c>
      <c r="G591" s="3" t="s">
        <v>1908</v>
      </c>
      <c r="H591" s="5">
        <f t="shared" si="134"/>
        <v>45966</v>
      </c>
      <c r="I591" t="str">
        <f t="shared" si="135"/>
        <v>АРТ-447</v>
      </c>
      <c r="J591" s="6">
        <f t="shared" si="136"/>
        <v>2</v>
      </c>
      <c r="K591" s="4">
        <f>VALUE(SUBSTITUTE(SUBSTITUTE(SUBSTITUTE(SUBSTITUTE(D591,"$",""),"€",""),"₽","")," ",""))*IF(ISNUMBER(FIND("$",D591)),Справочники!$H$3,IF(ISNUMBER(FIND("€",D591)),Справочники!$H$4,1))</f>
        <v>7000</v>
      </c>
      <c r="L591" t="str">
        <f>IFERROR(VLOOKUP(TRIM(G591),Справочники!$D$3:$E$13,2,0),"Нет в справочнике")</f>
        <v>Завершен</v>
      </c>
      <c r="M591" t="str">
        <f t="shared" si="137"/>
        <v/>
      </c>
      <c r="N591" t="str">
        <f>IFERROR(VLOOKUP(I591,Товары_очищенные!$H$2:$J$502,3,0),"Нет в каталоге")</f>
        <v>Ноутбуки</v>
      </c>
      <c r="O591" s="4">
        <f>IFERROR(VLOOKUP(I591,Товары_очищенные!$H$2:$M$502,6,0),"")</f>
        <v>144500</v>
      </c>
      <c r="P591" t="str">
        <f t="shared" si="138"/>
        <v xml:space="preserve">Цена отличается от каталога</v>
      </c>
    </row>
    <row r="592">
      <c r="A592" s="3" t="s">
        <v>3198</v>
      </c>
      <c r="B592" s="3" t="s">
        <v>3199</v>
      </c>
      <c r="C592" s="3" t="s">
        <v>1938</v>
      </c>
      <c r="D592" s="3" t="s">
        <v>1939</v>
      </c>
      <c r="E592" s="3" t="s">
        <v>3200</v>
      </c>
      <c r="F592" s="3" t="s">
        <v>1695</v>
      </c>
      <c r="G592" s="3" t="s">
        <v>1913</v>
      </c>
      <c r="H592" s="5">
        <f t="shared" si="134"/>
        <v>45967</v>
      </c>
      <c r="I592" t="str">
        <f t="shared" si="135"/>
        <v>АРТ-379</v>
      </c>
      <c r="J592" s="6">
        <f t="shared" si="136"/>
        <v>1</v>
      </c>
      <c r="K592" s="4">
        <f>VALUE(SUBSTITUTE(SUBSTITUTE(SUBSTITUTE(SUBSTITUTE(D592,"$",""),"€",""),"₽","")," ",""))*IF(ISNUMBER(FIND("$",D592)),Справочники!$H$3,IF(ISNUMBER(FIND("€",D592)),Справочники!$H$4,1))</f>
        <v>6500</v>
      </c>
      <c r="L592" t="str">
        <f>IFERROR(VLOOKUP(TRIM(G592),Справочники!$D$3:$E$13,2,0),"Нет в справочнике")</f>
        <v>Завершен</v>
      </c>
      <c r="M592" t="str">
        <f t="shared" si="137"/>
        <v/>
      </c>
      <c r="N592" t="str">
        <f>IFERROR(VLOOKUP(I592,Товары_очищенные!$H$2:$J$502,3,0),"Нет в каталоге")</f>
        <v>Планшеты</v>
      </c>
      <c r="O592" s="4">
        <f>IFERROR(VLOOKUP(I592,Товары_очищенные!$H$2:$M$502,6,0),"")</f>
        <v>36990</v>
      </c>
      <c r="P592" t="str">
        <f t="shared" si="138"/>
        <v xml:space="preserve">Цена отличается от каталога</v>
      </c>
    </row>
    <row r="593">
      <c r="A593" s="3" t="s">
        <v>3198</v>
      </c>
      <c r="B593" s="3" t="s">
        <v>3093</v>
      </c>
      <c r="C593" s="3" t="s">
        <v>1915</v>
      </c>
      <c r="D593" s="3" t="s">
        <v>1916</v>
      </c>
      <c r="E593" s="3" t="s">
        <v>3201</v>
      </c>
      <c r="F593" s="3" t="s">
        <v>1573</v>
      </c>
      <c r="G593" s="3" t="s">
        <v>1903</v>
      </c>
      <c r="H593" s="5">
        <f t="shared" si="134"/>
        <v>45967</v>
      </c>
      <c r="I593" t="str">
        <f t="shared" si="135"/>
        <v>АРТ-377</v>
      </c>
      <c r="J593" s="6">
        <f t="shared" si="136"/>
        <v>-1</v>
      </c>
      <c r="K593" s="4">
        <f>VALUE(SUBSTITUTE(SUBSTITUTE(SUBSTITUTE(SUBSTITUTE(D593,"$",""),"€",""),"₽","")," ",""))*IF(ISNUMBER(FIND("$",D593)),Справочники!$H$3,IF(ISNUMBER(FIND("€",D593)),Справочники!$H$4,1))</f>
        <v>10450</v>
      </c>
      <c r="L593" t="str">
        <f>IFERROR(VLOOKUP(TRIM(G593),Справочники!$D$3:$E$13,2,0),"Нет в справочнике")</f>
        <v>Завершен</v>
      </c>
      <c r="M593" t="str">
        <f t="shared" si="137"/>
        <v/>
      </c>
      <c r="N593" t="str">
        <f>IFERROR(VLOOKUP(I593,Товары_очищенные!$H$2:$J$502,3,0),"Нет в каталоге")</f>
        <v>Часы</v>
      </c>
      <c r="O593" s="4">
        <f>IFERROR(VLOOKUP(I593,Товары_очищенные!$H$2:$M$502,6,0),"")</f>
        <v>23500</v>
      </c>
      <c r="P593" t="str">
        <f t="shared" si="138"/>
        <v xml:space="preserve">Цена отличается от каталога</v>
      </c>
    </row>
    <row r="594">
      <c r="A594" s="3" t="s">
        <v>3202</v>
      </c>
      <c r="B594" s="3" t="s">
        <v>1233</v>
      </c>
      <c r="C594" s="3" t="s">
        <v>1930</v>
      </c>
      <c r="D594" s="3" t="s">
        <v>1922</v>
      </c>
      <c r="E594" s="3" t="s">
        <v>3203</v>
      </c>
      <c r="F594" s="3" t="s">
        <v>1808</v>
      </c>
      <c r="G594" s="3" t="s">
        <v>1924</v>
      </c>
      <c r="H594" s="5">
        <f t="shared" si="134"/>
        <v>45968</v>
      </c>
      <c r="I594" t="str">
        <f t="shared" si="135"/>
        <v>АРТ-356</v>
      </c>
      <c r="J594" s="6">
        <f t="shared" si="136"/>
        <v>3</v>
      </c>
      <c r="K594" s="4">
        <f>VALUE(SUBSTITUTE(SUBSTITUTE(SUBSTITUTE(SUBSTITUTE(D594,"$",""),"€",""),"₽","")," ",""))*IF(ISNUMBER(FIND("$",D594)),Справочники!$H$3,IF(ISNUMBER(FIND("€",D594)),Справочники!$H$4,1))</f>
        <v>9000</v>
      </c>
      <c r="L594" t="str">
        <f>IFERROR(VLOOKUP(TRIM(G594),Справочники!$D$3:$E$13,2,0),"Нет в справочнике")</f>
        <v>Отменен</v>
      </c>
      <c r="M594" t="str">
        <f t="shared" si="137"/>
        <v/>
      </c>
      <c r="N594" t="str">
        <f>IFERROR(VLOOKUP(I594,Товары_очищенные!$H$2:$J$502,3,0),"Нет в каталоге")</f>
        <v>Смартфоны</v>
      </c>
      <c r="O594" s="4">
        <f>IFERROR(VLOOKUP(I594,Товары_очищенные!$H$2:$M$502,6,0),"")</f>
        <v>83000</v>
      </c>
      <c r="P594" t="str">
        <f t="shared" si="138"/>
        <v xml:space="preserve">Цена отличается от каталога</v>
      </c>
    </row>
    <row r="595">
      <c r="A595" s="3" t="s">
        <v>3202</v>
      </c>
      <c r="B595" s="3" t="s">
        <v>2266</v>
      </c>
      <c r="C595" s="3" t="s">
        <v>1900</v>
      </c>
      <c r="D595" s="3" t="s">
        <v>1925</v>
      </c>
      <c r="E595" s="3" t="s">
        <v>3204</v>
      </c>
      <c r="F595" s="3" t="s">
        <v>1670</v>
      </c>
      <c r="G595" s="3" t="s">
        <v>1918</v>
      </c>
      <c r="H595" s="5">
        <f t="shared" si="134"/>
        <v>45968</v>
      </c>
      <c r="I595" t="str">
        <f t="shared" si="135"/>
        <v>АРТ-256</v>
      </c>
      <c r="J595" s="6">
        <f t="shared" si="136"/>
        <v>2</v>
      </c>
      <c r="K595" s="4">
        <f>VALUE(SUBSTITUTE(SUBSTITUTE(SUBSTITUTE(SUBSTITUTE(D595,"$",""),"€",""),"₽","")," ",""))*IF(ISNUMBER(FIND("$",D595)),Справочники!$H$3,IF(ISNUMBER(FIND("€",D595)),Справочники!$H$4,1))</f>
        <v>8000</v>
      </c>
      <c r="L595" t="str">
        <f>IFERROR(VLOOKUP(TRIM(G595),Справочники!$D$3:$E$13,2,0),"Нет в справочнике")</f>
        <v>Отменен</v>
      </c>
      <c r="M595" t="str">
        <f t="shared" si="137"/>
        <v/>
      </c>
      <c r="N595" t="str">
        <f>IFERROR(VLOOKUP(I595,Товары_очищенные!$H$2:$J$502,3,0),"Нет в каталоге")</f>
        <v>Смартфоны</v>
      </c>
      <c r="O595" s="4">
        <f>IFERROR(VLOOKUP(I595,Товары_очищенные!$H$2:$M$502,6,0),"")</f>
        <v>37990</v>
      </c>
      <c r="P595" t="str">
        <f t="shared" si="138"/>
        <v xml:space="preserve">Цена отличается от каталога</v>
      </c>
    </row>
    <row r="596">
      <c r="A596" s="3" t="s">
        <v>3205</v>
      </c>
      <c r="B596" s="3" t="s">
        <v>3206</v>
      </c>
      <c r="C596" s="3" t="s">
        <v>1905</v>
      </c>
      <c r="D596" s="3" t="s">
        <v>1964</v>
      </c>
      <c r="E596" s="3" t="s">
        <v>3207</v>
      </c>
      <c r="F596" s="3" t="s">
        <v>1752</v>
      </c>
      <c r="G596" s="3" t="s">
        <v>1927</v>
      </c>
      <c r="H596" s="5">
        <f t="shared" si="134"/>
        <v>45969</v>
      </c>
      <c r="I596" t="str">
        <f t="shared" si="135"/>
        <v>АРТ-128</v>
      </c>
      <c r="J596" s="6">
        <f t="shared" si="136"/>
        <v>1</v>
      </c>
      <c r="K596" s="4">
        <f>VALUE(SUBSTITUTE(SUBSTITUTE(SUBSTITUTE(SUBSTITUTE(D596,"$",""),"€",""),"₽","")," ",""))*IF(ISNUMBER(FIND("$",D596)),Справочники!$H$3,IF(ISNUMBER(FIND("€",D596)),Справочники!$H$4,1))</f>
        <v>9025</v>
      </c>
      <c r="L596" t="str">
        <f>IFERROR(VLOOKUP(TRIM(G596),Справочники!$D$3:$E$13,2,0),"Нет в справочнике")</f>
        <v>Возврат</v>
      </c>
      <c r="M596" t="str">
        <f t="shared" si="137"/>
        <v/>
      </c>
      <c r="N596" t="str">
        <f>IFERROR(VLOOKUP(I596,Товары_очищенные!$H$2:$J$502,3,0),"Нет в каталоге")</f>
        <v>Смартфоны</v>
      </c>
      <c r="O596" s="4">
        <f>IFERROR(VLOOKUP(I596,Товары_очищенные!$H$2:$M$502,6,0),"")</f>
        <v>50500</v>
      </c>
      <c r="P596" t="str">
        <f t="shared" si="138"/>
        <v xml:space="preserve">Цена отличается от каталога</v>
      </c>
    </row>
    <row r="597">
      <c r="A597" s="3" t="s">
        <v>3205</v>
      </c>
      <c r="B597" s="3" t="s">
        <v>3165</v>
      </c>
      <c r="C597" s="3" t="s">
        <v>1900</v>
      </c>
      <c r="D597" s="3" t="s">
        <v>1968</v>
      </c>
      <c r="E597" s="3" t="s">
        <v>3208</v>
      </c>
      <c r="F597" s="3" t="s">
        <v>1790</v>
      </c>
      <c r="G597" s="3" t="s">
        <v>1903</v>
      </c>
      <c r="H597" s="5">
        <f t="shared" si="134"/>
        <v>45969</v>
      </c>
      <c r="I597" t="str">
        <f t="shared" si="135"/>
        <v>АРТ-484</v>
      </c>
      <c r="J597" s="6">
        <f t="shared" si="136"/>
        <v>2</v>
      </c>
      <c r="K597" s="4">
        <f>VALUE(SUBSTITUTE(SUBSTITUTE(SUBSTITUTE(SUBSTITUTE(D597,"$",""),"€",""),"₽","")," ",""))*IF(ISNUMBER(FIND("$",D597)),Справочники!$H$3,IF(ISNUMBER(FIND("€",D597)),Справочники!$H$4,1))</f>
        <v>7500</v>
      </c>
      <c r="L597" t="str">
        <f>IFERROR(VLOOKUP(TRIM(G597),Справочники!$D$3:$E$13,2,0),"Нет в справочнике")</f>
        <v>Завершен</v>
      </c>
      <c r="M597" t="str">
        <f t="shared" si="137"/>
        <v/>
      </c>
      <c r="N597" t="str">
        <f>IFERROR(VLOOKUP(I597,Товары_очищенные!$H$2:$J$502,3,0),"Нет в каталоге")</f>
        <v>Смартфоны</v>
      </c>
      <c r="O597" s="4">
        <f>IFERROR(VLOOKUP(I597,Товары_очищенные!$H$2:$M$502,6,0),"")</f>
        <v>33990</v>
      </c>
      <c r="P597" t="str">
        <f t="shared" si="138"/>
        <v xml:space="preserve">Цена отличается от каталога</v>
      </c>
    </row>
    <row r="598">
      <c r="A598" s="3" t="s">
        <v>3209</v>
      </c>
      <c r="B598" s="3" t="s">
        <v>3210</v>
      </c>
      <c r="C598" s="3" t="s">
        <v>1910</v>
      </c>
      <c r="D598" s="3" t="s">
        <v>1971</v>
      </c>
      <c r="E598" s="3" t="s">
        <v>3211</v>
      </c>
      <c r="F598" s="3" t="s">
        <v>1856</v>
      </c>
      <c r="G598" s="3" t="s">
        <v>1908</v>
      </c>
      <c r="H598" s="5">
        <f t="shared" si="134"/>
        <v>45970</v>
      </c>
      <c r="I598" t="str">
        <f t="shared" si="135"/>
        <v>АРТ-310</v>
      </c>
      <c r="J598" s="6">
        <f t="shared" si="136"/>
        <v>3</v>
      </c>
      <c r="K598" s="4">
        <f>VALUE(SUBSTITUTE(SUBSTITUTE(SUBSTITUTE(SUBSTITUTE(D598,"$",""),"€",""),"₽","")," ",""))*IF(ISNUMBER(FIND("$",D598)),Справочники!$H$3,IF(ISNUMBER(FIND("€",D598)),Справочники!$H$4,1))</f>
        <v>7000</v>
      </c>
      <c r="L598" t="str">
        <f>IFERROR(VLOOKUP(TRIM(G598),Справочники!$D$3:$E$13,2,0),"Нет в справочнике")</f>
        <v>Завершен</v>
      </c>
      <c r="M598" t="str">
        <f t="shared" si="137"/>
        <v/>
      </c>
      <c r="N598" t="str">
        <f>IFERROR(VLOOKUP(I598,Товары_очищенные!$H$2:$J$502,3,0),"Нет в каталоге")</f>
        <v>Планшеты</v>
      </c>
      <c r="O598" s="4">
        <f>IFERROR(VLOOKUP(I598,Товары_очищенные!$H$2:$M$502,6,0),"")</f>
        <v>64990</v>
      </c>
      <c r="P598" t="str">
        <f t="shared" si="138"/>
        <v xml:space="preserve">Цена отличается от каталога</v>
      </c>
    </row>
    <row r="599">
      <c r="A599" s="3" t="s">
        <v>3209</v>
      </c>
      <c r="B599" s="3" t="s">
        <v>822</v>
      </c>
      <c r="C599" s="3" t="s">
        <v>1942</v>
      </c>
      <c r="D599" s="3" t="s">
        <v>1943</v>
      </c>
      <c r="E599" s="3" t="s">
        <v>3212</v>
      </c>
      <c r="F599" s="3" t="s">
        <v>1708</v>
      </c>
      <c r="G599" s="3" t="s">
        <v>1913</v>
      </c>
      <c r="H599" s="5">
        <f t="shared" si="134"/>
        <v>45970</v>
      </c>
      <c r="I599" t="str">
        <f t="shared" si="135"/>
        <v>АРТ-205</v>
      </c>
      <c r="J599" s="6">
        <f t="shared" si="136"/>
        <v>-2</v>
      </c>
      <c r="K599" s="4">
        <f>VALUE(SUBSTITUTE(SUBSTITUTE(SUBSTITUTE(SUBSTITUTE(D599,"$",""),"€",""),"₽","")," ",""))*IF(ISNUMBER(FIND("$",D599)),Справочники!$H$3,IF(ISNUMBER(FIND("€",D599)),Справочники!$H$4,1))</f>
        <v>10925</v>
      </c>
      <c r="L599" t="str">
        <f>IFERROR(VLOOKUP(TRIM(G599),Справочники!$D$3:$E$13,2,0),"Нет в справочнике")</f>
        <v>Завершен</v>
      </c>
      <c r="M599" t="str">
        <f t="shared" si="137"/>
        <v/>
      </c>
      <c r="N599" t="str">
        <f>IFERROR(VLOOKUP(I599,Товары_очищенные!$H$2:$J$502,3,0),"Нет в каталоге")</f>
        <v>Мониторы</v>
      </c>
      <c r="O599" s="4">
        <f>IFERROR(VLOOKUP(I599,Товары_очищенные!$H$2:$M$502,6,0),"")</f>
        <v>64990</v>
      </c>
      <c r="P599" t="str">
        <f t="shared" si="138"/>
        <v xml:space="preserve">Цена отличается от каталога</v>
      </c>
    </row>
    <row r="600">
      <c r="A600" s="3" t="s">
        <v>3213</v>
      </c>
      <c r="B600" s="3" t="s">
        <v>3214</v>
      </c>
      <c r="C600" s="3" t="s">
        <v>1905</v>
      </c>
      <c r="D600" s="3" t="s">
        <v>1934</v>
      </c>
      <c r="E600" s="3" t="s">
        <v>3215</v>
      </c>
      <c r="F600" s="3" t="s">
        <v>1838</v>
      </c>
      <c r="G600" s="3" t="s">
        <v>1918</v>
      </c>
      <c r="H600" s="5">
        <f t="shared" si="134"/>
        <v>45971</v>
      </c>
      <c r="I600" t="str">
        <f t="shared" si="135"/>
        <v>АРТ-372</v>
      </c>
      <c r="J600" s="6">
        <f t="shared" si="136"/>
        <v>1</v>
      </c>
      <c r="K600" s="4">
        <f>VALUE(SUBSTITUTE(SUBSTITUTE(SUBSTITUTE(SUBSTITUTE(D600,"$",""),"€",""),"₽","")," ",""))*IF(ISNUMBER(FIND("$",D600)),Справочники!$H$3,IF(ISNUMBER(FIND("€",D600)),Справочники!$H$4,1))</f>
        <v>9500</v>
      </c>
      <c r="L600" t="str">
        <f>IFERROR(VLOOKUP(TRIM(G600),Справочники!$D$3:$E$13,2,0),"Нет в справочнике")</f>
        <v>Отменен</v>
      </c>
      <c r="M600" t="str">
        <f t="shared" si="137"/>
        <v/>
      </c>
      <c r="N600" t="str">
        <f>IFERROR(VLOOKUP(I600,Товары_очищенные!$H$2:$J$502,3,0),"Нет в каталоге")</f>
        <v>Мониторы</v>
      </c>
      <c r="O600" s="4">
        <f>IFERROR(VLOOKUP(I600,Товары_очищенные!$H$2:$M$502,6,0),"")</f>
        <v>52000</v>
      </c>
      <c r="P600" t="str">
        <f t="shared" si="138"/>
        <v xml:space="preserve">Цена отличается от каталога</v>
      </c>
    </row>
    <row r="601">
      <c r="A601" s="3" t="s">
        <v>3213</v>
      </c>
      <c r="B601" s="3" t="s">
        <v>2506</v>
      </c>
      <c r="C601" s="3" t="s">
        <v>1900</v>
      </c>
      <c r="D601" s="3" t="s">
        <v>1951</v>
      </c>
      <c r="E601" s="3" t="s">
        <v>3216</v>
      </c>
      <c r="F601" s="3" t="s">
        <v>1759</v>
      </c>
      <c r="G601" s="3" t="s">
        <v>1924</v>
      </c>
      <c r="H601" s="5">
        <f t="shared" si="134"/>
        <v>45971</v>
      </c>
      <c r="I601" t="str">
        <f t="shared" si="135"/>
        <v>АРТ-113</v>
      </c>
      <c r="J601" s="6">
        <f t="shared" si="136"/>
        <v>2</v>
      </c>
      <c r="K601" s="4">
        <f>VALUE(SUBSTITUTE(SUBSTITUTE(SUBSTITUTE(SUBSTITUTE(D601,"$",""),"€",""),"₽","")," ",""))*IF(ISNUMBER(FIND("$",D601)),Справочники!$H$3,IF(ISNUMBER(FIND("€",D601)),Справочники!$H$4,1))</f>
        <v>8500</v>
      </c>
      <c r="L601" t="str">
        <f>IFERROR(VLOOKUP(TRIM(G601),Справочники!$D$3:$E$13,2,0),"Нет в справочнике")</f>
        <v>Отменен</v>
      </c>
      <c r="M601" t="str">
        <f t="shared" si="137"/>
        <v/>
      </c>
      <c r="N601" t="str">
        <f>IFERROR(VLOOKUP(I601,Товары_очищенные!$H$2:$J$502,3,0),"Нет в каталоге")</f>
        <v>Наушники</v>
      </c>
      <c r="O601" s="4">
        <f>IFERROR(VLOOKUP(I601,Товары_очищенные!$H$2:$M$502,6,0),"")</f>
        <v>33500</v>
      </c>
      <c r="P601" t="str">
        <f t="shared" si="138"/>
        <v xml:space="preserve">Цена отличается от каталога</v>
      </c>
    </row>
    <row r="602">
      <c r="A602" s="3" t="s">
        <v>3217</v>
      </c>
      <c r="B602" s="3" t="s">
        <v>706</v>
      </c>
      <c r="C602" s="3" t="s">
        <v>1930</v>
      </c>
      <c r="D602" s="3" t="s">
        <v>1931</v>
      </c>
      <c r="E602" s="3" t="s">
        <v>3218</v>
      </c>
      <c r="F602" s="3" t="s">
        <v>1642</v>
      </c>
      <c r="G602" s="3" t="s">
        <v>1903</v>
      </c>
      <c r="H602" s="5">
        <f t="shared" si="134"/>
        <v>45972</v>
      </c>
      <c r="I602" t="str">
        <f t="shared" si="135"/>
        <v>АРТ-169</v>
      </c>
      <c r="J602" s="6">
        <f t="shared" si="136"/>
        <v>3</v>
      </c>
      <c r="K602" s="4">
        <f>VALUE(SUBSTITUTE(SUBSTITUTE(SUBSTITUTE(SUBSTITUTE(D602,"$",""),"€",""),"₽","")," ",""))*IF(ISNUMBER(FIND("$",D602)),Справочники!$H$3,IF(ISNUMBER(FIND("€",D602)),Справочники!$H$4,1))</f>
        <v>9975</v>
      </c>
      <c r="L602" t="str">
        <f>IFERROR(VLOOKUP(TRIM(G602),Справочники!$D$3:$E$13,2,0),"Нет в справочнике")</f>
        <v>Завершен</v>
      </c>
      <c r="M602" t="str">
        <f t="shared" si="137"/>
        <v/>
      </c>
      <c r="N602" t="str">
        <f>IFERROR(VLOOKUP(I602,Товары_очищенные!$H$2:$J$502,3,0),"Нет в каталоге")</f>
        <v>Смартфоны</v>
      </c>
      <c r="O602" s="4">
        <f>IFERROR(VLOOKUP(I602,Товары_очищенные!$H$2:$M$502,6,0),"")</f>
        <v>57990</v>
      </c>
      <c r="P602" t="str">
        <f t="shared" si="138"/>
        <v xml:space="preserve">Цена отличается от каталога</v>
      </c>
    </row>
    <row r="603">
      <c r="A603" s="3" t="s">
        <v>3217</v>
      </c>
      <c r="B603" s="3" t="s">
        <v>3219</v>
      </c>
      <c r="C603" s="3" t="s">
        <v>1900</v>
      </c>
      <c r="D603" s="3" t="s">
        <v>1906</v>
      </c>
      <c r="E603" s="3" t="s">
        <v>3220</v>
      </c>
      <c r="F603" s="3" t="s">
        <v>1608</v>
      </c>
      <c r="G603" s="3" t="s">
        <v>1927</v>
      </c>
      <c r="H603" s="5">
        <f t="shared" si="134"/>
        <v>45972</v>
      </c>
      <c r="I603" t="str">
        <f t="shared" si="135"/>
        <v>АРТ-429</v>
      </c>
      <c r="J603" s="6">
        <f t="shared" si="136"/>
        <v>2</v>
      </c>
      <c r="K603" s="4">
        <f>VALUE(SUBSTITUTE(SUBSTITUTE(SUBSTITUTE(SUBSTITUTE(D603,"$",""),"€",""),"₽","")," ",""))*IF(ISNUMBER(FIND("$",D603)),Справочники!$H$3,IF(ISNUMBER(FIND("€",D603)),Справочники!$H$4,1))</f>
        <v>8500</v>
      </c>
      <c r="L603" t="str">
        <f>IFERROR(VLOOKUP(TRIM(G603),Справочники!$D$3:$E$13,2,0),"Нет в справочнике")</f>
        <v>Возврат</v>
      </c>
      <c r="M603" t="str">
        <f t="shared" si="137"/>
        <v/>
      </c>
      <c r="N603" t="str">
        <f>IFERROR(VLOOKUP(I603,Товары_очищенные!$H$2:$J$502,3,0),"Нет в каталоге")</f>
        <v>Телевизоры</v>
      </c>
      <c r="O603" s="4">
        <f>IFERROR(VLOOKUP(I603,Товары_очищенные!$H$2:$M$502,6,0),"")</f>
        <v>52000</v>
      </c>
      <c r="P603" t="str">
        <f t="shared" si="138"/>
        <v xml:space="preserve">Цена отличается от каталога</v>
      </c>
    </row>
    <row r="604">
      <c r="A604" s="3" t="s">
        <v>3221</v>
      </c>
      <c r="B604" s="3" t="s">
        <v>2743</v>
      </c>
      <c r="C604" s="3" t="s">
        <v>1938</v>
      </c>
      <c r="D604" s="3" t="s">
        <v>2166</v>
      </c>
      <c r="E604" s="3" t="s">
        <v>3222</v>
      </c>
      <c r="F604" s="3" t="s">
        <v>1715</v>
      </c>
      <c r="G604" s="3" t="s">
        <v>1908</v>
      </c>
      <c r="H604" s="5">
        <f t="shared" si="134"/>
        <v>45973</v>
      </c>
      <c r="I604" t="str">
        <f t="shared" si="135"/>
        <v>АРТ-334</v>
      </c>
      <c r="J604" s="6">
        <f t="shared" si="136"/>
        <v>1</v>
      </c>
      <c r="K604" s="4">
        <f>VALUE(SUBSTITUTE(SUBSTITUTE(SUBSTITUTE(SUBSTITUTE(D604,"$",""),"€",""),"₽","")," ",""))*IF(ISNUMBER(FIND("$",D604)),Справочники!$H$3,IF(ISNUMBER(FIND("€",D604)),Справочники!$H$4,1))</f>
        <v>7800</v>
      </c>
      <c r="L604" t="str">
        <f>IFERROR(VLOOKUP(TRIM(G604),Справочники!$D$3:$E$13,2,0),"Нет в справочнике")</f>
        <v>Завершен</v>
      </c>
      <c r="M604" t="str">
        <f t="shared" si="137"/>
        <v/>
      </c>
      <c r="N604" t="str">
        <f>IFERROR(VLOOKUP(I604,Товары_очищенные!$H$2:$J$502,3,0),"Нет в каталоге")</f>
        <v>Планшеты</v>
      </c>
      <c r="O604" s="4">
        <f>IFERROR(VLOOKUP(I604,Товары_очищенные!$H$2:$M$502,6,0),"")</f>
        <v>48990</v>
      </c>
      <c r="P604" t="str">
        <f t="shared" si="138"/>
        <v xml:space="preserve">Цена отличается от каталога</v>
      </c>
    </row>
    <row r="605">
      <c r="A605" s="3" t="s">
        <v>3221</v>
      </c>
      <c r="B605" s="3" t="s">
        <v>1230</v>
      </c>
      <c r="C605" s="3" t="s">
        <v>1985</v>
      </c>
      <c r="D605" s="3" t="s">
        <v>2044</v>
      </c>
      <c r="E605" s="3" t="s">
        <v>3223</v>
      </c>
      <c r="F605" s="3" t="s">
        <v>1850</v>
      </c>
      <c r="G605" s="3" t="s">
        <v>1913</v>
      </c>
      <c r="H605" s="5">
        <f t="shared" si="134"/>
        <v>45973</v>
      </c>
      <c r="I605" t="str">
        <f t="shared" si="135"/>
        <v>АРТ-355</v>
      </c>
      <c r="J605" s="6">
        <f t="shared" si="136"/>
        <v>-3</v>
      </c>
      <c r="K605" s="4">
        <f>VALUE(SUBSTITUTE(SUBSTITUTE(SUBSTITUTE(SUBSTITUTE(D605,"$",""),"€",""),"₽","")," ",""))*IF(ISNUMBER(FIND("$",D605)),Справочники!$H$3,IF(ISNUMBER(FIND("€",D605)),Справочники!$H$4,1))</f>
        <v>11400</v>
      </c>
      <c r="L605" t="str">
        <f>IFERROR(VLOOKUP(TRIM(G605),Справочники!$D$3:$E$13,2,0),"Нет в справочнике")</f>
        <v>Завершен</v>
      </c>
      <c r="M605" t="str">
        <f t="shared" si="137"/>
        <v/>
      </c>
      <c r="N605" t="str">
        <f>IFERROR(VLOOKUP(I605,Товары_очищенные!$H$2:$J$502,3,0),"Нет в каталоге")</f>
        <v>Смартфоны</v>
      </c>
      <c r="O605" s="4">
        <f>IFERROR(VLOOKUP(I605,Товары_очищенные!$H$2:$M$502,6,0),"")</f>
        <v>85990</v>
      </c>
      <c r="P605" t="str">
        <f t="shared" si="138"/>
        <v xml:space="preserve">Цена отличается от каталога</v>
      </c>
    </row>
    <row r="606">
      <c r="A606" s="3" t="s">
        <v>3224</v>
      </c>
      <c r="B606" s="3" t="s">
        <v>1265</v>
      </c>
      <c r="C606" s="3" t="s">
        <v>1900</v>
      </c>
      <c r="D606" s="3" t="s">
        <v>2046</v>
      </c>
      <c r="E606" s="3" t="s">
        <v>3225</v>
      </c>
      <c r="F606" s="3" t="s">
        <v>1615</v>
      </c>
      <c r="G606" s="3" t="s">
        <v>1903</v>
      </c>
      <c r="H606" s="5">
        <f t="shared" si="134"/>
        <v>45974</v>
      </c>
      <c r="I606" t="str">
        <f t="shared" si="135"/>
        <v>АРТ-371</v>
      </c>
      <c r="J606" s="6">
        <f t="shared" si="136"/>
        <v>2</v>
      </c>
      <c r="K606" s="4">
        <f>VALUE(SUBSTITUTE(SUBSTITUTE(SUBSTITUTE(SUBSTITUTE(D606,"$",""),"€",""),"₽","")," ",""))*IF(ISNUMBER(FIND("$",D606)),Справочники!$H$3,IF(ISNUMBER(FIND("€",D606)),Справочники!$H$4,1))</f>
        <v>10000</v>
      </c>
      <c r="L606" t="str">
        <f>IFERROR(VLOOKUP(TRIM(G606),Справочники!$D$3:$E$13,2,0),"Нет в справочнике")</f>
        <v>Завершен</v>
      </c>
      <c r="M606" t="str">
        <f t="shared" si="137"/>
        <v/>
      </c>
      <c r="N606" t="str">
        <f>IFERROR(VLOOKUP(I606,Товары_очищенные!$H$2:$J$502,3,0),"Нет в каталоге")</f>
        <v>Мониторы</v>
      </c>
      <c r="O606" s="4">
        <f>IFERROR(VLOOKUP(I606,Товары_очищенные!$H$2:$M$502,6,0),"")</f>
        <v>48000</v>
      </c>
      <c r="P606" t="str">
        <f t="shared" si="138"/>
        <v xml:space="preserve">Цена отличается от каталога</v>
      </c>
    </row>
    <row r="607">
      <c r="A607" s="3" t="s">
        <v>3224</v>
      </c>
      <c r="B607" s="3" t="s">
        <v>3226</v>
      </c>
      <c r="C607" s="3" t="s">
        <v>1905</v>
      </c>
      <c r="D607" s="3" t="s">
        <v>2087</v>
      </c>
      <c r="E607" s="3" t="s">
        <v>3227</v>
      </c>
      <c r="F607" s="3" t="s">
        <v>1765</v>
      </c>
      <c r="G607" s="3" t="s">
        <v>1924</v>
      </c>
      <c r="H607" s="5">
        <f t="shared" si="134"/>
        <v>45974</v>
      </c>
      <c r="I607" t="str">
        <f t="shared" si="135"/>
        <v>АРТ-293</v>
      </c>
      <c r="J607" s="6">
        <f t="shared" si="136"/>
        <v>1</v>
      </c>
      <c r="K607" s="4">
        <f>VALUE(SUBSTITUTE(SUBSTITUTE(SUBSTITUTE(SUBSTITUTE(D607,"$",""),"€",""),"₽","")," ",""))*IF(ISNUMBER(FIND("$",D607)),Справочники!$H$3,IF(ISNUMBER(FIND("€",D607)),Справочники!$H$4,1))</f>
        <v>9200</v>
      </c>
      <c r="L607" t="str">
        <f>IFERROR(VLOOKUP(TRIM(G607),Справочники!$D$3:$E$13,2,0),"Нет в справочнике")</f>
        <v>Отменен</v>
      </c>
      <c r="M607" t="str">
        <f t="shared" si="137"/>
        <v/>
      </c>
      <c r="N607" t="str">
        <f>IFERROR(VLOOKUP(I607,Товары_очищенные!$H$2:$J$502,3,0),"Нет в каталоге")</f>
        <v>Ноутбуки</v>
      </c>
      <c r="O607" s="4">
        <f>IFERROR(VLOOKUP(I607,Товары_очищенные!$H$2:$M$502,6,0),"")</f>
        <v>132000</v>
      </c>
      <c r="P607" t="str">
        <f t="shared" si="138"/>
        <v xml:space="preserve">Цена отличается от каталога</v>
      </c>
    </row>
    <row r="608">
      <c r="A608" s="3" t="s">
        <v>3228</v>
      </c>
      <c r="B608" s="3" t="s">
        <v>3229</v>
      </c>
      <c r="C608" s="3" t="s">
        <v>1930</v>
      </c>
      <c r="D608" s="3" t="s">
        <v>1986</v>
      </c>
      <c r="E608" s="3" t="s">
        <v>3230</v>
      </c>
      <c r="F608" s="3" t="s">
        <v>1688</v>
      </c>
      <c r="G608" s="3" t="s">
        <v>1918</v>
      </c>
      <c r="H608" s="5">
        <f t="shared" si="134"/>
        <v>45975</v>
      </c>
      <c r="I608" t="str">
        <f t="shared" si="135"/>
        <v>АРТ-006</v>
      </c>
      <c r="J608" s="6">
        <f t="shared" si="136"/>
        <v>3</v>
      </c>
      <c r="K608" s="4">
        <f>VALUE(SUBSTITUTE(SUBSTITUTE(SUBSTITUTE(SUBSTITUTE(D608,"$",""),"€",""),"₽","")," ",""))*IF(ISNUMBER(FIND("$",D608)),Справочники!$H$3,IF(ISNUMBER(FIND("€",D608)),Справочники!$H$4,1))</f>
        <v>8550</v>
      </c>
      <c r="L608" t="str">
        <f>IFERROR(VLOOKUP(TRIM(G608),Справочники!$D$3:$E$13,2,0),"Нет в справочнике")</f>
        <v>Отменен</v>
      </c>
      <c r="M608" t="str">
        <f t="shared" si="137"/>
        <v/>
      </c>
      <c r="N608" t="str">
        <f>IFERROR(VLOOKUP(I608,Товары_очищенные!$H$2:$J$502,3,0),"Нет в каталоге")</f>
        <v>Ноутбуки</v>
      </c>
      <c r="O608" s="4">
        <f>IFERROR(VLOOKUP(I608,Товары_очищенные!$H$2:$M$502,6,0),"")</f>
        <v>131000</v>
      </c>
      <c r="P608" t="str">
        <f t="shared" si="138"/>
        <v xml:space="preserve">Цена отличается от каталога</v>
      </c>
    </row>
    <row r="609">
      <c r="A609" s="3" t="s">
        <v>3228</v>
      </c>
      <c r="B609" s="3" t="s">
        <v>1523</v>
      </c>
      <c r="C609" s="3" t="s">
        <v>1900</v>
      </c>
      <c r="D609" s="3" t="s">
        <v>1989</v>
      </c>
      <c r="E609" s="3" t="s">
        <v>3231</v>
      </c>
      <c r="F609" s="3" t="s">
        <v>1832</v>
      </c>
      <c r="G609" s="3" t="s">
        <v>1927</v>
      </c>
      <c r="H609" s="5">
        <f t="shared" si="134"/>
        <v>45975</v>
      </c>
      <c r="I609" t="str">
        <f t="shared" si="135"/>
        <v>АРТ-488</v>
      </c>
      <c r="J609" s="6">
        <f t="shared" si="136"/>
        <v>2</v>
      </c>
      <c r="K609" s="4">
        <f>VALUE(SUBSTITUTE(SUBSTITUTE(SUBSTITUTE(SUBSTITUTE(D609,"$",""),"€",""),"₽","")," ",""))*IF(ISNUMBER(FIND("$",D609)),Справочники!$H$3,IF(ISNUMBER(FIND("€",D609)),Справочники!$H$4,1))</f>
        <v>7000</v>
      </c>
      <c r="L609" t="str">
        <f>IFERROR(VLOOKUP(TRIM(G609),Справочники!$D$3:$E$13,2,0),"Нет в справочнике")</f>
        <v>Возврат</v>
      </c>
      <c r="M609" t="str">
        <f t="shared" si="137"/>
        <v/>
      </c>
      <c r="N609" t="str">
        <f>IFERROR(VLOOKUP(I609,Товары_очищенные!$H$2:$J$502,3,0),"Нет в каталоге")</f>
        <v>Ноутбуки</v>
      </c>
      <c r="O609" s="4">
        <f>IFERROR(VLOOKUP(I609,Товары_очищенные!$H$2:$M$502,6,0),"")</f>
        <v>108000</v>
      </c>
      <c r="P609" t="str">
        <f t="shared" si="138"/>
        <v xml:space="preserve">Цена отличается от каталога</v>
      </c>
    </row>
    <row r="610">
      <c r="A610" s="3" t="s">
        <v>3232</v>
      </c>
      <c r="B610" s="3" t="s">
        <v>3233</v>
      </c>
      <c r="C610" s="3" t="s">
        <v>1938</v>
      </c>
      <c r="D610" s="3" t="s">
        <v>1939</v>
      </c>
      <c r="E610" s="3" t="s">
        <v>3234</v>
      </c>
      <c r="F610" s="3" t="s">
        <v>1594</v>
      </c>
      <c r="G610" s="3" t="s">
        <v>1903</v>
      </c>
      <c r="H610" s="5">
        <f t="shared" si="134"/>
        <v>45976</v>
      </c>
      <c r="I610" t="str">
        <f t="shared" si="135"/>
        <v>АРТ-398</v>
      </c>
      <c r="J610" s="6">
        <f t="shared" si="136"/>
        <v>1</v>
      </c>
      <c r="K610" s="4">
        <f>VALUE(SUBSTITUTE(SUBSTITUTE(SUBSTITUTE(SUBSTITUTE(D610,"$",""),"€",""),"₽","")," ",""))*IF(ISNUMBER(FIND("$",D610)),Справочники!$H$3,IF(ISNUMBER(FIND("€",D610)),Справочники!$H$4,1))</f>
        <v>6500</v>
      </c>
      <c r="L610" t="str">
        <f>IFERROR(VLOOKUP(TRIM(G610),Справочники!$D$3:$E$13,2,0),"Нет в справочнике")</f>
        <v>Завершен</v>
      </c>
      <c r="M610" t="str">
        <f t="shared" si="137"/>
        <v/>
      </c>
      <c r="N610" t="str">
        <f>IFERROR(VLOOKUP(I610,Товары_очищенные!$H$2:$J$502,3,0),"Нет в каталоге")</f>
        <v>Аксессуары</v>
      </c>
      <c r="O610" s="4">
        <f>IFERROR(VLOOKUP(I610,Товары_очищенные!$H$2:$M$502,6,0),"")</f>
        <v>7500</v>
      </c>
      <c r="P610" t="str">
        <f t="shared" si="138"/>
        <v>ОК</v>
      </c>
    </row>
    <row r="611">
      <c r="A611" s="3" t="s">
        <v>3232</v>
      </c>
      <c r="B611" s="3" t="s">
        <v>2133</v>
      </c>
      <c r="C611" s="3" t="s">
        <v>1915</v>
      </c>
      <c r="D611" s="3" t="s">
        <v>1916</v>
      </c>
      <c r="E611" s="3" t="s">
        <v>3235</v>
      </c>
      <c r="F611" s="3" t="s">
        <v>1796</v>
      </c>
      <c r="G611" s="3" t="s">
        <v>1908</v>
      </c>
      <c r="H611" s="5">
        <f t="shared" si="134"/>
        <v>45976</v>
      </c>
      <c r="I611" t="str">
        <f t="shared" si="135"/>
        <v>АРТ-266</v>
      </c>
      <c r="J611" s="6">
        <f t="shared" si="136"/>
        <v>-1</v>
      </c>
      <c r="K611" s="4">
        <f>VALUE(SUBSTITUTE(SUBSTITUTE(SUBSTITUTE(SUBSTITUTE(D611,"$",""),"€",""),"₽","")," ",""))*IF(ISNUMBER(FIND("$",D611)),Справочники!$H$3,IF(ISNUMBER(FIND("€",D611)),Справочники!$H$4,1))</f>
        <v>10450</v>
      </c>
      <c r="L611" t="str">
        <f>IFERROR(VLOOKUP(TRIM(G611),Справочники!$D$3:$E$13,2,0),"Нет в справочнике")</f>
        <v>Завершен</v>
      </c>
      <c r="M611" t="str">
        <f t="shared" si="137"/>
        <v/>
      </c>
      <c r="N611" t="str">
        <f>IFERROR(VLOOKUP(I611,Товары_очищенные!$H$2:$J$502,3,0),"Нет в каталоге")</f>
        <v>Мониторы</v>
      </c>
      <c r="O611" s="4">
        <f>IFERROR(VLOOKUP(I611,Товары_очищенные!$H$2:$M$502,6,0),"")</f>
        <v>65500</v>
      </c>
      <c r="P611" t="str">
        <f t="shared" si="138"/>
        <v xml:space="preserve">Цена отличается от каталога</v>
      </c>
    </row>
    <row r="612">
      <c r="A612" s="3" t="s">
        <v>3236</v>
      </c>
      <c r="B612" s="3" t="s">
        <v>1208</v>
      </c>
      <c r="C612" s="3" t="s">
        <v>1930</v>
      </c>
      <c r="D612" s="3" t="s">
        <v>1922</v>
      </c>
      <c r="E612" s="3" t="s">
        <v>3237</v>
      </c>
      <c r="F612" s="3" t="s">
        <v>1656</v>
      </c>
      <c r="G612" s="3" t="s">
        <v>1913</v>
      </c>
      <c r="H612" s="5">
        <f t="shared" ref="H612:H675" si="139">DATE(VALUE(RIGHT(A612,4)),VALUE(LEFT(A612,2)),VALUE(MID(A612,4,2)))</f>
        <v>45977</v>
      </c>
      <c r="I612" t="str">
        <f t="shared" ref="I612:I675" si="140">"АРТ-"&amp;TEXT(VALUE(LEFT(SUBSTITUTE(SUBSTITUTE(SUBSTITUTE(SUBSTITUTE(TRIM(B612),"№",""),"АРТ-",""),"АРТ_",""),"АРТ",""),3)),"000")</f>
        <v>АРТ-344</v>
      </c>
      <c r="J612" s="6">
        <f t="shared" ref="J612:J675" si="141">VALUE(TRIM(SUBSTITUTE(SUBSTITUTE(TRIM(C612),"шт.",""),"шт","")))</f>
        <v>3</v>
      </c>
      <c r="K612" s="4">
        <f>VALUE(SUBSTITUTE(SUBSTITUTE(SUBSTITUTE(SUBSTITUTE(D612,"$",""),"€",""),"₽","")," ",""))*IF(ISNUMBER(FIND("$",D612)),Справочники!$H$3,IF(ISNUMBER(FIND("€",D612)),Справочники!$H$4,1))</f>
        <v>9000</v>
      </c>
      <c r="L612" t="str">
        <f>IFERROR(VLOOKUP(TRIM(G612),Справочники!$D$3:$E$13,2,0),"Нет в справочнике")</f>
        <v>Завершен</v>
      </c>
      <c r="M612" t="str">
        <f t="shared" ref="M612:M675" si="142">IF(COUNTIFS($H$2:H612,H612,$I$2:I612,I612,$E$2:E612,E612)&gt;1,"Дубликат","")</f>
        <v/>
      </c>
      <c r="N612" t="str">
        <f>IFERROR(VLOOKUP(I612,Товары_очищенные!$H$2:$J$502,3,0),"Нет в каталоге")</f>
        <v>Телевизоры</v>
      </c>
      <c r="O612" s="4">
        <f>IFERROR(VLOOKUP(I612,Товары_очищенные!$H$2:$M$502,6,0),"")</f>
        <v>82000</v>
      </c>
      <c r="P612" t="str">
        <f t="shared" ref="P612:P675" si="143">IF(O612="","Нет в каталоге",IF(ABS(K612/O612-1)&lt;=0.2,"ОК","Цена отличается от каталога"))</f>
        <v xml:space="preserve">Цена отличается от каталога</v>
      </c>
    </row>
    <row r="613">
      <c r="A613" s="3" t="s">
        <v>3236</v>
      </c>
      <c r="B613" s="3" t="s">
        <v>2934</v>
      </c>
      <c r="C613" s="3" t="s">
        <v>1900</v>
      </c>
      <c r="D613" s="3" t="s">
        <v>1925</v>
      </c>
      <c r="E613" s="3" t="s">
        <v>3238</v>
      </c>
      <c r="F613" s="3" t="s">
        <v>1746</v>
      </c>
      <c r="G613" s="3" t="s">
        <v>1918</v>
      </c>
      <c r="H613" s="5">
        <f t="shared" si="139"/>
        <v>45977</v>
      </c>
      <c r="I613" t="str">
        <f t="shared" si="140"/>
        <v>АРТ-265</v>
      </c>
      <c r="J613" s="6">
        <f t="shared" si="141"/>
        <v>2</v>
      </c>
      <c r="K613" s="4">
        <f>VALUE(SUBSTITUTE(SUBSTITUTE(SUBSTITUTE(SUBSTITUTE(D613,"$",""),"€",""),"₽","")," ",""))*IF(ISNUMBER(FIND("$",D613)),Справочники!$H$3,IF(ISNUMBER(FIND("€",D613)),Справочники!$H$4,1))</f>
        <v>8000</v>
      </c>
      <c r="L613" t="str">
        <f>IFERROR(VLOOKUP(TRIM(G613),Справочники!$D$3:$E$13,2,0),"Нет в справочнике")</f>
        <v>Отменен</v>
      </c>
      <c r="M613" t="str">
        <f t="shared" si="142"/>
        <v/>
      </c>
      <c r="N613" t="str">
        <f>IFERROR(VLOOKUP(I613,Товары_очищенные!$H$2:$J$502,3,0),"Нет в каталоге")</f>
        <v>Мониторы</v>
      </c>
      <c r="O613" s="4">
        <f>IFERROR(VLOOKUP(I613,Товары_очищенные!$H$2:$M$502,6,0),"")</f>
        <v>67990</v>
      </c>
      <c r="P613" t="str">
        <f t="shared" si="143"/>
        <v xml:space="preserve">Цена отличается от каталога</v>
      </c>
    </row>
    <row r="614">
      <c r="A614" s="3" t="s">
        <v>3239</v>
      </c>
      <c r="B614" s="3" t="s">
        <v>3065</v>
      </c>
      <c r="C614" s="3" t="s">
        <v>1905</v>
      </c>
      <c r="D614" s="3" t="s">
        <v>1964</v>
      </c>
      <c r="E614" s="3" t="s">
        <v>3240</v>
      </c>
      <c r="F614" s="3" t="s">
        <v>1622</v>
      </c>
      <c r="G614" s="3" t="s">
        <v>1924</v>
      </c>
      <c r="H614" s="5">
        <f t="shared" si="139"/>
        <v>45978</v>
      </c>
      <c r="I614" t="str">
        <f t="shared" si="140"/>
        <v>АРТ-093</v>
      </c>
      <c r="J614" s="6">
        <f t="shared" si="141"/>
        <v>1</v>
      </c>
      <c r="K614" s="4">
        <f>VALUE(SUBSTITUTE(SUBSTITUTE(SUBSTITUTE(SUBSTITUTE(D614,"$",""),"€",""),"₽","")," ",""))*IF(ISNUMBER(FIND("$",D614)),Справочники!$H$3,IF(ISNUMBER(FIND("€",D614)),Справочники!$H$4,1))</f>
        <v>9025</v>
      </c>
      <c r="L614" t="str">
        <f>IFERROR(VLOOKUP(TRIM(G614),Справочники!$D$3:$E$13,2,0),"Нет в справочнике")</f>
        <v>Отменен</v>
      </c>
      <c r="M614" t="str">
        <f t="shared" si="142"/>
        <v/>
      </c>
      <c r="N614" t="str">
        <f>IFERROR(VLOOKUP(I614,Товары_очищенные!$H$2:$J$502,3,0),"Нет в каталоге")</f>
        <v>Наушники</v>
      </c>
      <c r="O614" s="4">
        <f>IFERROR(VLOOKUP(I614,Товары_очищенные!$H$2:$M$502,6,0),"")</f>
        <v>10500</v>
      </c>
      <c r="P614" t="str">
        <f t="shared" si="143"/>
        <v>ОК</v>
      </c>
    </row>
    <row r="615">
      <c r="A615" s="3" t="s">
        <v>3239</v>
      </c>
      <c r="B615" s="3" t="s">
        <v>2893</v>
      </c>
      <c r="C615" s="3" t="s">
        <v>1900</v>
      </c>
      <c r="D615" s="3" t="s">
        <v>1968</v>
      </c>
      <c r="E615" s="3" t="s">
        <v>3241</v>
      </c>
      <c r="F615" s="3" t="s">
        <v>1826</v>
      </c>
      <c r="G615" s="3" t="s">
        <v>1903</v>
      </c>
      <c r="H615" s="5">
        <f t="shared" si="139"/>
        <v>45978</v>
      </c>
      <c r="I615" t="str">
        <f t="shared" si="140"/>
        <v>АРТ-442</v>
      </c>
      <c r="J615" s="6">
        <f t="shared" si="141"/>
        <v>2</v>
      </c>
      <c r="K615" s="4">
        <f>VALUE(SUBSTITUTE(SUBSTITUTE(SUBSTITUTE(SUBSTITUTE(D615,"$",""),"€",""),"₽","")," ",""))*IF(ISNUMBER(FIND("$",D615)),Справочники!$H$3,IF(ISNUMBER(FIND("€",D615)),Справочники!$H$4,1))</f>
        <v>7500</v>
      </c>
      <c r="L615" t="str">
        <f>IFERROR(VLOOKUP(TRIM(G615),Справочники!$D$3:$E$13,2,0),"Нет в справочнике")</f>
        <v>Завершен</v>
      </c>
      <c r="M615" t="str">
        <f t="shared" si="142"/>
        <v/>
      </c>
      <c r="N615" t="str">
        <f>IFERROR(VLOOKUP(I615,Товары_очищенные!$H$2:$J$502,3,0),"Нет в каталоге")</f>
        <v>Смартфоны</v>
      </c>
      <c r="O615" s="4">
        <f>IFERROR(VLOOKUP(I615,Товары_очищенные!$H$2:$M$502,6,0),"")</f>
        <v>24990</v>
      </c>
      <c r="P615" t="str">
        <f t="shared" si="143"/>
        <v xml:space="preserve">Цена отличается от каталога</v>
      </c>
    </row>
    <row r="616">
      <c r="A616" s="3" t="s">
        <v>3242</v>
      </c>
      <c r="B616" s="3" t="s">
        <v>3243</v>
      </c>
      <c r="C616" s="3" t="s">
        <v>1910</v>
      </c>
      <c r="D616" s="3" t="s">
        <v>1971</v>
      </c>
      <c r="E616" s="3" t="s">
        <v>3244</v>
      </c>
      <c r="F616" s="3" t="s">
        <v>1676</v>
      </c>
      <c r="G616" s="3" t="s">
        <v>1927</v>
      </c>
      <c r="H616" s="5">
        <f t="shared" si="139"/>
        <v>45979</v>
      </c>
      <c r="I616" t="str">
        <f t="shared" si="140"/>
        <v>АРТ-324</v>
      </c>
      <c r="J616" s="6">
        <f t="shared" si="141"/>
        <v>3</v>
      </c>
      <c r="K616" s="4">
        <f>VALUE(SUBSTITUTE(SUBSTITUTE(SUBSTITUTE(SUBSTITUTE(D616,"$",""),"€",""),"₽","")," ",""))*IF(ISNUMBER(FIND("$",D616)),Справочники!$H$3,IF(ISNUMBER(FIND("€",D616)),Справочники!$H$4,1))</f>
        <v>7000</v>
      </c>
      <c r="L616" t="str">
        <f>IFERROR(VLOOKUP(TRIM(G616),Справочники!$D$3:$E$13,2,0),"Нет в справочнике")</f>
        <v>Возврат</v>
      </c>
      <c r="M616" t="str">
        <f t="shared" si="142"/>
        <v/>
      </c>
      <c r="N616" t="str">
        <f>IFERROR(VLOOKUP(I616,Товары_очищенные!$H$2:$J$502,3,0),"Нет в каталоге")</f>
        <v>Наушники</v>
      </c>
      <c r="O616" s="4">
        <f>IFERROR(VLOOKUP(I616,Товары_очищенные!$H$2:$M$502,6,0),"")</f>
        <v>13800</v>
      </c>
      <c r="P616" t="str">
        <f t="shared" si="143"/>
        <v xml:space="preserve">Цена отличается от каталога</v>
      </c>
    </row>
    <row r="617">
      <c r="A617" s="3" t="s">
        <v>3242</v>
      </c>
      <c r="B617" s="3" t="s">
        <v>783</v>
      </c>
      <c r="C617" s="3" t="s">
        <v>1942</v>
      </c>
      <c r="D617" s="3" t="s">
        <v>1943</v>
      </c>
      <c r="E617" s="3" t="s">
        <v>3245</v>
      </c>
      <c r="F617" s="3" t="s">
        <v>1772</v>
      </c>
      <c r="G617" s="3" t="s">
        <v>1908</v>
      </c>
      <c r="H617" s="5">
        <f t="shared" si="139"/>
        <v>45979</v>
      </c>
      <c r="I617" t="str">
        <f t="shared" si="140"/>
        <v>АРТ-193</v>
      </c>
      <c r="J617" s="6">
        <f t="shared" si="141"/>
        <v>-2</v>
      </c>
      <c r="K617" s="4">
        <f>VALUE(SUBSTITUTE(SUBSTITUTE(SUBSTITUTE(SUBSTITUTE(D617,"$",""),"€",""),"₽","")," ",""))*IF(ISNUMBER(FIND("$",D617)),Справочники!$H$3,IF(ISNUMBER(FIND("€",D617)),Справочники!$H$4,1))</f>
        <v>10925</v>
      </c>
      <c r="L617" t="str">
        <f>IFERROR(VLOOKUP(TRIM(G617),Справочники!$D$3:$E$13,2,0),"Нет в справочнике")</f>
        <v>Завершен</v>
      </c>
      <c r="M617" t="str">
        <f t="shared" si="142"/>
        <v/>
      </c>
      <c r="N617" t="str">
        <f>IFERROR(VLOOKUP(I617,Товары_очищенные!$H$2:$J$502,3,0),"Нет в каталоге")</f>
        <v>Ноутбуки</v>
      </c>
      <c r="O617" s="4">
        <f>IFERROR(VLOOKUP(I617,Товары_очищенные!$H$2:$M$502,6,0),"")</f>
        <v>129990</v>
      </c>
      <c r="P617" t="str">
        <f t="shared" si="143"/>
        <v xml:space="preserve">Цена отличается от каталога</v>
      </c>
    </row>
    <row r="618">
      <c r="A618" s="3" t="s">
        <v>3246</v>
      </c>
      <c r="B618" s="3" t="s">
        <v>2982</v>
      </c>
      <c r="C618" s="3" t="s">
        <v>1905</v>
      </c>
      <c r="D618" s="3" t="s">
        <v>1934</v>
      </c>
      <c r="E618" s="3" t="s">
        <v>3247</v>
      </c>
      <c r="F618" s="3" t="s">
        <v>1874</v>
      </c>
      <c r="G618" s="3" t="s">
        <v>1913</v>
      </c>
      <c r="H618" s="5">
        <f t="shared" si="139"/>
        <v>45980</v>
      </c>
      <c r="I618" t="str">
        <f t="shared" si="140"/>
        <v>АРТ-351</v>
      </c>
      <c r="J618" s="6">
        <f t="shared" si="141"/>
        <v>1</v>
      </c>
      <c r="K618" s="4">
        <f>VALUE(SUBSTITUTE(SUBSTITUTE(SUBSTITUTE(SUBSTITUTE(D618,"$",""),"€",""),"₽","")," ",""))*IF(ISNUMBER(FIND("$",D618)),Справочники!$H$3,IF(ISNUMBER(FIND("€",D618)),Справочники!$H$4,1))</f>
        <v>9500</v>
      </c>
      <c r="L618" t="str">
        <f>IFERROR(VLOOKUP(TRIM(G618),Справочники!$D$3:$E$13,2,0),"Нет в справочнике")</f>
        <v>Завершен</v>
      </c>
      <c r="M618" t="str">
        <f t="shared" si="142"/>
        <v/>
      </c>
      <c r="N618" t="str">
        <f>IFERROR(VLOOKUP(I618,Товары_очищенные!$H$2:$J$502,3,0),"Нет в каталоге")</f>
        <v>Мониторы</v>
      </c>
      <c r="O618" s="4">
        <f>IFERROR(VLOOKUP(I618,Товары_очищенные!$H$2:$M$502,6,0),"")</f>
        <v>57000</v>
      </c>
      <c r="P618" t="str">
        <f t="shared" si="143"/>
        <v xml:space="preserve">Цена отличается от каталога</v>
      </c>
    </row>
    <row r="619">
      <c r="A619" s="3" t="s">
        <v>3246</v>
      </c>
      <c r="B619" s="3" t="s">
        <v>3248</v>
      </c>
      <c r="C619" s="3" t="s">
        <v>1900</v>
      </c>
      <c r="D619" s="3" t="s">
        <v>1951</v>
      </c>
      <c r="E619" s="3" t="s">
        <v>3249</v>
      </c>
      <c r="F619" s="3" t="s">
        <v>1601</v>
      </c>
      <c r="G619" s="3" t="s">
        <v>1903</v>
      </c>
      <c r="H619" s="5">
        <f t="shared" si="139"/>
        <v>45980</v>
      </c>
      <c r="I619" t="str">
        <f t="shared" si="140"/>
        <v>АРТ-218</v>
      </c>
      <c r="J619" s="6">
        <f t="shared" si="141"/>
        <v>2</v>
      </c>
      <c r="K619" s="4">
        <f>VALUE(SUBSTITUTE(SUBSTITUTE(SUBSTITUTE(SUBSTITUTE(D619,"$",""),"€",""),"₽","")," ",""))*IF(ISNUMBER(FIND("$",D619)),Справочники!$H$3,IF(ISNUMBER(FIND("€",D619)),Справочники!$H$4,1))</f>
        <v>8500</v>
      </c>
      <c r="L619" t="str">
        <f>IFERROR(VLOOKUP(TRIM(G619),Справочники!$D$3:$E$13,2,0),"Нет в справочнике")</f>
        <v>Завершен</v>
      </c>
      <c r="M619" t="str">
        <f t="shared" si="142"/>
        <v/>
      </c>
      <c r="N619" t="str">
        <f>IFERROR(VLOOKUP(I619,Товары_очищенные!$H$2:$J$502,3,0),"Нет в каталоге")</f>
        <v>Телевизоры</v>
      </c>
      <c r="O619" s="4">
        <f>IFERROR(VLOOKUP(I619,Товары_очищенные!$H$2:$M$502,6,0),"")</f>
        <v>67500</v>
      </c>
      <c r="P619" t="str">
        <f t="shared" si="143"/>
        <v xml:space="preserve">Цена отличается от каталога</v>
      </c>
    </row>
    <row r="620">
      <c r="A620" s="3" t="s">
        <v>3250</v>
      </c>
      <c r="B620" s="3" t="s">
        <v>260</v>
      </c>
      <c r="C620" s="3" t="s">
        <v>1930</v>
      </c>
      <c r="D620" s="3" t="s">
        <v>1931</v>
      </c>
      <c r="E620" s="3" t="s">
        <v>3251</v>
      </c>
      <c r="F620" s="3" t="s">
        <v>1721</v>
      </c>
      <c r="G620" s="3" t="s">
        <v>1924</v>
      </c>
      <c r="H620" s="5">
        <f t="shared" si="139"/>
        <v>45981</v>
      </c>
      <c r="I620" t="str">
        <f t="shared" si="140"/>
        <v>АРТ-052</v>
      </c>
      <c r="J620" s="6">
        <f t="shared" si="141"/>
        <v>3</v>
      </c>
      <c r="K620" s="4">
        <f>VALUE(SUBSTITUTE(SUBSTITUTE(SUBSTITUTE(SUBSTITUTE(D620,"$",""),"€",""),"₽","")," ",""))*IF(ISNUMBER(FIND("$",D620)),Справочники!$H$3,IF(ISNUMBER(FIND("€",D620)),Справочники!$H$4,1))</f>
        <v>9975</v>
      </c>
      <c r="L620" t="str">
        <f>IFERROR(VLOOKUP(TRIM(G620),Справочники!$D$3:$E$13,2,0),"Нет в справочнике")</f>
        <v>Отменен</v>
      </c>
      <c r="M620" t="str">
        <f t="shared" si="142"/>
        <v/>
      </c>
      <c r="N620" t="str">
        <f>IFERROR(VLOOKUP(I620,Товары_очищенные!$H$2:$J$502,3,0),"Нет в каталоге")</f>
        <v>Мониторы</v>
      </c>
      <c r="O620" s="4">
        <f>IFERROR(VLOOKUP(I620,Товары_очищенные!$H$2:$M$502,6,0),"")</f>
        <v>69900</v>
      </c>
      <c r="P620" t="str">
        <f t="shared" si="143"/>
        <v xml:space="preserve">Цена отличается от каталога</v>
      </c>
    </row>
    <row r="621">
      <c r="A621" s="3" t="s">
        <v>3250</v>
      </c>
      <c r="B621" s="3" t="s">
        <v>3252</v>
      </c>
      <c r="C621" s="3" t="s">
        <v>1900</v>
      </c>
      <c r="D621" s="3" t="s">
        <v>1906</v>
      </c>
      <c r="E621" s="3" t="s">
        <v>3253</v>
      </c>
      <c r="F621" s="3" t="s">
        <v>1663</v>
      </c>
      <c r="G621" s="3" t="s">
        <v>1918</v>
      </c>
      <c r="H621" s="5">
        <f t="shared" si="139"/>
        <v>45981</v>
      </c>
      <c r="I621" t="str">
        <f t="shared" si="140"/>
        <v>АРТ-412</v>
      </c>
      <c r="J621" s="6">
        <f t="shared" si="141"/>
        <v>2</v>
      </c>
      <c r="K621" s="4">
        <f>VALUE(SUBSTITUTE(SUBSTITUTE(SUBSTITUTE(SUBSTITUTE(D621,"$",""),"€",""),"₽","")," ",""))*IF(ISNUMBER(FIND("$",D621)),Справочники!$H$3,IF(ISNUMBER(FIND("€",D621)),Справочники!$H$4,1))</f>
        <v>8500</v>
      </c>
      <c r="L621" t="str">
        <f>IFERROR(VLOOKUP(TRIM(G621),Справочники!$D$3:$E$13,2,0),"Нет в справочнике")</f>
        <v>Отменен</v>
      </c>
      <c r="M621" t="str">
        <f t="shared" si="142"/>
        <v/>
      </c>
      <c r="N621" t="str">
        <f>IFERROR(VLOOKUP(I621,Товары_очищенные!$H$2:$J$502,3,0),"Нет в каталоге")</f>
        <v>Мониторы</v>
      </c>
      <c r="O621" s="4">
        <f>IFERROR(VLOOKUP(I621,Товары_очищенные!$H$2:$M$502,6,0),"")</f>
        <v>54990</v>
      </c>
      <c r="P621" t="str">
        <f t="shared" si="143"/>
        <v xml:space="preserve">Цена отличается от каталога</v>
      </c>
    </row>
    <row r="622">
      <c r="A622" s="3" t="s">
        <v>3254</v>
      </c>
      <c r="B622" s="3" t="s">
        <v>3255</v>
      </c>
      <c r="C622" s="3" t="s">
        <v>1938</v>
      </c>
      <c r="D622" s="3" t="s">
        <v>2166</v>
      </c>
      <c r="E622" s="3" t="s">
        <v>3256</v>
      </c>
      <c r="F622" s="3" t="s">
        <v>1802</v>
      </c>
      <c r="G622" s="3" t="s">
        <v>1927</v>
      </c>
      <c r="H622" s="5">
        <f t="shared" si="139"/>
        <v>45982</v>
      </c>
      <c r="I622" t="str">
        <f t="shared" si="140"/>
        <v>АРТ-385</v>
      </c>
      <c r="J622" s="6">
        <f t="shared" si="141"/>
        <v>1</v>
      </c>
      <c r="K622" s="4">
        <f>VALUE(SUBSTITUTE(SUBSTITUTE(SUBSTITUTE(SUBSTITUTE(D622,"$",""),"€",""),"₽","")," ",""))*IF(ISNUMBER(FIND("$",D622)),Справочники!$H$3,IF(ISNUMBER(FIND("€",D622)),Справочники!$H$4,1))</f>
        <v>7800</v>
      </c>
      <c r="L622" t="str">
        <f>IFERROR(VLOOKUP(TRIM(G622),Справочники!$D$3:$E$13,2,0),"Нет в справочнике")</f>
        <v>Возврат</v>
      </c>
      <c r="M622" t="str">
        <f t="shared" si="142"/>
        <v/>
      </c>
      <c r="N622" t="str">
        <f>IFERROR(VLOOKUP(I622,Товары_очищенные!$H$2:$J$502,3,0),"Нет в каталоге")</f>
        <v>Ноутбуки</v>
      </c>
      <c r="O622" s="4">
        <f>IFERROR(VLOOKUP(I622,Товары_очищенные!$H$2:$M$502,6,0),"")</f>
        <v>116990</v>
      </c>
      <c r="P622" t="str">
        <f t="shared" si="143"/>
        <v xml:space="preserve">Цена отличается от каталога</v>
      </c>
    </row>
    <row r="623">
      <c r="A623" s="3" t="s">
        <v>3254</v>
      </c>
      <c r="B623" s="3" t="s">
        <v>723</v>
      </c>
      <c r="C623" s="3" t="s">
        <v>1985</v>
      </c>
      <c r="D623" s="3" t="s">
        <v>2044</v>
      </c>
      <c r="E623" s="3" t="s">
        <v>3257</v>
      </c>
      <c r="F623" s="3" t="s">
        <v>1868</v>
      </c>
      <c r="G623" s="3" t="s">
        <v>1903</v>
      </c>
      <c r="H623" s="5">
        <f t="shared" si="139"/>
        <v>45982</v>
      </c>
      <c r="I623" t="str">
        <f t="shared" si="140"/>
        <v>АРТ-175</v>
      </c>
      <c r="J623" s="6">
        <f t="shared" si="141"/>
        <v>-3</v>
      </c>
      <c r="K623" s="4">
        <f>VALUE(SUBSTITUTE(SUBSTITUTE(SUBSTITUTE(SUBSTITUTE(D623,"$",""),"€",""),"₽","")," ",""))*IF(ISNUMBER(FIND("$",D623)),Справочники!$H$3,IF(ISNUMBER(FIND("€",D623)),Справочники!$H$4,1))</f>
        <v>11400</v>
      </c>
      <c r="L623" t="str">
        <f>IFERROR(VLOOKUP(TRIM(G623),Справочники!$D$3:$E$13,2,0),"Нет в справочнике")</f>
        <v>Завершен</v>
      </c>
      <c r="M623" t="str">
        <f t="shared" si="142"/>
        <v/>
      </c>
      <c r="N623" t="str">
        <f>IFERROR(VLOOKUP(I623,Товары_очищенные!$H$2:$J$502,3,0),"Нет в каталоге")</f>
        <v>Телевизоры</v>
      </c>
      <c r="O623" s="4">
        <f>IFERROR(VLOOKUP(I623,Товары_очищенные!$H$2:$M$502,6,0),"")</f>
        <v>99990</v>
      </c>
      <c r="P623" t="str">
        <f t="shared" si="143"/>
        <v xml:space="preserve">Цена отличается от каталога</v>
      </c>
    </row>
    <row r="624">
      <c r="A624" s="3" t="s">
        <v>3258</v>
      </c>
      <c r="B624" s="3" t="s">
        <v>1265</v>
      </c>
      <c r="C624" s="3" t="s">
        <v>1900</v>
      </c>
      <c r="D624" s="3" t="s">
        <v>2046</v>
      </c>
      <c r="E624" s="3" t="s">
        <v>3259</v>
      </c>
      <c r="F624" s="3" t="s">
        <v>1587</v>
      </c>
      <c r="G624" s="3" t="s">
        <v>1908</v>
      </c>
      <c r="H624" s="5">
        <f t="shared" si="139"/>
        <v>45983</v>
      </c>
      <c r="I624" t="str">
        <f t="shared" si="140"/>
        <v>АРТ-371</v>
      </c>
      <c r="J624" s="6">
        <f t="shared" si="141"/>
        <v>2</v>
      </c>
      <c r="K624" s="4">
        <f>VALUE(SUBSTITUTE(SUBSTITUTE(SUBSTITUTE(SUBSTITUTE(D624,"$",""),"€",""),"₽","")," ",""))*IF(ISNUMBER(FIND("$",D624)),Справочники!$H$3,IF(ISNUMBER(FIND("€",D624)),Справочники!$H$4,1))</f>
        <v>10000</v>
      </c>
      <c r="L624" t="str">
        <f>IFERROR(VLOOKUP(TRIM(G624),Справочники!$D$3:$E$13,2,0),"Нет в справочнике")</f>
        <v>Завершен</v>
      </c>
      <c r="M624" t="str">
        <f t="shared" si="142"/>
        <v/>
      </c>
      <c r="N624" t="str">
        <f>IFERROR(VLOOKUP(I624,Товары_очищенные!$H$2:$J$502,3,0),"Нет в каталоге")</f>
        <v>Мониторы</v>
      </c>
      <c r="O624" s="4">
        <f>IFERROR(VLOOKUP(I624,Товары_очищенные!$H$2:$M$502,6,0),"")</f>
        <v>48000</v>
      </c>
      <c r="P624" t="str">
        <f t="shared" si="143"/>
        <v xml:space="preserve">Цена отличается от каталога</v>
      </c>
    </row>
    <row r="625">
      <c r="A625" s="3" t="s">
        <v>3258</v>
      </c>
      <c r="B625" s="3" t="s">
        <v>2841</v>
      </c>
      <c r="C625" s="3" t="s">
        <v>1905</v>
      </c>
      <c r="D625" s="3" t="s">
        <v>2087</v>
      </c>
      <c r="E625" s="3" t="s">
        <v>3260</v>
      </c>
      <c r="F625" s="3" t="s">
        <v>1734</v>
      </c>
      <c r="G625" s="3" t="s">
        <v>1913</v>
      </c>
      <c r="H625" s="5">
        <f t="shared" si="139"/>
        <v>45983</v>
      </c>
      <c r="I625" t="str">
        <f t="shared" si="140"/>
        <v>АРТ-139</v>
      </c>
      <c r="J625" s="6">
        <f t="shared" si="141"/>
        <v>1</v>
      </c>
      <c r="K625" s="4">
        <f>VALUE(SUBSTITUTE(SUBSTITUTE(SUBSTITUTE(SUBSTITUTE(D625,"$",""),"€",""),"₽","")," ",""))*IF(ISNUMBER(FIND("$",D625)),Справочники!$H$3,IF(ISNUMBER(FIND("€",D625)),Справочники!$H$4,1))</f>
        <v>9200</v>
      </c>
      <c r="L625" t="str">
        <f>IFERROR(VLOOKUP(TRIM(G625),Справочники!$D$3:$E$13,2,0),"Нет в справочнике")</f>
        <v>Завершен</v>
      </c>
      <c r="M625" t="str">
        <f t="shared" si="142"/>
        <v/>
      </c>
      <c r="N625" t="str">
        <f>IFERROR(VLOOKUP(I625,Товары_очищенные!$H$2:$J$502,3,0),"Нет в каталоге")</f>
        <v>Мониторы</v>
      </c>
      <c r="O625" s="4">
        <f>IFERROR(VLOOKUP(I625,Товары_очищенные!$H$2:$M$502,6,0),"")</f>
        <v>89900</v>
      </c>
      <c r="P625" t="str">
        <f t="shared" si="143"/>
        <v xml:space="preserve">Цена отличается от каталога</v>
      </c>
    </row>
    <row r="626">
      <c r="A626" s="3" t="s">
        <v>3261</v>
      </c>
      <c r="B626" s="3" t="s">
        <v>3262</v>
      </c>
      <c r="C626" s="3" t="s">
        <v>1930</v>
      </c>
      <c r="D626" s="3" t="s">
        <v>1986</v>
      </c>
      <c r="E626" s="3" t="s">
        <v>3263</v>
      </c>
      <c r="F626" s="3" t="s">
        <v>1649</v>
      </c>
      <c r="G626" s="3" t="s">
        <v>1918</v>
      </c>
      <c r="H626" s="5">
        <f t="shared" si="139"/>
        <v>45984</v>
      </c>
      <c r="I626" t="str">
        <f t="shared" si="140"/>
        <v>АРТ-095</v>
      </c>
      <c r="J626" s="6">
        <f t="shared" si="141"/>
        <v>3</v>
      </c>
      <c r="K626" s="4">
        <f>VALUE(SUBSTITUTE(SUBSTITUTE(SUBSTITUTE(SUBSTITUTE(D626,"$",""),"€",""),"₽","")," ",""))*IF(ISNUMBER(FIND("$",D626)),Справочники!$H$3,IF(ISNUMBER(FIND("€",D626)),Справочники!$H$4,1))</f>
        <v>8550</v>
      </c>
      <c r="L626" t="str">
        <f>IFERROR(VLOOKUP(TRIM(G626),Справочники!$D$3:$E$13,2,0),"Нет в справочнике")</f>
        <v>Отменен</v>
      </c>
      <c r="M626" t="str">
        <f t="shared" si="142"/>
        <v/>
      </c>
      <c r="N626" t="str">
        <f>IFERROR(VLOOKUP(I626,Товары_очищенные!$H$2:$J$502,3,0),"Нет в каталоге")</f>
        <v>Мониторы</v>
      </c>
      <c r="O626" s="4">
        <f>IFERROR(VLOOKUP(I626,Товары_очищенные!$H$2:$M$502,6,0),"")</f>
        <v>92000</v>
      </c>
      <c r="P626" t="str">
        <f t="shared" si="143"/>
        <v xml:space="preserve">Цена отличается от каталога</v>
      </c>
    </row>
    <row r="627">
      <c r="A627" s="3" t="s">
        <v>3261</v>
      </c>
      <c r="B627" s="3" t="s">
        <v>1947</v>
      </c>
      <c r="C627" s="3" t="s">
        <v>1900</v>
      </c>
      <c r="D627" s="3" t="s">
        <v>1989</v>
      </c>
      <c r="E627" s="3" t="s">
        <v>3264</v>
      </c>
      <c r="F627" s="3" t="s">
        <v>1784</v>
      </c>
      <c r="G627" s="3" t="s">
        <v>1924</v>
      </c>
      <c r="H627" s="5">
        <f t="shared" si="139"/>
        <v>45984</v>
      </c>
      <c r="I627" t="str">
        <f t="shared" si="140"/>
        <v>АРТ-478</v>
      </c>
      <c r="J627" s="6">
        <f t="shared" si="141"/>
        <v>2</v>
      </c>
      <c r="K627" s="4">
        <f>VALUE(SUBSTITUTE(SUBSTITUTE(SUBSTITUTE(SUBSTITUTE(D627,"$",""),"€",""),"₽","")," ",""))*IF(ISNUMBER(FIND("$",D627)),Справочники!$H$3,IF(ISNUMBER(FIND("€",D627)),Справочники!$H$4,1))</f>
        <v>7000</v>
      </c>
      <c r="L627" t="str">
        <f>IFERROR(VLOOKUP(TRIM(G627),Справочники!$D$3:$E$13,2,0),"Нет в справочнике")</f>
        <v>Отменен</v>
      </c>
      <c r="M627" t="str">
        <f t="shared" si="142"/>
        <v/>
      </c>
      <c r="N627" t="str">
        <f>IFERROR(VLOOKUP(I627,Товары_очищенные!$H$2:$J$502,3,0),"Нет в каталоге")</f>
        <v>Аксессуары</v>
      </c>
      <c r="O627" s="4">
        <f>IFERROR(VLOOKUP(I627,Товары_очищенные!$H$2:$M$502,6,0),"")</f>
        <v>12990</v>
      </c>
      <c r="P627" t="str">
        <f t="shared" si="143"/>
        <v xml:space="preserve">Цена отличается от каталога</v>
      </c>
    </row>
    <row r="628">
      <c r="A628" s="3" t="s">
        <v>3265</v>
      </c>
      <c r="B628" s="3" t="s">
        <v>1317</v>
      </c>
      <c r="C628" s="3" t="s">
        <v>1938</v>
      </c>
      <c r="D628" s="3" t="s">
        <v>1939</v>
      </c>
      <c r="E628" s="3" t="s">
        <v>3266</v>
      </c>
      <c r="F628" s="3" t="s">
        <v>1844</v>
      </c>
      <c r="G628" s="3" t="s">
        <v>1903</v>
      </c>
      <c r="H628" s="5">
        <f t="shared" si="139"/>
        <v>45985</v>
      </c>
      <c r="I628" t="str">
        <f t="shared" si="140"/>
        <v>АРТ-393</v>
      </c>
      <c r="J628" s="6">
        <f t="shared" si="141"/>
        <v>1</v>
      </c>
      <c r="K628" s="4">
        <f>VALUE(SUBSTITUTE(SUBSTITUTE(SUBSTITUTE(SUBSTITUTE(D628,"$",""),"€",""),"₽","")," ",""))*IF(ISNUMBER(FIND("$",D628)),Справочники!$H$3,IF(ISNUMBER(FIND("€",D628)),Справочники!$H$4,1))</f>
        <v>6500</v>
      </c>
      <c r="L628" t="str">
        <f>IFERROR(VLOOKUP(TRIM(G628),Справочники!$D$3:$E$13,2,0),"Нет в справочнике")</f>
        <v>Завершен</v>
      </c>
      <c r="M628" t="str">
        <f t="shared" si="142"/>
        <v/>
      </c>
      <c r="N628" t="str">
        <f>IFERROR(VLOOKUP(I628,Товары_очищенные!$H$2:$J$502,3,0),"Нет в каталоге")</f>
        <v>Наушники</v>
      </c>
      <c r="O628" s="4">
        <f>IFERROR(VLOOKUP(I628,Товары_очищенные!$H$2:$M$502,6,0),"")</f>
        <v>19800</v>
      </c>
      <c r="P628" t="str">
        <f t="shared" si="143"/>
        <v xml:space="preserve">Цена отличается от каталога</v>
      </c>
    </row>
    <row r="629">
      <c r="A629" s="3" t="s">
        <v>3265</v>
      </c>
      <c r="B629" s="3" t="s">
        <v>3267</v>
      </c>
      <c r="C629" s="3" t="s">
        <v>1915</v>
      </c>
      <c r="D629" s="3" t="s">
        <v>1916</v>
      </c>
      <c r="E629" s="3" t="s">
        <v>3268</v>
      </c>
      <c r="F629" s="3" t="s">
        <v>1566</v>
      </c>
      <c r="G629" s="3" t="s">
        <v>1927</v>
      </c>
      <c r="H629" s="5">
        <f t="shared" si="139"/>
        <v>45985</v>
      </c>
      <c r="I629" t="str">
        <f t="shared" si="140"/>
        <v>АРТ-219</v>
      </c>
      <c r="J629" s="6">
        <f t="shared" si="141"/>
        <v>-1</v>
      </c>
      <c r="K629" s="4">
        <f>VALUE(SUBSTITUTE(SUBSTITUTE(SUBSTITUTE(SUBSTITUTE(D629,"$",""),"€",""),"₽","")," ",""))*IF(ISNUMBER(FIND("$",D629)),Справочники!$H$3,IF(ISNUMBER(FIND("€",D629)),Справочники!$H$4,1))</f>
        <v>10450</v>
      </c>
      <c r="L629" t="str">
        <f>IFERROR(VLOOKUP(TRIM(G629),Справочники!$D$3:$E$13,2,0),"Нет в справочнике")</f>
        <v>Возврат</v>
      </c>
      <c r="M629" t="str">
        <f t="shared" si="142"/>
        <v/>
      </c>
      <c r="N629" t="str">
        <f>IFERROR(VLOOKUP(I629,Товары_очищенные!$H$2:$J$502,3,0),"Нет в каталоге")</f>
        <v>Телевизоры</v>
      </c>
      <c r="O629" s="4">
        <f>IFERROR(VLOOKUP(I629,Товары_очищенные!$H$2:$M$502,6,0),"")</f>
        <v>72000</v>
      </c>
      <c r="P629" t="str">
        <f t="shared" si="143"/>
        <v xml:space="preserve">Цена отличается от каталога</v>
      </c>
    </row>
    <row r="630">
      <c r="A630" s="3" t="s">
        <v>3269</v>
      </c>
      <c r="B630" s="3" t="s">
        <v>3270</v>
      </c>
      <c r="C630" s="3" t="s">
        <v>1930</v>
      </c>
      <c r="D630" s="3" t="s">
        <v>1922</v>
      </c>
      <c r="E630" s="3" t="s">
        <v>3271</v>
      </c>
      <c r="F630" s="3" t="s">
        <v>1701</v>
      </c>
      <c r="G630" s="3" t="s">
        <v>1908</v>
      </c>
      <c r="H630" s="5">
        <f t="shared" si="139"/>
        <v>45986</v>
      </c>
      <c r="I630" t="str">
        <f t="shared" si="140"/>
        <v>АРТ-336</v>
      </c>
      <c r="J630" s="6">
        <f t="shared" si="141"/>
        <v>3</v>
      </c>
      <c r="K630" s="4">
        <f>VALUE(SUBSTITUTE(SUBSTITUTE(SUBSTITUTE(SUBSTITUTE(D630,"$",""),"€",""),"₽","")," ",""))*IF(ISNUMBER(FIND("$",D630)),Справочники!$H$3,IF(ISNUMBER(FIND("€",D630)),Справочники!$H$4,1))</f>
        <v>9000</v>
      </c>
      <c r="L630" t="str">
        <f>IFERROR(VLOOKUP(TRIM(G630),Справочники!$D$3:$E$13,2,0),"Нет в справочнике")</f>
        <v>Завершен</v>
      </c>
      <c r="M630" t="str">
        <f t="shared" si="142"/>
        <v/>
      </c>
      <c r="N630" t="str">
        <f>IFERROR(VLOOKUP(I630,Товары_очищенные!$H$2:$J$502,3,0),"Нет в каталоге")</f>
        <v>Планшеты</v>
      </c>
      <c r="O630" s="4">
        <f>IFERROR(VLOOKUP(I630,Товары_очищенные!$H$2:$M$502,6,0),"")</f>
        <v>50500</v>
      </c>
      <c r="P630" t="str">
        <f t="shared" si="143"/>
        <v xml:space="preserve">Цена отличается от каталога</v>
      </c>
    </row>
    <row r="631">
      <c r="A631" s="3" t="s">
        <v>3269</v>
      </c>
      <c r="B631" s="3" t="s">
        <v>3272</v>
      </c>
      <c r="C631" s="3" t="s">
        <v>1900</v>
      </c>
      <c r="D631" s="3" t="s">
        <v>1925</v>
      </c>
      <c r="E631" s="3" t="s">
        <v>3273</v>
      </c>
      <c r="F631" s="3" t="s">
        <v>1814</v>
      </c>
      <c r="G631" s="3" t="s">
        <v>1913</v>
      </c>
      <c r="H631" s="5">
        <f t="shared" si="139"/>
        <v>45986</v>
      </c>
      <c r="I631" t="str">
        <f t="shared" si="140"/>
        <v>АРТ-279</v>
      </c>
      <c r="J631" s="6">
        <f t="shared" si="141"/>
        <v>2</v>
      </c>
      <c r="K631" s="4">
        <f>VALUE(SUBSTITUTE(SUBSTITUTE(SUBSTITUTE(SUBSTITUTE(D631,"$",""),"€",""),"₽","")," ",""))*IF(ISNUMBER(FIND("$",D631)),Справочники!$H$3,IF(ISNUMBER(FIND("€",D631)),Справочники!$H$4,1))</f>
        <v>8000</v>
      </c>
      <c r="L631" t="str">
        <f>IFERROR(VLOOKUP(TRIM(G631),Справочники!$D$3:$E$13,2,0),"Нет в справочнике")</f>
        <v>Завершен</v>
      </c>
      <c r="M631" t="str">
        <f t="shared" si="142"/>
        <v/>
      </c>
      <c r="N631" t="str">
        <f>IFERROR(VLOOKUP(I631,Товары_очищенные!$H$2:$J$502,3,0),"Нет в каталоге")</f>
        <v>Телевизоры</v>
      </c>
      <c r="O631" s="4">
        <f>IFERROR(VLOOKUP(I631,Товары_очищенные!$H$2:$M$502,6,0),"")</f>
        <v>117500</v>
      </c>
      <c r="P631" t="str">
        <f t="shared" si="143"/>
        <v xml:space="preserve">Цена отличается от каталога</v>
      </c>
    </row>
    <row r="632">
      <c r="A632" s="3" t="s">
        <v>3274</v>
      </c>
      <c r="B632" s="3" t="s">
        <v>377</v>
      </c>
      <c r="C632" s="3" t="s">
        <v>1905</v>
      </c>
      <c r="D632" s="3" t="s">
        <v>1964</v>
      </c>
      <c r="E632" s="3" t="s">
        <v>3275</v>
      </c>
      <c r="F632" s="3" t="s">
        <v>1880</v>
      </c>
      <c r="G632" s="3" t="s">
        <v>1903</v>
      </c>
      <c r="H632" s="5">
        <f t="shared" si="139"/>
        <v>45987</v>
      </c>
      <c r="I632" t="str">
        <f t="shared" si="140"/>
        <v>АРТ-079</v>
      </c>
      <c r="J632" s="6">
        <f t="shared" si="141"/>
        <v>1</v>
      </c>
      <c r="K632" s="4">
        <f>VALUE(SUBSTITUTE(SUBSTITUTE(SUBSTITUTE(SUBSTITUTE(D632,"$",""),"€",""),"₽","")," ",""))*IF(ISNUMBER(FIND("$",D632)),Справочники!$H$3,IF(ISNUMBER(FIND("€",D632)),Справочники!$H$4,1))</f>
        <v>9025</v>
      </c>
      <c r="L632" t="str">
        <f>IFERROR(VLOOKUP(TRIM(G632),Справочники!$D$3:$E$13,2,0),"Нет в справочнике")</f>
        <v>Завершен</v>
      </c>
      <c r="M632" t="str">
        <f t="shared" si="142"/>
        <v/>
      </c>
      <c r="N632" t="str">
        <f>IFERROR(VLOOKUP(I632,Товары_очищенные!$H$2:$J$502,3,0),"Нет в каталоге")</f>
        <v>Планшеты</v>
      </c>
      <c r="O632" s="4">
        <f>IFERROR(VLOOKUP(I632,Товары_очищенные!$H$2:$M$502,6,0),"")</f>
        <v>45999</v>
      </c>
      <c r="P632" t="str">
        <f t="shared" si="143"/>
        <v xml:space="preserve">Цена отличается от каталога</v>
      </c>
    </row>
    <row r="633">
      <c r="A633" s="3" t="s">
        <v>3274</v>
      </c>
      <c r="B633" s="3" t="s">
        <v>3276</v>
      </c>
      <c r="C633" s="3" t="s">
        <v>1900</v>
      </c>
      <c r="D633" s="3" t="s">
        <v>1968</v>
      </c>
      <c r="E633" s="3" t="s">
        <v>3277</v>
      </c>
      <c r="F633" s="3" t="s">
        <v>1636</v>
      </c>
      <c r="G633" s="3" t="s">
        <v>1924</v>
      </c>
      <c r="H633" s="5">
        <f t="shared" si="139"/>
        <v>45987</v>
      </c>
      <c r="I633" t="str">
        <f t="shared" si="140"/>
        <v>АРТ-465</v>
      </c>
      <c r="J633" s="6">
        <f t="shared" si="141"/>
        <v>2</v>
      </c>
      <c r="K633" s="4">
        <f>VALUE(SUBSTITUTE(SUBSTITUTE(SUBSTITUTE(SUBSTITUTE(D633,"$",""),"€",""),"₽","")," ",""))*IF(ISNUMBER(FIND("$",D633)),Справочники!$H$3,IF(ISNUMBER(FIND("€",D633)),Справочники!$H$4,1))</f>
        <v>7500</v>
      </c>
      <c r="L633" t="str">
        <f>IFERROR(VLOOKUP(TRIM(G633),Справочники!$D$3:$E$13,2,0),"Нет в справочнике")</f>
        <v>Отменен</v>
      </c>
      <c r="M633" t="str">
        <f t="shared" si="142"/>
        <v/>
      </c>
      <c r="N633" t="str">
        <f>IFERROR(VLOOKUP(I633,Товары_очищенные!$H$2:$J$502,3,0),"Нет в каталоге")</f>
        <v>Планшеты</v>
      </c>
      <c r="O633" s="4">
        <f>IFERROR(VLOOKUP(I633,Товары_очищенные!$H$2:$M$502,6,0),"")</f>
        <v>31500</v>
      </c>
      <c r="P633" t="str">
        <f t="shared" si="143"/>
        <v xml:space="preserve">Цена отличается от каталога</v>
      </c>
    </row>
    <row r="634">
      <c r="A634" s="3" t="s">
        <v>3278</v>
      </c>
      <c r="B634" s="3" t="s">
        <v>3279</v>
      </c>
      <c r="C634" s="3" t="s">
        <v>1910</v>
      </c>
      <c r="D634" s="3" t="s">
        <v>1971</v>
      </c>
      <c r="E634" s="3" t="s">
        <v>3280</v>
      </c>
      <c r="F634" s="3" t="s">
        <v>1740</v>
      </c>
      <c r="G634" s="3" t="s">
        <v>1918</v>
      </c>
      <c r="H634" s="5">
        <f t="shared" si="139"/>
        <v>45988</v>
      </c>
      <c r="I634" t="str">
        <f t="shared" si="140"/>
        <v>АРТ-365</v>
      </c>
      <c r="J634" s="6">
        <f t="shared" si="141"/>
        <v>3</v>
      </c>
      <c r="K634" s="4">
        <f>VALUE(SUBSTITUTE(SUBSTITUTE(SUBSTITUTE(SUBSTITUTE(D634,"$",""),"€",""),"₽","")," ",""))*IF(ISNUMBER(FIND("$",D634)),Справочники!$H$3,IF(ISNUMBER(FIND("€",D634)),Справочники!$H$4,1))</f>
        <v>7000</v>
      </c>
      <c r="L634" t="str">
        <f>IFERROR(VLOOKUP(TRIM(G634),Справочники!$D$3:$E$13,2,0),"Нет в справочнике")</f>
        <v>Отменен</v>
      </c>
      <c r="M634" t="str">
        <f t="shared" si="142"/>
        <v/>
      </c>
      <c r="N634" t="str">
        <f>IFERROR(VLOOKUP(I634,Товары_очищенные!$H$2:$J$502,3,0),"Нет в каталоге")</f>
        <v>Телевизоры</v>
      </c>
      <c r="O634" s="4">
        <f>IFERROR(VLOOKUP(I634,Товары_очищенные!$H$2:$M$502,6,0),"")</f>
        <v>137000</v>
      </c>
      <c r="P634" t="str">
        <f t="shared" si="143"/>
        <v xml:space="preserve">Цена отличается от каталога</v>
      </c>
    </row>
    <row r="635">
      <c r="A635" s="3" t="s">
        <v>3278</v>
      </c>
      <c r="B635" s="3" t="s">
        <v>832</v>
      </c>
      <c r="C635" s="3" t="s">
        <v>1942</v>
      </c>
      <c r="D635" s="3" t="s">
        <v>1943</v>
      </c>
      <c r="E635" s="3" t="s">
        <v>3281</v>
      </c>
      <c r="F635" s="3" t="s">
        <v>1682</v>
      </c>
      <c r="G635" s="3" t="s">
        <v>1927</v>
      </c>
      <c r="H635" s="5">
        <f t="shared" si="139"/>
        <v>45988</v>
      </c>
      <c r="I635" t="str">
        <f t="shared" si="140"/>
        <v>АРТ-208</v>
      </c>
      <c r="J635" s="6">
        <f t="shared" si="141"/>
        <v>-2</v>
      </c>
      <c r="K635" s="4">
        <f>VALUE(SUBSTITUTE(SUBSTITUTE(SUBSTITUTE(SUBSTITUTE(D635,"$",""),"€",""),"₽","")," ",""))*IF(ISNUMBER(FIND("$",D635)),Справочники!$H$3,IF(ISNUMBER(FIND("€",D635)),Справочники!$H$4,1))</f>
        <v>10925</v>
      </c>
      <c r="L635" t="str">
        <f>IFERROR(VLOOKUP(TRIM(G635),Справочники!$D$3:$E$13,2,0),"Нет в справочнике")</f>
        <v>Возврат</v>
      </c>
      <c r="M635" t="str">
        <f t="shared" si="142"/>
        <v/>
      </c>
      <c r="N635" t="str">
        <f>IFERROR(VLOOKUP(I635,Товары_очищенные!$H$2:$J$502,3,0),"Нет в каталоге")</f>
        <v>Аксессуары</v>
      </c>
      <c r="O635" s="4">
        <f>IFERROR(VLOOKUP(I635,Товары_очищенные!$H$2:$M$502,6,0),"")</f>
        <v>10990</v>
      </c>
      <c r="P635" t="str">
        <f t="shared" si="143"/>
        <v>ОК</v>
      </c>
    </row>
    <row r="636">
      <c r="A636" s="3" t="s">
        <v>3282</v>
      </c>
      <c r="B636" s="3" t="s">
        <v>2761</v>
      </c>
      <c r="C636" s="3" t="s">
        <v>1905</v>
      </c>
      <c r="D636" s="3" t="s">
        <v>1934</v>
      </c>
      <c r="E636" s="3" t="s">
        <v>3283</v>
      </c>
      <c r="F636" s="3" t="s">
        <v>1820</v>
      </c>
      <c r="G636" s="3" t="s">
        <v>1903</v>
      </c>
      <c r="H636" s="5">
        <f t="shared" si="139"/>
        <v>45989</v>
      </c>
      <c r="I636" t="str">
        <f t="shared" si="140"/>
        <v>АРТ-364</v>
      </c>
      <c r="J636" s="6">
        <f t="shared" si="141"/>
        <v>1</v>
      </c>
      <c r="K636" s="4">
        <f>VALUE(SUBSTITUTE(SUBSTITUTE(SUBSTITUTE(SUBSTITUTE(D636,"$",""),"€",""),"₽","")," ",""))*IF(ISNUMBER(FIND("$",D636)),Справочники!$H$3,IF(ISNUMBER(FIND("€",D636)),Справочники!$H$4,1))</f>
        <v>9500</v>
      </c>
      <c r="L636" t="str">
        <f>IFERROR(VLOOKUP(TRIM(G636),Справочники!$D$3:$E$13,2,0),"Нет в справочнике")</f>
        <v>Завершен</v>
      </c>
      <c r="M636" t="str">
        <f t="shared" si="142"/>
        <v/>
      </c>
      <c r="N636" t="str">
        <f>IFERROR(VLOOKUP(I636,Товары_очищенные!$H$2:$J$502,3,0),"Нет в каталоге")</f>
        <v>Телевизоры</v>
      </c>
      <c r="O636" s="4">
        <f>IFERROR(VLOOKUP(I636,Товары_очищенные!$H$2:$M$502,6,0),"")</f>
        <v>139990</v>
      </c>
      <c r="P636" t="str">
        <f t="shared" si="143"/>
        <v xml:space="preserve">Цена отличается от каталога</v>
      </c>
    </row>
    <row r="637">
      <c r="A637" s="3" t="s">
        <v>3282</v>
      </c>
      <c r="B637" s="3" t="s">
        <v>2633</v>
      </c>
      <c r="C637" s="3" t="s">
        <v>1900</v>
      </c>
      <c r="D637" s="3" t="s">
        <v>1951</v>
      </c>
      <c r="E637" s="3" t="s">
        <v>3284</v>
      </c>
      <c r="F637" s="3" t="s">
        <v>1580</v>
      </c>
      <c r="G637" s="3" t="s">
        <v>1908</v>
      </c>
      <c r="H637" s="5">
        <f t="shared" si="139"/>
        <v>45989</v>
      </c>
      <c r="I637" t="str">
        <f t="shared" si="140"/>
        <v>АРТ-263</v>
      </c>
      <c r="J637" s="6">
        <f t="shared" si="141"/>
        <v>2</v>
      </c>
      <c r="K637" s="4">
        <f>VALUE(SUBSTITUTE(SUBSTITUTE(SUBSTITUTE(SUBSTITUTE(D637,"$",""),"€",""),"₽","")," ",""))*IF(ISNUMBER(FIND("$",D637)),Справочники!$H$3,IF(ISNUMBER(FIND("€",D637)),Справочники!$H$4,1))</f>
        <v>8500</v>
      </c>
      <c r="L637" t="str">
        <f>IFERROR(VLOOKUP(TRIM(G637),Справочники!$D$3:$E$13,2,0),"Нет в справочнике")</f>
        <v>Завершен</v>
      </c>
      <c r="M637" t="str">
        <f t="shared" si="142"/>
        <v/>
      </c>
      <c r="N637" t="str">
        <f>IFERROR(VLOOKUP(I637,Товары_очищенные!$H$2:$J$502,3,0),"Нет в каталоге")</f>
        <v>Наушники</v>
      </c>
      <c r="O637" s="4">
        <f>IFERROR(VLOOKUP(I637,Товары_очищенные!$H$2:$M$502,6,0),"")</f>
        <v>11000</v>
      </c>
      <c r="P637" t="str">
        <f t="shared" si="143"/>
        <v xml:space="preserve">Цена отличается от каталога</v>
      </c>
    </row>
    <row r="638">
      <c r="A638" s="3" t="s">
        <v>3285</v>
      </c>
      <c r="B638" s="3" t="s">
        <v>3286</v>
      </c>
      <c r="C638" s="3" t="s">
        <v>1930</v>
      </c>
      <c r="D638" s="3" t="s">
        <v>1931</v>
      </c>
      <c r="E638" s="3" t="s">
        <v>3287</v>
      </c>
      <c r="F638" s="3" t="s">
        <v>1727</v>
      </c>
      <c r="G638" s="3" t="s">
        <v>1913</v>
      </c>
      <c r="H638" s="5">
        <f t="shared" si="139"/>
        <v>45990</v>
      </c>
      <c r="I638" t="str">
        <f t="shared" si="140"/>
        <v>АРТ-150</v>
      </c>
      <c r="J638" s="6">
        <f t="shared" si="141"/>
        <v>3</v>
      </c>
      <c r="K638" s="4">
        <f>VALUE(SUBSTITUTE(SUBSTITUTE(SUBSTITUTE(SUBSTITUTE(D638,"$",""),"€",""),"₽","")," ",""))*IF(ISNUMBER(FIND("$",D638)),Справочники!$H$3,IF(ISNUMBER(FIND("€",D638)),Справочники!$H$4,1))</f>
        <v>9975</v>
      </c>
      <c r="L638" t="str">
        <f>IFERROR(VLOOKUP(TRIM(G638),Справочники!$D$3:$E$13,2,0),"Нет в справочнике")</f>
        <v>Завершен</v>
      </c>
      <c r="M638" t="str">
        <f t="shared" si="142"/>
        <v/>
      </c>
      <c r="N638" t="str">
        <f>IFERROR(VLOOKUP(I638,Товары_очищенные!$H$2:$J$502,3,0),"Нет в каталоге")</f>
        <v>Ноутбуки</v>
      </c>
      <c r="O638" s="4">
        <f>IFERROR(VLOOKUP(I638,Товары_очищенные!$H$2:$M$502,6,0),"")</f>
        <v>142500</v>
      </c>
      <c r="P638" t="str">
        <f t="shared" si="143"/>
        <v xml:space="preserve">Цена отличается от каталога</v>
      </c>
    </row>
    <row r="639">
      <c r="A639" s="3" t="s">
        <v>3285</v>
      </c>
      <c r="B639" s="3" t="s">
        <v>1536</v>
      </c>
      <c r="C639" s="3" t="s">
        <v>1900</v>
      </c>
      <c r="D639" s="3" t="s">
        <v>1906</v>
      </c>
      <c r="E639" s="3" t="s">
        <v>3288</v>
      </c>
      <c r="F639" s="3" t="s">
        <v>1629</v>
      </c>
      <c r="G639" s="3" t="s">
        <v>1918</v>
      </c>
      <c r="H639" s="5">
        <f t="shared" si="139"/>
        <v>45990</v>
      </c>
      <c r="I639" t="str">
        <f t="shared" si="140"/>
        <v>АРТ-494</v>
      </c>
      <c r="J639" s="6">
        <f t="shared" si="141"/>
        <v>2</v>
      </c>
      <c r="K639" s="4">
        <f>VALUE(SUBSTITUTE(SUBSTITUTE(SUBSTITUTE(SUBSTITUTE(D639,"$",""),"€",""),"₽","")," ",""))*IF(ISNUMBER(FIND("$",D639)),Справочники!$H$3,IF(ISNUMBER(FIND("€",D639)),Справочники!$H$4,1))</f>
        <v>8500</v>
      </c>
      <c r="L639" t="str">
        <f>IFERROR(VLOOKUP(TRIM(G639),Справочники!$D$3:$E$13,2,0),"Нет в справочнике")</f>
        <v>Отменен</v>
      </c>
      <c r="M639" t="str">
        <f t="shared" si="142"/>
        <v/>
      </c>
      <c r="N639" t="str">
        <f>IFERROR(VLOOKUP(I639,Товары_очищенные!$H$2:$J$502,3,0),"Нет в каталоге")</f>
        <v>Наушники</v>
      </c>
      <c r="O639" s="4">
        <f>IFERROR(VLOOKUP(I639,Товары_очищенные!$H$2:$M$502,6,0),"")</f>
        <v>14000</v>
      </c>
      <c r="P639" t="str">
        <f t="shared" si="143"/>
        <v xml:space="preserve">Цена отличается от каталога</v>
      </c>
    </row>
    <row r="640">
      <c r="A640" s="3" t="s">
        <v>3289</v>
      </c>
      <c r="B640" s="3" t="s">
        <v>1135</v>
      </c>
      <c r="C640" s="3" t="s">
        <v>1938</v>
      </c>
      <c r="D640" s="3" t="s">
        <v>2166</v>
      </c>
      <c r="E640" s="3" t="s">
        <v>3290</v>
      </c>
      <c r="F640" s="3" t="s">
        <v>1778</v>
      </c>
      <c r="G640" s="3" t="s">
        <v>1924</v>
      </c>
      <c r="H640" s="5">
        <f t="shared" si="139"/>
        <v>45991</v>
      </c>
      <c r="I640" t="str">
        <f t="shared" si="140"/>
        <v>АРТ-315</v>
      </c>
      <c r="J640" s="6">
        <f t="shared" si="141"/>
        <v>1</v>
      </c>
      <c r="K640" s="4">
        <f>VALUE(SUBSTITUTE(SUBSTITUTE(SUBSTITUTE(SUBSTITUTE(D640,"$",""),"€",""),"₽","")," ",""))*IF(ISNUMBER(FIND("$",D640)),Справочники!$H$3,IF(ISNUMBER(FIND("€",D640)),Справочники!$H$4,1))</f>
        <v>7800</v>
      </c>
      <c r="L640" t="str">
        <f>IFERROR(VLOOKUP(TRIM(G640),Справочники!$D$3:$E$13,2,0),"Нет в справочнике")</f>
        <v>Отменен</v>
      </c>
      <c r="M640" t="str">
        <f t="shared" si="142"/>
        <v/>
      </c>
      <c r="N640" t="str">
        <f>IFERROR(VLOOKUP(I640,Товары_очищенные!$H$2:$J$502,3,0),"Нет в каталоге")</f>
        <v>Смартфоны</v>
      </c>
      <c r="O640" s="4">
        <f>IFERROR(VLOOKUP(I640,Товары_очищенные!$H$2:$M$502,6,0),"")</f>
        <v>72000</v>
      </c>
      <c r="P640" t="str">
        <f t="shared" si="143"/>
        <v xml:space="preserve">Цена отличается от каталога</v>
      </c>
    </row>
    <row r="641">
      <c r="A641" s="3" t="s">
        <v>3289</v>
      </c>
      <c r="B641" s="3" t="s">
        <v>3291</v>
      </c>
      <c r="C641" s="3" t="s">
        <v>1985</v>
      </c>
      <c r="D641" s="3" t="s">
        <v>2044</v>
      </c>
      <c r="E641" s="3" t="s">
        <v>3292</v>
      </c>
      <c r="F641" s="3" t="s">
        <v>1862</v>
      </c>
      <c r="G641" s="3" t="s">
        <v>1903</v>
      </c>
      <c r="H641" s="5">
        <f t="shared" si="139"/>
        <v>45991</v>
      </c>
      <c r="I641" t="str">
        <f t="shared" si="140"/>
        <v>АРТ-411</v>
      </c>
      <c r="J641" s="6">
        <f t="shared" si="141"/>
        <v>-3</v>
      </c>
      <c r="K641" s="4">
        <f>VALUE(SUBSTITUTE(SUBSTITUTE(SUBSTITUTE(SUBSTITUTE(D641,"$",""),"€",""),"₽","")," ",""))*IF(ISNUMBER(FIND("$",D641)),Справочники!$H$3,IF(ISNUMBER(FIND("€",D641)),Справочники!$H$4,1))</f>
        <v>11400</v>
      </c>
      <c r="L641" t="str">
        <f>IFERROR(VLOOKUP(TRIM(G641),Справочники!$D$3:$E$13,2,0),"Нет в справочнике")</f>
        <v>Завершен</v>
      </c>
      <c r="M641" t="str">
        <f t="shared" si="142"/>
        <v/>
      </c>
      <c r="N641" t="str">
        <f>IFERROR(VLOOKUP(I641,Товары_очищенные!$H$2:$J$502,3,0),"Нет в каталоге")</f>
        <v>Наушники</v>
      </c>
      <c r="O641" s="4">
        <f>IFERROR(VLOOKUP(I641,Товары_очищенные!$H$2:$M$502,6,0),"")</f>
        <v>41500</v>
      </c>
      <c r="P641" t="str">
        <f t="shared" si="143"/>
        <v xml:space="preserve">Цена отличается от каталога</v>
      </c>
    </row>
    <row r="642">
      <c r="A642" s="3" t="s">
        <v>3293</v>
      </c>
      <c r="B642" s="3" t="s">
        <v>2007</v>
      </c>
      <c r="C642" s="3" t="s">
        <v>1900</v>
      </c>
      <c r="D642" s="3" t="s">
        <v>2046</v>
      </c>
      <c r="E642" s="3" t="s">
        <v>3294</v>
      </c>
      <c r="F642" s="3" t="s">
        <v>1695</v>
      </c>
      <c r="G642" s="3" t="s">
        <v>1927</v>
      </c>
      <c r="H642" s="5">
        <f t="shared" si="139"/>
        <v>45992</v>
      </c>
      <c r="I642" t="str">
        <f t="shared" si="140"/>
        <v>АРТ-321</v>
      </c>
      <c r="J642" s="6">
        <f t="shared" si="141"/>
        <v>2</v>
      </c>
      <c r="K642" s="4">
        <f>VALUE(SUBSTITUTE(SUBSTITUTE(SUBSTITUTE(SUBSTITUTE(D642,"$",""),"€",""),"₽","")," ",""))*IF(ISNUMBER(FIND("$",D642)),Справочники!$H$3,IF(ISNUMBER(FIND("€",D642)),Справочники!$H$4,1))</f>
        <v>10000</v>
      </c>
      <c r="L642" t="str">
        <f>IFERROR(VLOOKUP(TRIM(G642),Справочники!$D$3:$E$13,2,0),"Нет в справочнике")</f>
        <v>Возврат</v>
      </c>
      <c r="M642" t="str">
        <f t="shared" si="142"/>
        <v/>
      </c>
      <c r="N642" t="str">
        <f>IFERROR(VLOOKUP(I642,Товары_очищенные!$H$2:$J$502,3,0),"Нет в каталоге")</f>
        <v>Телевизоры</v>
      </c>
      <c r="O642" s="4">
        <f>IFERROR(VLOOKUP(I642,Товары_очищенные!$H$2:$M$502,6,0),"")</f>
        <v>188000</v>
      </c>
      <c r="P642" t="str">
        <f t="shared" si="143"/>
        <v xml:space="preserve">Цена отличается от каталога</v>
      </c>
    </row>
    <row r="643">
      <c r="A643" s="3" t="s">
        <v>3293</v>
      </c>
      <c r="B643" s="3" t="s">
        <v>3295</v>
      </c>
      <c r="C643" s="3" t="s">
        <v>1905</v>
      </c>
      <c r="D643" s="3" t="s">
        <v>2087</v>
      </c>
      <c r="E643" s="3" t="s">
        <v>3296</v>
      </c>
      <c r="F643" s="3" t="s">
        <v>1573</v>
      </c>
      <c r="G643" s="3" t="s">
        <v>1908</v>
      </c>
      <c r="H643" s="5">
        <f t="shared" si="139"/>
        <v>45992</v>
      </c>
      <c r="I643" t="str">
        <f t="shared" si="140"/>
        <v>АРТ-155</v>
      </c>
      <c r="J643" s="6">
        <f t="shared" si="141"/>
        <v>1</v>
      </c>
      <c r="K643" s="4">
        <f>VALUE(SUBSTITUTE(SUBSTITUTE(SUBSTITUTE(SUBSTITUTE(D643,"$",""),"€",""),"₽","")," ",""))*IF(ISNUMBER(FIND("$",D643)),Справочники!$H$3,IF(ISNUMBER(FIND("€",D643)),Справочники!$H$4,1))</f>
        <v>9200</v>
      </c>
      <c r="L643" t="str">
        <f>IFERROR(VLOOKUP(TRIM(G643),Справочники!$D$3:$E$13,2,0),"Нет в справочнике")</f>
        <v>Завершен</v>
      </c>
      <c r="M643" t="str">
        <f t="shared" si="142"/>
        <v/>
      </c>
      <c r="N643" t="str">
        <f>IFERROR(VLOOKUP(I643,Товары_очищенные!$H$2:$J$502,3,0),"Нет в каталоге")</f>
        <v>Наушники</v>
      </c>
      <c r="O643" s="4">
        <f>IFERROR(VLOOKUP(I643,Товары_очищенные!$H$2:$M$502,6,0),"")</f>
        <v>16000</v>
      </c>
      <c r="P643" t="str">
        <f t="shared" si="143"/>
        <v xml:space="preserve">Цена отличается от каталога</v>
      </c>
    </row>
    <row r="644">
      <c r="A644" s="3" t="s">
        <v>3297</v>
      </c>
      <c r="B644" s="3" t="s">
        <v>3298</v>
      </c>
      <c r="C644" s="3" t="s">
        <v>1930</v>
      </c>
      <c r="D644" s="3" t="s">
        <v>1986</v>
      </c>
      <c r="E644" s="3" t="s">
        <v>3299</v>
      </c>
      <c r="F644" s="3" t="s">
        <v>1808</v>
      </c>
      <c r="G644" s="3" t="s">
        <v>1913</v>
      </c>
      <c r="H644" s="5">
        <f t="shared" si="139"/>
        <v>45993</v>
      </c>
      <c r="I644" t="str">
        <f t="shared" si="140"/>
        <v>АРТ-056</v>
      </c>
      <c r="J644" s="6">
        <f t="shared" si="141"/>
        <v>3</v>
      </c>
      <c r="K644" s="4">
        <f>VALUE(SUBSTITUTE(SUBSTITUTE(SUBSTITUTE(SUBSTITUTE(D644,"$",""),"€",""),"₽","")," ",""))*IF(ISNUMBER(FIND("$",D644)),Справочники!$H$3,IF(ISNUMBER(FIND("€",D644)),Справочники!$H$4,1))</f>
        <v>8550</v>
      </c>
      <c r="L644" t="str">
        <f>IFERROR(VLOOKUP(TRIM(G644),Справочники!$D$3:$E$13,2,0),"Нет в справочнике")</f>
        <v>Завершен</v>
      </c>
      <c r="M644" t="str">
        <f t="shared" si="142"/>
        <v/>
      </c>
      <c r="N644" t="str">
        <f>IFERROR(VLOOKUP(I644,Товары_очищенные!$H$2:$J$502,3,0),"Нет в каталоге")</f>
        <v>Аксессуары</v>
      </c>
      <c r="O644" s="4">
        <f>IFERROR(VLOOKUP(I644,Товары_очищенные!$H$2:$M$502,6,0),"")</f>
        <v>10500</v>
      </c>
      <c r="P644" t="str">
        <f t="shared" si="143"/>
        <v>ОК</v>
      </c>
    </row>
    <row r="645">
      <c r="A645" s="3" t="s">
        <v>3297</v>
      </c>
      <c r="B645" s="3" t="s">
        <v>2075</v>
      </c>
      <c r="C645" s="3" t="s">
        <v>1900</v>
      </c>
      <c r="D645" s="3" t="s">
        <v>1989</v>
      </c>
      <c r="E645" s="3" t="s">
        <v>3300</v>
      </c>
      <c r="F645" s="3" t="s">
        <v>1670</v>
      </c>
      <c r="G645" s="3" t="s">
        <v>1903</v>
      </c>
      <c r="H645" s="5">
        <f t="shared" si="139"/>
        <v>45993</v>
      </c>
      <c r="I645" t="str">
        <f t="shared" si="140"/>
        <v>АРТ-492</v>
      </c>
      <c r="J645" s="6">
        <f t="shared" si="141"/>
        <v>2</v>
      </c>
      <c r="K645" s="4">
        <f>VALUE(SUBSTITUTE(SUBSTITUTE(SUBSTITUTE(SUBSTITUTE(D645,"$",""),"€",""),"₽","")," ",""))*IF(ISNUMBER(FIND("$",D645)),Справочники!$H$3,IF(ISNUMBER(FIND("€",D645)),Справочники!$H$4,1))</f>
        <v>7000</v>
      </c>
      <c r="L645" t="str">
        <f>IFERROR(VLOOKUP(TRIM(G645),Справочники!$D$3:$E$13,2,0),"Нет в справочнике")</f>
        <v>Завершен</v>
      </c>
      <c r="M645" t="str">
        <f t="shared" si="142"/>
        <v/>
      </c>
      <c r="N645" t="str">
        <f>IFERROR(VLOOKUP(I645,Товары_очищенные!$H$2:$J$502,3,0),"Нет в каталоге")</f>
        <v>Телевизоры</v>
      </c>
      <c r="O645" s="4">
        <f>IFERROR(VLOOKUP(I645,Товары_очищенные!$H$2:$M$502,6,0),"")</f>
        <v>64000</v>
      </c>
      <c r="P645" t="str">
        <f t="shared" si="143"/>
        <v xml:space="preserve">Цена отличается от каталога</v>
      </c>
    </row>
    <row r="646">
      <c r="A646" s="3" t="s">
        <v>3301</v>
      </c>
      <c r="B646" s="3" t="s">
        <v>3302</v>
      </c>
      <c r="C646" s="3" t="s">
        <v>1938</v>
      </c>
      <c r="D646" s="3" t="s">
        <v>1939</v>
      </c>
      <c r="E646" s="3" t="s">
        <v>3303</v>
      </c>
      <c r="F646" s="3" t="s">
        <v>1752</v>
      </c>
      <c r="G646" s="3" t="s">
        <v>1924</v>
      </c>
      <c r="H646" s="5">
        <f t="shared" si="139"/>
        <v>45994</v>
      </c>
      <c r="I646" t="str">
        <f t="shared" si="140"/>
        <v>АРТ-300</v>
      </c>
      <c r="J646" s="6">
        <f t="shared" si="141"/>
        <v>1</v>
      </c>
      <c r="K646" s="4">
        <f>VALUE(SUBSTITUTE(SUBSTITUTE(SUBSTITUTE(SUBSTITUTE(D646,"$",""),"€",""),"₽","")," ",""))*IF(ISNUMBER(FIND("$",D646)),Справочники!$H$3,IF(ISNUMBER(FIND("€",D646)),Справочники!$H$4,1))</f>
        <v>6500</v>
      </c>
      <c r="L646" t="str">
        <f>IFERROR(VLOOKUP(TRIM(G646),Справочники!$D$3:$E$13,2,0),"Нет в справочнике")</f>
        <v>Отменен</v>
      </c>
      <c r="M646" t="str">
        <f t="shared" si="142"/>
        <v/>
      </c>
      <c r="N646" t="str">
        <f>IFERROR(VLOOKUP(I646,Товары_очищенные!$H$2:$J$502,3,0),"Нет в каталоге")</f>
        <v>Телевизоры</v>
      </c>
      <c r="O646" s="4">
        <f>IFERROR(VLOOKUP(I646,Товары_очищенные!$H$2:$M$502,6,0),"")</f>
        <v>68000</v>
      </c>
      <c r="P646" t="str">
        <f t="shared" si="143"/>
        <v xml:space="preserve">Цена отличается от каталога</v>
      </c>
    </row>
    <row r="647">
      <c r="A647" s="3" t="s">
        <v>3301</v>
      </c>
      <c r="B647" s="3" t="s">
        <v>1312</v>
      </c>
      <c r="C647" s="3" t="s">
        <v>1915</v>
      </c>
      <c r="D647" s="3" t="s">
        <v>1916</v>
      </c>
      <c r="E647" s="3" t="s">
        <v>3304</v>
      </c>
      <c r="F647" s="3" t="s">
        <v>1790</v>
      </c>
      <c r="G647" s="3" t="s">
        <v>1918</v>
      </c>
      <c r="H647" s="5">
        <f t="shared" si="139"/>
        <v>45994</v>
      </c>
      <c r="I647" t="str">
        <f t="shared" si="140"/>
        <v>АРТ-391</v>
      </c>
      <c r="J647" s="6">
        <f t="shared" si="141"/>
        <v>-1</v>
      </c>
      <c r="K647" s="4">
        <f>VALUE(SUBSTITUTE(SUBSTITUTE(SUBSTITUTE(SUBSTITUTE(D647,"$",""),"€",""),"₽","")," ",""))*IF(ISNUMBER(FIND("$",D647)),Справочники!$H$3,IF(ISNUMBER(FIND("€",D647)),Справочники!$H$4,1))</f>
        <v>10450</v>
      </c>
      <c r="L647" t="str">
        <f>IFERROR(VLOOKUP(TRIM(G647),Справочники!$D$3:$E$13,2,0),"Нет в справочнике")</f>
        <v>Отменен</v>
      </c>
      <c r="M647" t="str">
        <f t="shared" si="142"/>
        <v/>
      </c>
      <c r="N647" t="str">
        <f>IFERROR(VLOOKUP(I647,Товары_очищенные!$H$2:$J$502,3,0),"Нет в каталоге")</f>
        <v>Наушники</v>
      </c>
      <c r="O647" s="4">
        <f>IFERROR(VLOOKUP(I647,Товары_очищенные!$H$2:$M$502,6,0),"")</f>
        <v>18990</v>
      </c>
      <c r="P647" t="str">
        <f t="shared" si="143"/>
        <v xml:space="preserve">Цена отличается от каталога</v>
      </c>
    </row>
    <row r="648">
      <c r="A648" s="3" t="s">
        <v>3305</v>
      </c>
      <c r="B648" s="3" t="s">
        <v>2761</v>
      </c>
      <c r="C648" s="3" t="s">
        <v>1930</v>
      </c>
      <c r="D648" s="3" t="s">
        <v>1922</v>
      </c>
      <c r="E648" s="3" t="s">
        <v>3306</v>
      </c>
      <c r="F648" s="3" t="s">
        <v>1856</v>
      </c>
      <c r="G648" s="3" t="s">
        <v>1927</v>
      </c>
      <c r="H648" s="5">
        <f t="shared" si="139"/>
        <v>45995</v>
      </c>
      <c r="I648" t="str">
        <f t="shared" si="140"/>
        <v>АРТ-364</v>
      </c>
      <c r="J648" s="6">
        <f t="shared" si="141"/>
        <v>3</v>
      </c>
      <c r="K648" s="4">
        <f>VALUE(SUBSTITUTE(SUBSTITUTE(SUBSTITUTE(SUBSTITUTE(D648,"$",""),"€",""),"₽","")," ",""))*IF(ISNUMBER(FIND("$",D648)),Справочники!$H$3,IF(ISNUMBER(FIND("€",D648)),Справочники!$H$4,1))</f>
        <v>9000</v>
      </c>
      <c r="L648" t="str">
        <f>IFERROR(VLOOKUP(TRIM(G648),Справочники!$D$3:$E$13,2,0),"Нет в справочнике")</f>
        <v>Возврат</v>
      </c>
      <c r="M648" t="str">
        <f t="shared" si="142"/>
        <v/>
      </c>
      <c r="N648" t="str">
        <f>IFERROR(VLOOKUP(I648,Товары_очищенные!$H$2:$J$502,3,0),"Нет в каталоге")</f>
        <v>Телевизоры</v>
      </c>
      <c r="O648" s="4">
        <f>IFERROR(VLOOKUP(I648,Товары_очищенные!$H$2:$M$502,6,0),"")</f>
        <v>139990</v>
      </c>
      <c r="P648" t="str">
        <f t="shared" si="143"/>
        <v xml:space="preserve">Цена отличается от каталога</v>
      </c>
    </row>
    <row r="649">
      <c r="A649" s="3" t="s">
        <v>3305</v>
      </c>
      <c r="B649" s="3" t="s">
        <v>3307</v>
      </c>
      <c r="C649" s="3" t="s">
        <v>1900</v>
      </c>
      <c r="D649" s="3" t="s">
        <v>1925</v>
      </c>
      <c r="E649" s="3" t="s">
        <v>3308</v>
      </c>
      <c r="F649" s="3" t="s">
        <v>1708</v>
      </c>
      <c r="G649" s="3" t="s">
        <v>1903</v>
      </c>
      <c r="H649" s="5">
        <f t="shared" si="139"/>
        <v>45995</v>
      </c>
      <c r="I649" t="str">
        <f t="shared" si="140"/>
        <v>АРТ-233</v>
      </c>
      <c r="J649" s="6">
        <f t="shared" si="141"/>
        <v>2</v>
      </c>
      <c r="K649" s="4">
        <f>VALUE(SUBSTITUTE(SUBSTITUTE(SUBSTITUTE(SUBSTITUTE(D649,"$",""),"€",""),"₽","")," ",""))*IF(ISNUMBER(FIND("$",D649)),Справочники!$H$3,IF(ISNUMBER(FIND("€",D649)),Справочники!$H$4,1))</f>
        <v>8000</v>
      </c>
      <c r="L649" t="str">
        <f>IFERROR(VLOOKUP(TRIM(G649),Справочники!$D$3:$E$13,2,0),"Нет в справочнике")</f>
        <v>Завершен</v>
      </c>
      <c r="M649" t="str">
        <f t="shared" si="142"/>
        <v/>
      </c>
      <c r="N649" t="str">
        <f>IFERROR(VLOOKUP(I649,Товары_очищенные!$H$2:$J$502,3,0),"Нет в каталоге")</f>
        <v>Смартфоны</v>
      </c>
      <c r="O649" s="4">
        <f>IFERROR(VLOOKUP(I649,Товары_очищенные!$H$2:$M$502,6,0),"")</f>
        <v>41500</v>
      </c>
      <c r="P649" t="str">
        <f t="shared" si="143"/>
        <v xml:space="preserve">Цена отличается от каталога</v>
      </c>
    </row>
    <row r="650">
      <c r="A650" s="3" t="s">
        <v>3309</v>
      </c>
      <c r="B650" s="3" t="s">
        <v>3310</v>
      </c>
      <c r="C650" s="3" t="s">
        <v>1905</v>
      </c>
      <c r="D650" s="3" t="s">
        <v>1964</v>
      </c>
      <c r="E650" s="3" t="s">
        <v>3311</v>
      </c>
      <c r="F650" s="3" t="s">
        <v>1838</v>
      </c>
      <c r="G650" s="3" t="s">
        <v>1908</v>
      </c>
      <c r="H650" s="5">
        <f t="shared" si="139"/>
        <v>45996</v>
      </c>
      <c r="I650" t="str">
        <f t="shared" si="140"/>
        <v>АРТ-122</v>
      </c>
      <c r="J650" s="6">
        <f t="shared" si="141"/>
        <v>1</v>
      </c>
      <c r="K650" s="4">
        <f>VALUE(SUBSTITUTE(SUBSTITUTE(SUBSTITUTE(SUBSTITUTE(D650,"$",""),"€",""),"₽","")," ",""))*IF(ISNUMBER(FIND("$",D650)),Справочники!$H$3,IF(ISNUMBER(FIND("€",D650)),Справочники!$H$4,1))</f>
        <v>9025</v>
      </c>
      <c r="L650" t="str">
        <f>IFERROR(VLOOKUP(TRIM(G650),Справочники!$D$3:$E$13,2,0),"Нет в справочнике")</f>
        <v>Завершен</v>
      </c>
      <c r="M650" t="str">
        <f t="shared" si="142"/>
        <v/>
      </c>
      <c r="N650" t="str">
        <f>IFERROR(VLOOKUP(I650,Товары_очищенные!$H$2:$J$502,3,0),"Нет в каталоге")</f>
        <v>Часы</v>
      </c>
      <c r="O650" s="4">
        <f>IFERROR(VLOOKUP(I650,Товары_очищенные!$H$2:$M$502,6,0),"")</f>
        <v>82500</v>
      </c>
      <c r="P650" t="str">
        <f t="shared" si="143"/>
        <v xml:space="preserve">Цена отличается от каталога</v>
      </c>
    </row>
    <row r="651">
      <c r="A651" s="3" t="s">
        <v>3309</v>
      </c>
      <c r="B651" s="3" t="s">
        <v>2623</v>
      </c>
      <c r="C651" s="3" t="s">
        <v>1900</v>
      </c>
      <c r="D651" s="3" t="s">
        <v>1968</v>
      </c>
      <c r="E651" s="3" t="s">
        <v>3312</v>
      </c>
      <c r="F651" s="3" t="s">
        <v>1759</v>
      </c>
      <c r="G651" s="3" t="s">
        <v>1913</v>
      </c>
      <c r="H651" s="5">
        <f t="shared" si="139"/>
        <v>45996</v>
      </c>
      <c r="I651" t="str">
        <f t="shared" si="140"/>
        <v>АРТ-486</v>
      </c>
      <c r="J651" s="6">
        <f t="shared" si="141"/>
        <v>2</v>
      </c>
      <c r="K651" s="4">
        <f>VALUE(SUBSTITUTE(SUBSTITUTE(SUBSTITUTE(SUBSTITUTE(D651,"$",""),"€",""),"₽","")," ",""))*IF(ISNUMBER(FIND("$",D651)),Справочники!$H$3,IF(ISNUMBER(FIND("€",D651)),Справочники!$H$4,1))</f>
        <v>7500</v>
      </c>
      <c r="L651" t="str">
        <f>IFERROR(VLOOKUP(TRIM(G651),Справочники!$D$3:$E$13,2,0),"Нет в справочнике")</f>
        <v>Завершен</v>
      </c>
      <c r="M651" t="str">
        <f t="shared" si="142"/>
        <v/>
      </c>
      <c r="N651" t="str">
        <f>IFERROR(VLOOKUP(I651,Товары_очищенные!$H$2:$J$502,3,0),"Нет в каталоге")</f>
        <v>Смартфоны</v>
      </c>
      <c r="O651" s="4">
        <f>IFERROR(VLOOKUP(I651,Товары_очищенные!$H$2:$M$502,6,0),"")</f>
        <v>35500</v>
      </c>
      <c r="P651" t="str">
        <f t="shared" si="143"/>
        <v xml:space="preserve">Цена отличается от каталога</v>
      </c>
    </row>
    <row r="652">
      <c r="A652" s="3" t="s">
        <v>3313</v>
      </c>
      <c r="B652" s="3" t="s">
        <v>3314</v>
      </c>
      <c r="C652" s="3" t="s">
        <v>1910</v>
      </c>
      <c r="D652" s="3" t="s">
        <v>1971</v>
      </c>
      <c r="E652" s="3" t="s">
        <v>3315</v>
      </c>
      <c r="F652" s="3" t="s">
        <v>1642</v>
      </c>
      <c r="G652" s="3" t="s">
        <v>1918</v>
      </c>
      <c r="H652" s="5">
        <f t="shared" si="139"/>
        <v>45997</v>
      </c>
      <c r="I652" t="str">
        <f t="shared" si="140"/>
        <v>АРТ-367</v>
      </c>
      <c r="J652" s="6">
        <f t="shared" si="141"/>
        <v>3</v>
      </c>
      <c r="K652" s="4">
        <f>VALUE(SUBSTITUTE(SUBSTITUTE(SUBSTITUTE(SUBSTITUTE(D652,"$",""),"€",""),"₽","")," ",""))*IF(ISNUMBER(FIND("$",D652)),Справочники!$H$3,IF(ISNUMBER(FIND("€",D652)),Справочники!$H$4,1))</f>
        <v>7000</v>
      </c>
      <c r="L652" t="str">
        <f>IFERROR(VLOOKUP(TRIM(G652),Справочники!$D$3:$E$13,2,0),"Нет в справочнике")</f>
        <v>Отменен</v>
      </c>
      <c r="M652" t="str">
        <f t="shared" si="142"/>
        <v/>
      </c>
      <c r="N652" t="str">
        <f>IFERROR(VLOOKUP(I652,Товары_очищенные!$H$2:$J$502,3,0),"Нет в каталоге")</f>
        <v>Наушники</v>
      </c>
      <c r="O652" s="4">
        <f>IFERROR(VLOOKUP(I652,Товары_очищенные!$H$2:$M$502,6,0),"")</f>
        <v>19990</v>
      </c>
      <c r="P652" t="str">
        <f t="shared" si="143"/>
        <v xml:space="preserve">Цена отличается от каталога</v>
      </c>
    </row>
    <row r="653">
      <c r="A653" s="3" t="s">
        <v>3313</v>
      </c>
      <c r="B653" s="3" t="s">
        <v>795</v>
      </c>
      <c r="C653" s="3" t="s">
        <v>1942</v>
      </c>
      <c r="D653" s="3" t="s">
        <v>1943</v>
      </c>
      <c r="E653" s="3" t="s">
        <v>3316</v>
      </c>
      <c r="F653" s="3" t="s">
        <v>1608</v>
      </c>
      <c r="G653" s="3" t="s">
        <v>1924</v>
      </c>
      <c r="H653" s="5">
        <f t="shared" si="139"/>
        <v>45997</v>
      </c>
      <c r="I653" t="str">
        <f t="shared" si="140"/>
        <v>АРТ-196</v>
      </c>
      <c r="J653" s="6">
        <f t="shared" si="141"/>
        <v>-2</v>
      </c>
      <c r="K653" s="4">
        <f>VALUE(SUBSTITUTE(SUBSTITUTE(SUBSTITUTE(SUBSTITUTE(D653,"$",""),"€",""),"₽","")," ",""))*IF(ISNUMBER(FIND("$",D653)),Справочники!$H$3,IF(ISNUMBER(FIND("€",D653)),Справочники!$H$4,1))</f>
        <v>10925</v>
      </c>
      <c r="L653" t="str">
        <f>IFERROR(VLOOKUP(TRIM(G653),Справочники!$D$3:$E$13,2,0),"Нет в справочнике")</f>
        <v>Отменен</v>
      </c>
      <c r="M653" t="str">
        <f t="shared" si="142"/>
        <v/>
      </c>
      <c r="N653" t="str">
        <f>IFERROR(VLOOKUP(I653,Товары_очищенные!$H$2:$J$502,3,0),"Нет в каталоге")</f>
        <v>Смартфоны</v>
      </c>
      <c r="O653" s="4">
        <f>IFERROR(VLOOKUP(I653,Товары_очищенные!$H$2:$M$502,6,0),"")</f>
        <v>53990</v>
      </c>
      <c r="P653" t="str">
        <f t="shared" si="143"/>
        <v xml:space="preserve">Цена отличается от каталога</v>
      </c>
    </row>
    <row r="654">
      <c r="A654" s="3" t="s">
        <v>3317</v>
      </c>
      <c r="B654" s="3" t="s">
        <v>3318</v>
      </c>
      <c r="C654" s="3" t="s">
        <v>1905</v>
      </c>
      <c r="D654" s="3" t="s">
        <v>1934</v>
      </c>
      <c r="E654" s="3" t="s">
        <v>3319</v>
      </c>
      <c r="F654" s="3" t="s">
        <v>1715</v>
      </c>
      <c r="G654" s="3" t="s">
        <v>1903</v>
      </c>
      <c r="H654" s="5">
        <f t="shared" si="139"/>
        <v>45998</v>
      </c>
      <c r="I654" t="str">
        <f t="shared" si="140"/>
        <v>АРТ-385</v>
      </c>
      <c r="J654" s="6">
        <f t="shared" si="141"/>
        <v>1</v>
      </c>
      <c r="K654" s="4">
        <f>VALUE(SUBSTITUTE(SUBSTITUTE(SUBSTITUTE(SUBSTITUTE(D654,"$",""),"€",""),"₽","")," ",""))*IF(ISNUMBER(FIND("$",D654)),Справочники!$H$3,IF(ISNUMBER(FIND("€",D654)),Справочники!$H$4,1))</f>
        <v>9500</v>
      </c>
      <c r="L654" t="str">
        <f>IFERROR(VLOOKUP(TRIM(G654),Справочники!$D$3:$E$13,2,0),"Нет в справочнике")</f>
        <v>Завершен</v>
      </c>
      <c r="M654" t="str">
        <f t="shared" si="142"/>
        <v/>
      </c>
      <c r="N654" t="str">
        <f>IFERROR(VLOOKUP(I654,Товары_очищенные!$H$2:$J$502,3,0),"Нет в каталоге")</f>
        <v>Ноутбуки</v>
      </c>
      <c r="O654" s="4">
        <f>IFERROR(VLOOKUP(I654,Товары_очищенные!$H$2:$M$502,6,0),"")</f>
        <v>116990</v>
      </c>
      <c r="P654" t="str">
        <f t="shared" si="143"/>
        <v xml:space="preserve">Цена отличается от каталога</v>
      </c>
    </row>
    <row r="655">
      <c r="A655" s="3" t="s">
        <v>3317</v>
      </c>
      <c r="B655" s="3" t="s">
        <v>3320</v>
      </c>
      <c r="C655" s="3" t="s">
        <v>1900</v>
      </c>
      <c r="D655" s="3" t="s">
        <v>1951</v>
      </c>
      <c r="E655" s="3" t="s">
        <v>3321</v>
      </c>
      <c r="F655" s="3" t="s">
        <v>1850</v>
      </c>
      <c r="G655" s="3" t="s">
        <v>1927</v>
      </c>
      <c r="H655" s="5">
        <f t="shared" si="139"/>
        <v>45998</v>
      </c>
      <c r="I655" t="str">
        <f t="shared" si="140"/>
        <v>АРТ-242</v>
      </c>
      <c r="J655" s="6">
        <f t="shared" si="141"/>
        <v>2</v>
      </c>
      <c r="K655" s="4">
        <f>VALUE(SUBSTITUTE(SUBSTITUTE(SUBSTITUTE(SUBSTITUTE(D655,"$",""),"€",""),"₽","")," ",""))*IF(ISNUMBER(FIND("$",D655)),Справочники!$H$3,IF(ISNUMBER(FIND("€",D655)),Справочники!$H$4,1))</f>
        <v>8500</v>
      </c>
      <c r="L655" t="str">
        <f>IFERROR(VLOOKUP(TRIM(G655),Справочники!$D$3:$E$13,2,0),"Нет в справочнике")</f>
        <v>Возврат</v>
      </c>
      <c r="M655" t="str">
        <f t="shared" si="142"/>
        <v/>
      </c>
      <c r="N655" t="str">
        <f>IFERROR(VLOOKUP(I655,Товары_очищенные!$H$2:$J$502,3,0),"Нет в каталоге")</f>
        <v>Наушники</v>
      </c>
      <c r="O655" s="4">
        <f>IFERROR(VLOOKUP(I655,Товары_очищенные!$H$2:$M$502,6,0),"")</f>
        <v>58000</v>
      </c>
      <c r="P655" t="str">
        <f t="shared" si="143"/>
        <v xml:space="preserve">Цена отличается от каталога</v>
      </c>
    </row>
    <row r="656">
      <c r="A656" s="3" t="s">
        <v>3322</v>
      </c>
      <c r="B656" s="3" t="s">
        <v>3323</v>
      </c>
      <c r="C656" s="3" t="s">
        <v>1930</v>
      </c>
      <c r="D656" s="3" t="s">
        <v>1931</v>
      </c>
      <c r="E656" s="3" t="s">
        <v>3324</v>
      </c>
      <c r="F656" s="3" t="s">
        <v>1615</v>
      </c>
      <c r="G656" s="3" t="s">
        <v>1908</v>
      </c>
      <c r="H656" s="5">
        <f t="shared" si="139"/>
        <v>45999</v>
      </c>
      <c r="I656" t="str">
        <f t="shared" si="140"/>
        <v>АРТ-089</v>
      </c>
      <c r="J656" s="6">
        <f t="shared" si="141"/>
        <v>3</v>
      </c>
      <c r="K656" s="4">
        <f>VALUE(SUBSTITUTE(SUBSTITUTE(SUBSTITUTE(SUBSTITUTE(D656,"$",""),"€",""),"₽","")," ",""))*IF(ISNUMBER(FIND("$",D656)),Справочники!$H$3,IF(ISNUMBER(FIND("€",D656)),Справочники!$H$4,1))</f>
        <v>9975</v>
      </c>
      <c r="L656" t="str">
        <f>IFERROR(VLOOKUP(TRIM(G656),Справочники!$D$3:$E$13,2,0),"Нет в справочнике")</f>
        <v>Завершен</v>
      </c>
      <c r="M656" t="str">
        <f t="shared" si="142"/>
        <v/>
      </c>
      <c r="N656" t="str">
        <f>IFERROR(VLOOKUP(I656,Товары_очищенные!$H$2:$J$502,3,0),"Нет в каталоге")</f>
        <v>Телевизоры</v>
      </c>
      <c r="O656" s="4">
        <f>IFERROR(VLOOKUP(I656,Товары_очищенные!$H$2:$M$502,6,0),"")</f>
        <v>53500</v>
      </c>
      <c r="P656" t="str">
        <f t="shared" si="143"/>
        <v xml:space="preserve">Цена отличается от каталога</v>
      </c>
    </row>
    <row r="657">
      <c r="A657" s="3" t="s">
        <v>3322</v>
      </c>
      <c r="B657" s="3" t="s">
        <v>1405</v>
      </c>
      <c r="C657" s="3" t="s">
        <v>1900</v>
      </c>
      <c r="D657" s="3" t="s">
        <v>1906</v>
      </c>
      <c r="E657" s="3" t="s">
        <v>3325</v>
      </c>
      <c r="F657" s="3" t="s">
        <v>1765</v>
      </c>
      <c r="G657" s="3" t="s">
        <v>1913</v>
      </c>
      <c r="H657" s="5">
        <f t="shared" si="139"/>
        <v>45999</v>
      </c>
      <c r="I657" t="str">
        <f t="shared" si="140"/>
        <v>АРТ-434</v>
      </c>
      <c r="J657" s="6">
        <f t="shared" si="141"/>
        <v>2</v>
      </c>
      <c r="K657" s="4">
        <f>VALUE(SUBSTITUTE(SUBSTITUTE(SUBSTITUTE(SUBSTITUTE(D657,"$",""),"€",""),"₽","")," ",""))*IF(ISNUMBER(FIND("$",D657)),Справочники!$H$3,IF(ISNUMBER(FIND("€",D657)),Справочники!$H$4,1))</f>
        <v>8500</v>
      </c>
      <c r="L657" t="str">
        <f>IFERROR(VLOOKUP(TRIM(G657),Справочники!$D$3:$E$13,2,0),"Нет в справочнике")</f>
        <v>Завершен</v>
      </c>
      <c r="M657" t="str">
        <f t="shared" si="142"/>
        <v/>
      </c>
      <c r="N657" t="str">
        <f>IFERROR(VLOOKUP(I657,Товары_очищенные!$H$2:$J$502,3,0),"Нет в каталоге")</f>
        <v>Мониторы</v>
      </c>
      <c r="O657" s="4">
        <f>IFERROR(VLOOKUP(I657,Товары_очищенные!$H$2:$M$502,6,0),"")</f>
        <v>42000</v>
      </c>
      <c r="P657" t="str">
        <f t="shared" si="143"/>
        <v xml:space="preserve">Цена отличается от каталога</v>
      </c>
    </row>
    <row r="658">
      <c r="A658" s="3" t="s">
        <v>3326</v>
      </c>
      <c r="B658" s="3" t="s">
        <v>2835</v>
      </c>
      <c r="C658" s="3" t="s">
        <v>1938</v>
      </c>
      <c r="D658" s="3" t="s">
        <v>2166</v>
      </c>
      <c r="E658" s="3" t="s">
        <v>3327</v>
      </c>
      <c r="F658" s="3" t="s">
        <v>1688</v>
      </c>
      <c r="G658" s="3" t="s">
        <v>1903</v>
      </c>
      <c r="H658" s="5">
        <f t="shared" si="139"/>
        <v>46000</v>
      </c>
      <c r="I658" t="str">
        <f t="shared" si="140"/>
        <v>АРТ-331</v>
      </c>
      <c r="J658" s="6">
        <f t="shared" si="141"/>
        <v>1</v>
      </c>
      <c r="K658" s="4">
        <f>VALUE(SUBSTITUTE(SUBSTITUTE(SUBSTITUTE(SUBSTITUTE(D658,"$",""),"€",""),"₽","")," ",""))*IF(ISNUMBER(FIND("$",D658)),Справочники!$H$3,IF(ISNUMBER(FIND("€",D658)),Справочники!$H$4,1))</f>
        <v>7800</v>
      </c>
      <c r="L658" t="str">
        <f>IFERROR(VLOOKUP(TRIM(G658),Справочники!$D$3:$E$13,2,0),"Нет в справочнике")</f>
        <v>Завершен</v>
      </c>
      <c r="M658" t="str">
        <f t="shared" si="142"/>
        <v/>
      </c>
      <c r="N658" t="str">
        <f>IFERROR(VLOOKUP(I658,Товары_очищенные!$H$2:$J$502,3,0),"Нет в каталоге")</f>
        <v>Часы</v>
      </c>
      <c r="O658" s="4">
        <f>IFERROR(VLOOKUP(I658,Товары_очищенные!$H$2:$M$502,6,0),"")</f>
        <v>69990</v>
      </c>
      <c r="P658" t="str">
        <f t="shared" si="143"/>
        <v xml:space="preserve">Цена отличается от каталога</v>
      </c>
    </row>
    <row r="659">
      <c r="A659" s="3" t="s">
        <v>3326</v>
      </c>
      <c r="B659" s="3" t="s">
        <v>2052</v>
      </c>
      <c r="C659" s="3" t="s">
        <v>1985</v>
      </c>
      <c r="D659" s="3" t="s">
        <v>2044</v>
      </c>
      <c r="E659" s="3" t="s">
        <v>3328</v>
      </c>
      <c r="F659" s="3" t="s">
        <v>1832</v>
      </c>
      <c r="G659" s="3" t="s">
        <v>1924</v>
      </c>
      <c r="H659" s="5">
        <f t="shared" si="139"/>
        <v>46000</v>
      </c>
      <c r="I659" t="str">
        <f t="shared" si="140"/>
        <v>АРТ-194</v>
      </c>
      <c r="J659" s="6">
        <f t="shared" si="141"/>
        <v>-3</v>
      </c>
      <c r="K659" s="4">
        <f>VALUE(SUBSTITUTE(SUBSTITUTE(SUBSTITUTE(SUBSTITUTE(D659,"$",""),"€",""),"₽","")," ",""))*IF(ISNUMBER(FIND("$",D659)),Справочники!$H$3,IF(ISNUMBER(FIND("€",D659)),Справочники!$H$4,1))</f>
        <v>11400</v>
      </c>
      <c r="L659" t="str">
        <f>IFERROR(VLOOKUP(TRIM(G659),Справочники!$D$3:$E$13,2,0),"Нет в справочнике")</f>
        <v>Отменен</v>
      </c>
      <c r="M659" t="str">
        <f t="shared" si="142"/>
        <v/>
      </c>
      <c r="N659" t="str">
        <f>IFERROR(VLOOKUP(I659,Товары_очищенные!$H$2:$J$502,3,0),"Нет в каталоге")</f>
        <v>Ноутбуки</v>
      </c>
      <c r="O659" s="4">
        <f>IFERROR(VLOOKUP(I659,Товары_очищенные!$H$2:$M$502,6,0),"")</f>
        <v>127000</v>
      </c>
      <c r="P659" t="str">
        <f t="shared" si="143"/>
        <v xml:space="preserve">Цена отличается от каталога</v>
      </c>
    </row>
    <row r="660">
      <c r="A660" s="3" t="s">
        <v>3329</v>
      </c>
      <c r="B660" s="3" t="s">
        <v>2236</v>
      </c>
      <c r="C660" s="3" t="s">
        <v>1900</v>
      </c>
      <c r="D660" s="3" t="s">
        <v>2046</v>
      </c>
      <c r="E660" s="3" t="s">
        <v>3330</v>
      </c>
      <c r="F660" s="3" t="s">
        <v>1594</v>
      </c>
      <c r="G660" s="3" t="s">
        <v>1918</v>
      </c>
      <c r="H660" s="5">
        <f t="shared" si="139"/>
        <v>46001</v>
      </c>
      <c r="I660" t="str">
        <f t="shared" si="140"/>
        <v>АРТ-291</v>
      </c>
      <c r="J660" s="6">
        <f t="shared" si="141"/>
        <v>2</v>
      </c>
      <c r="K660" s="4">
        <f>VALUE(SUBSTITUTE(SUBSTITUTE(SUBSTITUTE(SUBSTITUTE(D660,"$",""),"€",""),"₽","")," ",""))*IF(ISNUMBER(FIND("$",D660)),Справочники!$H$3,IF(ISNUMBER(FIND("€",D660)),Справочники!$H$4,1))</f>
        <v>10000</v>
      </c>
      <c r="L660" t="str">
        <f>IFERROR(VLOOKUP(TRIM(G660),Справочники!$D$3:$E$13,2,0),"Нет в справочнике")</f>
        <v>Отменен</v>
      </c>
      <c r="M660" t="str">
        <f t="shared" si="142"/>
        <v/>
      </c>
      <c r="N660" t="str">
        <f>IFERROR(VLOOKUP(I660,Товары_очищенные!$H$2:$J$502,3,0),"Нет в каталоге")</f>
        <v>Часы</v>
      </c>
      <c r="O660" s="4">
        <f>IFERROR(VLOOKUP(I660,Товары_очищенные!$H$2:$M$502,6,0),"")</f>
        <v>65000</v>
      </c>
      <c r="P660" t="str">
        <f t="shared" si="143"/>
        <v xml:space="preserve">Цена отличается от каталога</v>
      </c>
    </row>
    <row r="661">
      <c r="A661" s="3" t="s">
        <v>3329</v>
      </c>
      <c r="B661" s="3" t="s">
        <v>596</v>
      </c>
      <c r="C661" s="3" t="s">
        <v>1905</v>
      </c>
      <c r="D661" s="3" t="s">
        <v>2087</v>
      </c>
      <c r="E661" s="3" t="s">
        <v>3331</v>
      </c>
      <c r="F661" s="3" t="s">
        <v>1796</v>
      </c>
      <c r="G661" s="3" t="s">
        <v>1927</v>
      </c>
      <c r="H661" s="5">
        <f t="shared" si="139"/>
        <v>46001</v>
      </c>
      <c r="I661" t="str">
        <f t="shared" si="140"/>
        <v>АРТ-138</v>
      </c>
      <c r="J661" s="6">
        <f t="shared" si="141"/>
        <v>1</v>
      </c>
      <c r="K661" s="4">
        <f>VALUE(SUBSTITUTE(SUBSTITUTE(SUBSTITUTE(SUBSTITUTE(D661,"$",""),"€",""),"₽","")," ",""))*IF(ISNUMBER(FIND("$",D661)),Справочники!$H$3,IF(ISNUMBER(FIND("€",D661)),Справочники!$H$4,1))</f>
        <v>9200</v>
      </c>
      <c r="L661" t="str">
        <f>IFERROR(VLOOKUP(TRIM(G661),Справочники!$D$3:$E$13,2,0),"Нет в справочнике")</f>
        <v>Возврат</v>
      </c>
      <c r="M661" t="str">
        <f t="shared" si="142"/>
        <v/>
      </c>
      <c r="N661" t="str">
        <f>IFERROR(VLOOKUP(I661,Товары_очищенные!$H$2:$J$502,3,0),"Нет в каталоге")</f>
        <v>Наушники</v>
      </c>
      <c r="O661" s="4">
        <f>IFERROR(VLOOKUP(I661,Товары_очищенные!$H$2:$M$502,6,0),"")</f>
        <v>24000</v>
      </c>
      <c r="P661" t="str">
        <f t="shared" si="143"/>
        <v xml:space="preserve">Цена отличается от каталога</v>
      </c>
    </row>
    <row r="662">
      <c r="A662" s="3" t="s">
        <v>3332</v>
      </c>
      <c r="B662" s="3" t="s">
        <v>3333</v>
      </c>
      <c r="C662" s="3" t="s">
        <v>1930</v>
      </c>
      <c r="D662" s="3" t="s">
        <v>1986</v>
      </c>
      <c r="E662" s="3" t="s">
        <v>3334</v>
      </c>
      <c r="F662" s="3" t="s">
        <v>1656</v>
      </c>
      <c r="G662" s="3" t="s">
        <v>1903</v>
      </c>
      <c r="H662" s="5">
        <f t="shared" si="139"/>
        <v>46002</v>
      </c>
      <c r="I662" t="str">
        <f t="shared" si="140"/>
        <v>АРТ-014</v>
      </c>
      <c r="J662" s="6">
        <f t="shared" si="141"/>
        <v>3</v>
      </c>
      <c r="K662" s="4">
        <f>VALUE(SUBSTITUTE(SUBSTITUTE(SUBSTITUTE(SUBSTITUTE(D662,"$",""),"€",""),"₽","")," ",""))*IF(ISNUMBER(FIND("$",D662)),Справочники!$H$3,IF(ISNUMBER(FIND("€",D662)),Справочники!$H$4,1))</f>
        <v>8550</v>
      </c>
      <c r="L662" t="str">
        <f>IFERROR(VLOOKUP(TRIM(G662),Справочники!$D$3:$E$13,2,0),"Нет в справочнике")</f>
        <v>Завершен</v>
      </c>
      <c r="M662" t="str">
        <f t="shared" si="142"/>
        <v/>
      </c>
      <c r="N662" t="str">
        <f>IFERROR(VLOOKUP(I662,Товары_очищенные!$H$2:$J$502,3,0),"Нет в каталоге")</f>
        <v>Телевизоры</v>
      </c>
      <c r="O662" s="4">
        <f>IFERROR(VLOOKUP(I662,Товары_очищенные!$H$2:$M$502,6,0),"")</f>
        <v>147500</v>
      </c>
      <c r="P662" t="str">
        <f t="shared" si="143"/>
        <v xml:space="preserve">Цена отличается от каталога</v>
      </c>
    </row>
    <row r="663">
      <c r="A663" s="3" t="s">
        <v>3332</v>
      </c>
      <c r="B663" s="3" t="s">
        <v>3335</v>
      </c>
      <c r="C663" s="3" t="s">
        <v>1900</v>
      </c>
      <c r="D663" s="3" t="s">
        <v>1989</v>
      </c>
      <c r="E663" s="3" t="s">
        <v>3336</v>
      </c>
      <c r="F663" s="3" t="s">
        <v>1746</v>
      </c>
      <c r="G663" s="3" t="s">
        <v>1908</v>
      </c>
      <c r="H663" s="5">
        <f t="shared" si="139"/>
        <v>46002</v>
      </c>
      <c r="I663" t="str">
        <f t="shared" si="140"/>
        <v>АРТ-453</v>
      </c>
      <c r="J663" s="6">
        <f t="shared" si="141"/>
        <v>2</v>
      </c>
      <c r="K663" s="4">
        <f>VALUE(SUBSTITUTE(SUBSTITUTE(SUBSTITUTE(SUBSTITUTE(D663,"$",""),"€",""),"₽","")," ",""))*IF(ISNUMBER(FIND("$",D663)),Справочники!$H$3,IF(ISNUMBER(FIND("€",D663)),Справочники!$H$4,1))</f>
        <v>7000</v>
      </c>
      <c r="L663" t="str">
        <f>IFERROR(VLOOKUP(TRIM(G663),Справочники!$D$3:$E$13,2,0),"Нет в справочнике")</f>
        <v>Завершен</v>
      </c>
      <c r="M663" t="str">
        <f t="shared" si="142"/>
        <v/>
      </c>
      <c r="N663" t="str">
        <f>IFERROR(VLOOKUP(I663,Товары_очищенные!$H$2:$J$502,3,0),"Нет в каталоге")</f>
        <v>Наушники</v>
      </c>
      <c r="O663" s="4">
        <f>IFERROR(VLOOKUP(I663,Товары_очищенные!$H$2:$M$502,6,0),"")</f>
        <v>41500</v>
      </c>
      <c r="P663" t="str">
        <f t="shared" si="143"/>
        <v xml:space="preserve">Цена отличается от каталога</v>
      </c>
    </row>
    <row r="664">
      <c r="A664" s="3" t="s">
        <v>3337</v>
      </c>
      <c r="B664" s="3" t="s">
        <v>1317</v>
      </c>
      <c r="C664" s="3" t="s">
        <v>1938</v>
      </c>
      <c r="D664" s="3" t="s">
        <v>1939</v>
      </c>
      <c r="E664" s="3" t="s">
        <v>3338</v>
      </c>
      <c r="F664" s="3" t="s">
        <v>1622</v>
      </c>
      <c r="G664" s="3" t="s">
        <v>1913</v>
      </c>
      <c r="H664" s="5">
        <f t="shared" si="139"/>
        <v>46003</v>
      </c>
      <c r="I664" t="str">
        <f t="shared" si="140"/>
        <v>АРТ-393</v>
      </c>
      <c r="J664" s="6">
        <f t="shared" si="141"/>
        <v>1</v>
      </c>
      <c r="K664" s="4">
        <f>VALUE(SUBSTITUTE(SUBSTITUTE(SUBSTITUTE(SUBSTITUTE(D664,"$",""),"€",""),"₽","")," ",""))*IF(ISNUMBER(FIND("$",D664)),Справочники!$H$3,IF(ISNUMBER(FIND("€",D664)),Справочники!$H$4,1))</f>
        <v>6500</v>
      </c>
      <c r="L664" t="str">
        <f>IFERROR(VLOOKUP(TRIM(G664),Справочники!$D$3:$E$13,2,0),"Нет в справочнике")</f>
        <v>Завершен</v>
      </c>
      <c r="M664" t="str">
        <f t="shared" si="142"/>
        <v/>
      </c>
      <c r="N664" t="str">
        <f>IFERROR(VLOOKUP(I664,Товары_очищенные!$H$2:$J$502,3,0),"Нет в каталоге")</f>
        <v>Наушники</v>
      </c>
      <c r="O664" s="4">
        <f>IFERROR(VLOOKUP(I664,Товары_очищенные!$H$2:$M$502,6,0),"")</f>
        <v>19800</v>
      </c>
      <c r="P664" t="str">
        <f t="shared" si="143"/>
        <v xml:space="preserve">Цена отличается от каталога</v>
      </c>
    </row>
    <row r="665">
      <c r="A665" s="3" t="s">
        <v>3337</v>
      </c>
      <c r="B665" s="3" t="s">
        <v>3339</v>
      </c>
      <c r="C665" s="3" t="s">
        <v>1915</v>
      </c>
      <c r="D665" s="3" t="s">
        <v>1916</v>
      </c>
      <c r="E665" s="3" t="s">
        <v>3340</v>
      </c>
      <c r="F665" s="3" t="s">
        <v>1826</v>
      </c>
      <c r="G665" s="3" t="s">
        <v>1918</v>
      </c>
      <c r="H665" s="5">
        <f t="shared" si="139"/>
        <v>46003</v>
      </c>
      <c r="I665" t="str">
        <f t="shared" si="140"/>
        <v>АРТ-273</v>
      </c>
      <c r="J665" s="6">
        <f t="shared" si="141"/>
        <v>-1</v>
      </c>
      <c r="K665" s="4">
        <f>VALUE(SUBSTITUTE(SUBSTITUTE(SUBSTITUTE(SUBSTITUTE(D665,"$",""),"€",""),"₽","")," ",""))*IF(ISNUMBER(FIND("$",D665)),Справочники!$H$3,IF(ISNUMBER(FIND("€",D665)),Справочники!$H$4,1))</f>
        <v>10450</v>
      </c>
      <c r="L665" t="str">
        <f>IFERROR(VLOOKUP(TRIM(G665),Справочники!$D$3:$E$13,2,0),"Нет в справочнике")</f>
        <v>Отменен</v>
      </c>
      <c r="M665" t="str">
        <f t="shared" si="142"/>
        <v/>
      </c>
      <c r="N665" t="str">
        <f>IFERROR(VLOOKUP(I665,Товары_очищенные!$H$2:$J$502,3,0),"Нет в каталоге")</f>
        <v>Смартфоны</v>
      </c>
      <c r="O665" s="4">
        <f>IFERROR(VLOOKUP(I665,Товары_очищенные!$H$2:$M$502,6,0),"")</f>
        <v>46500</v>
      </c>
      <c r="P665" t="str">
        <f t="shared" si="143"/>
        <v xml:space="preserve">Цена отличается от каталога</v>
      </c>
    </row>
    <row r="666">
      <c r="A666" s="3" t="s">
        <v>3341</v>
      </c>
      <c r="B666" s="3" t="s">
        <v>1265</v>
      </c>
      <c r="C666" s="3" t="s">
        <v>1930</v>
      </c>
      <c r="D666" s="3" t="s">
        <v>1922</v>
      </c>
      <c r="E666" s="3" t="s">
        <v>3342</v>
      </c>
      <c r="F666" s="3" t="s">
        <v>1676</v>
      </c>
      <c r="G666" s="3" t="s">
        <v>1924</v>
      </c>
      <c r="H666" s="5">
        <f t="shared" si="139"/>
        <v>46004</v>
      </c>
      <c r="I666" t="str">
        <f t="shared" si="140"/>
        <v>АРТ-371</v>
      </c>
      <c r="J666" s="6">
        <f t="shared" si="141"/>
        <v>3</v>
      </c>
      <c r="K666" s="4">
        <f>VALUE(SUBSTITUTE(SUBSTITUTE(SUBSTITUTE(SUBSTITUTE(D666,"$",""),"€",""),"₽","")," ",""))*IF(ISNUMBER(FIND("$",D666)),Справочники!$H$3,IF(ISNUMBER(FIND("€",D666)),Справочники!$H$4,1))</f>
        <v>9000</v>
      </c>
      <c r="L666" t="str">
        <f>IFERROR(VLOOKUP(TRIM(G666),Справочники!$D$3:$E$13,2,0),"Нет в справочнике")</f>
        <v>Отменен</v>
      </c>
      <c r="M666" t="str">
        <f t="shared" si="142"/>
        <v/>
      </c>
      <c r="N666" t="str">
        <f>IFERROR(VLOOKUP(I666,Товары_очищенные!$H$2:$J$502,3,0),"Нет в каталоге")</f>
        <v>Мониторы</v>
      </c>
      <c r="O666" s="4">
        <f>IFERROR(VLOOKUP(I666,Товары_очищенные!$H$2:$M$502,6,0),"")</f>
        <v>48000</v>
      </c>
      <c r="P666" t="str">
        <f t="shared" si="143"/>
        <v xml:space="preserve">Цена отличается от каталога</v>
      </c>
    </row>
    <row r="667">
      <c r="A667" s="3" t="s">
        <v>3341</v>
      </c>
      <c r="B667" s="3" t="s">
        <v>2726</v>
      </c>
      <c r="C667" s="3" t="s">
        <v>1900</v>
      </c>
      <c r="D667" s="3" t="s">
        <v>1925</v>
      </c>
      <c r="E667" s="3" t="s">
        <v>3343</v>
      </c>
      <c r="F667" s="3" t="s">
        <v>1772</v>
      </c>
      <c r="G667" s="3" t="s">
        <v>1903</v>
      </c>
      <c r="H667" s="5">
        <f t="shared" si="139"/>
        <v>46004</v>
      </c>
      <c r="I667" t="str">
        <f t="shared" si="140"/>
        <v>АРТ-105</v>
      </c>
      <c r="J667" s="6">
        <f t="shared" si="141"/>
        <v>2</v>
      </c>
      <c r="K667" s="4">
        <f>VALUE(SUBSTITUTE(SUBSTITUTE(SUBSTITUTE(SUBSTITUTE(D667,"$",""),"€",""),"₽","")," ",""))*IF(ISNUMBER(FIND("$",D667)),Справочники!$H$3,IF(ISNUMBER(FIND("€",D667)),Справочники!$H$4,1))</f>
        <v>8000</v>
      </c>
      <c r="L667" t="str">
        <f>IFERROR(VLOOKUP(TRIM(G667),Справочники!$D$3:$E$13,2,0),"Нет в справочнике")</f>
        <v>Завершен</v>
      </c>
      <c r="M667" t="str">
        <f t="shared" si="142"/>
        <v/>
      </c>
      <c r="N667" t="str">
        <f>IFERROR(VLOOKUP(I667,Товары_очищенные!$H$2:$J$502,3,0),"Нет в каталоге")</f>
        <v>Ноутбуки</v>
      </c>
      <c r="O667" s="4">
        <f>IFERROR(VLOOKUP(I667,Товары_очищенные!$H$2:$M$502,6,0),"")</f>
        <v>152000</v>
      </c>
      <c r="P667" t="str">
        <f t="shared" si="143"/>
        <v xml:space="preserve">Цена отличается от каталога</v>
      </c>
    </row>
    <row r="668">
      <c r="A668" s="3" t="s">
        <v>3344</v>
      </c>
      <c r="B668" s="3" t="s">
        <v>3345</v>
      </c>
      <c r="C668" s="3" t="s">
        <v>1905</v>
      </c>
      <c r="D668" s="3" t="s">
        <v>1964</v>
      </c>
      <c r="E668" s="3" t="s">
        <v>3346</v>
      </c>
      <c r="F668" s="3" t="s">
        <v>1874</v>
      </c>
      <c r="G668" s="3" t="s">
        <v>1927</v>
      </c>
      <c r="H668" s="5">
        <f t="shared" si="139"/>
        <v>46005</v>
      </c>
      <c r="I668" t="str">
        <f t="shared" si="140"/>
        <v>АРТ-039</v>
      </c>
      <c r="J668" s="6">
        <f t="shared" si="141"/>
        <v>1</v>
      </c>
      <c r="K668" s="4">
        <f>VALUE(SUBSTITUTE(SUBSTITUTE(SUBSTITUTE(SUBSTITUTE(D668,"$",""),"€",""),"₽","")," ",""))*IF(ISNUMBER(FIND("$",D668)),Справочники!$H$3,IF(ISNUMBER(FIND("€",D668)),Справочники!$H$4,1))</f>
        <v>9025</v>
      </c>
      <c r="L668" t="str">
        <f>IFERROR(VLOOKUP(TRIM(G668),Справочники!$D$3:$E$13,2,0),"Нет в справочнике")</f>
        <v>Возврат</v>
      </c>
      <c r="M668" t="str">
        <f t="shared" si="142"/>
        <v/>
      </c>
      <c r="N668" t="str">
        <f>IFERROR(VLOOKUP(I668,Товары_очищенные!$H$2:$J$502,3,0),"Нет в каталоге")</f>
        <v>Часы</v>
      </c>
      <c r="O668" s="4">
        <f>IFERROR(VLOOKUP(I668,Товары_очищенные!$H$2:$M$502,6,0),"")</f>
        <v>71000</v>
      </c>
      <c r="P668" t="str">
        <f t="shared" si="143"/>
        <v xml:space="preserve">Цена отличается от каталога</v>
      </c>
    </row>
    <row r="669">
      <c r="A669" s="3" t="s">
        <v>3344</v>
      </c>
      <c r="B669" s="3" t="s">
        <v>1465</v>
      </c>
      <c r="C669" s="3" t="s">
        <v>1900</v>
      </c>
      <c r="D669" s="3" t="s">
        <v>1968</v>
      </c>
      <c r="E669" s="3" t="s">
        <v>3347</v>
      </c>
      <c r="F669" s="3" t="s">
        <v>1601</v>
      </c>
      <c r="G669" s="3" t="s">
        <v>1908</v>
      </c>
      <c r="H669" s="5">
        <f t="shared" si="139"/>
        <v>46005</v>
      </c>
      <c r="I669" t="str">
        <f t="shared" si="140"/>
        <v>АРТ-461</v>
      </c>
      <c r="J669" s="6">
        <f t="shared" si="141"/>
        <v>2</v>
      </c>
      <c r="K669" s="4">
        <f>VALUE(SUBSTITUTE(SUBSTITUTE(SUBSTITUTE(SUBSTITUTE(D669,"$",""),"€",""),"₽","")," ",""))*IF(ISNUMBER(FIND("$",D669)),Справочники!$H$3,IF(ISNUMBER(FIND("€",D669)),Справочники!$H$4,1))</f>
        <v>7500</v>
      </c>
      <c r="L669" t="str">
        <f>IFERROR(VLOOKUP(TRIM(G669),Справочники!$D$3:$E$13,2,0),"Нет в справочнике")</f>
        <v>Завершен</v>
      </c>
      <c r="M669" t="str">
        <f t="shared" si="142"/>
        <v/>
      </c>
      <c r="N669" t="str">
        <f>IFERROR(VLOOKUP(I669,Товары_очищенные!$H$2:$J$502,3,0),"Нет в каталоге")</f>
        <v>Часы</v>
      </c>
      <c r="O669" s="4">
        <f>IFERROR(VLOOKUP(I669,Товары_очищенные!$H$2:$M$502,6,0),"")</f>
        <v>46000</v>
      </c>
      <c r="P669" t="str">
        <f t="shared" si="143"/>
        <v xml:space="preserve">Цена отличается от каталога</v>
      </c>
    </row>
    <row r="670">
      <c r="A670" s="3" t="s">
        <v>3348</v>
      </c>
      <c r="B670" s="3" t="s">
        <v>3349</v>
      </c>
      <c r="C670" s="3" t="s">
        <v>1910</v>
      </c>
      <c r="D670" s="3" t="s">
        <v>1971</v>
      </c>
      <c r="E670" s="3" t="s">
        <v>3350</v>
      </c>
      <c r="F670" s="3" t="s">
        <v>1721</v>
      </c>
      <c r="G670" s="3" t="s">
        <v>1913</v>
      </c>
      <c r="H670" s="5">
        <f t="shared" si="139"/>
        <v>46006</v>
      </c>
      <c r="I670" t="str">
        <f t="shared" si="140"/>
        <v>АРТ-377</v>
      </c>
      <c r="J670" s="6">
        <f t="shared" si="141"/>
        <v>3</v>
      </c>
      <c r="K670" s="4">
        <f>VALUE(SUBSTITUTE(SUBSTITUTE(SUBSTITUTE(SUBSTITUTE(D670,"$",""),"€",""),"₽","")," ",""))*IF(ISNUMBER(FIND("$",D670)),Справочники!$H$3,IF(ISNUMBER(FIND("€",D670)),Справочники!$H$4,1))</f>
        <v>7000</v>
      </c>
      <c r="L670" t="str">
        <f>IFERROR(VLOOKUP(TRIM(G670),Справочники!$D$3:$E$13,2,0),"Нет в справочнике")</f>
        <v>Завершен</v>
      </c>
      <c r="M670" t="str">
        <f t="shared" si="142"/>
        <v/>
      </c>
      <c r="N670" t="str">
        <f>IFERROR(VLOOKUP(I670,Товары_очищенные!$H$2:$J$502,3,0),"Нет в каталоге")</f>
        <v>Часы</v>
      </c>
      <c r="O670" s="4">
        <f>IFERROR(VLOOKUP(I670,Товары_очищенные!$H$2:$M$502,6,0),"")</f>
        <v>23500</v>
      </c>
      <c r="P670" t="str">
        <f t="shared" si="143"/>
        <v xml:space="preserve">Цена отличается от каталога</v>
      </c>
    </row>
    <row r="671">
      <c r="A671" s="3" t="s">
        <v>3348</v>
      </c>
      <c r="B671" s="3" t="s">
        <v>532</v>
      </c>
      <c r="C671" s="3" t="s">
        <v>1942</v>
      </c>
      <c r="D671" s="3" t="s">
        <v>1943</v>
      </c>
      <c r="E671" s="3" t="s">
        <v>3351</v>
      </c>
      <c r="F671" s="3" t="s">
        <v>1663</v>
      </c>
      <c r="G671" s="3" t="s">
        <v>1903</v>
      </c>
      <c r="H671" s="5">
        <f t="shared" si="139"/>
        <v>46006</v>
      </c>
      <c r="I671" t="str">
        <f t="shared" si="140"/>
        <v>АРТ-121</v>
      </c>
      <c r="J671" s="6">
        <f t="shared" si="141"/>
        <v>-2</v>
      </c>
      <c r="K671" s="4">
        <f>VALUE(SUBSTITUTE(SUBSTITUTE(SUBSTITUTE(SUBSTITUTE(D671,"$",""),"€",""),"₽","")," ",""))*IF(ISNUMBER(FIND("$",D671)),Справочники!$H$3,IF(ISNUMBER(FIND("€",D671)),Справочники!$H$4,1))</f>
        <v>10925</v>
      </c>
      <c r="L671" t="str">
        <f>IFERROR(VLOOKUP(TRIM(G671),Справочники!$D$3:$E$13,2,0),"Нет в справочнике")</f>
        <v>Завершен</v>
      </c>
      <c r="M671" t="str">
        <f t="shared" si="142"/>
        <v/>
      </c>
      <c r="N671" t="str">
        <f>IFERROR(VLOOKUP(I671,Товары_очищенные!$H$2:$J$502,3,0),"Нет в каталоге")</f>
        <v>Часы</v>
      </c>
      <c r="O671" s="4">
        <f>IFERROR(VLOOKUP(I671,Товары_очищенные!$H$2:$M$502,6,0),"")</f>
        <v>84990</v>
      </c>
      <c r="P671" t="str">
        <f t="shared" si="143"/>
        <v xml:space="preserve">Цена отличается от каталога</v>
      </c>
    </row>
    <row r="672">
      <c r="A672" s="3" t="s">
        <v>3352</v>
      </c>
      <c r="B672" s="3" t="s">
        <v>2286</v>
      </c>
      <c r="C672" s="3" t="s">
        <v>1905</v>
      </c>
      <c r="D672" s="3" t="s">
        <v>1934</v>
      </c>
      <c r="E672" s="3" t="s">
        <v>3353</v>
      </c>
      <c r="F672" s="3" t="s">
        <v>1802</v>
      </c>
      <c r="G672" s="3" t="s">
        <v>1924</v>
      </c>
      <c r="H672" s="5">
        <f t="shared" si="139"/>
        <v>46007</v>
      </c>
      <c r="I672" t="str">
        <f t="shared" si="140"/>
        <v>АРТ-337</v>
      </c>
      <c r="J672" s="6">
        <f t="shared" si="141"/>
        <v>1</v>
      </c>
      <c r="K672" s="4">
        <f>VALUE(SUBSTITUTE(SUBSTITUTE(SUBSTITUTE(SUBSTITUTE(D672,"$",""),"€",""),"₽","")," ",""))*IF(ISNUMBER(FIND("$",D672)),Справочники!$H$3,IF(ISNUMBER(FIND("€",D672)),Справочники!$H$4,1))</f>
        <v>9500</v>
      </c>
      <c r="L672" t="str">
        <f>IFERROR(VLOOKUP(TRIM(G672),Справочники!$D$3:$E$13,2,0),"Нет в справочнике")</f>
        <v>Отменен</v>
      </c>
      <c r="M672" t="str">
        <f t="shared" si="142"/>
        <v/>
      </c>
      <c r="N672" t="str">
        <f>IFERROR(VLOOKUP(I672,Товары_очищенные!$H$2:$J$502,3,0),"Нет в каталоге")</f>
        <v>Смартфоны</v>
      </c>
      <c r="O672" s="4">
        <f>IFERROR(VLOOKUP(I672,Товары_очищенные!$H$2:$M$502,6,0),"")</f>
        <v>64990</v>
      </c>
      <c r="P672" t="str">
        <f t="shared" si="143"/>
        <v xml:space="preserve">Цена отличается от каталога</v>
      </c>
    </row>
    <row r="673">
      <c r="A673" s="3" t="s">
        <v>3352</v>
      </c>
      <c r="B673" s="3" t="s">
        <v>3354</v>
      </c>
      <c r="C673" s="3" t="s">
        <v>1900</v>
      </c>
      <c r="D673" s="3" t="s">
        <v>1951</v>
      </c>
      <c r="E673" s="3" t="s">
        <v>3355</v>
      </c>
      <c r="F673" s="3" t="s">
        <v>1868</v>
      </c>
      <c r="G673" s="3" t="s">
        <v>1918</v>
      </c>
      <c r="H673" s="5">
        <f t="shared" si="139"/>
        <v>46007</v>
      </c>
      <c r="I673" t="str">
        <f t="shared" si="140"/>
        <v>АРТ-285</v>
      </c>
      <c r="J673" s="6">
        <f t="shared" si="141"/>
        <v>2</v>
      </c>
      <c r="K673" s="4">
        <f>VALUE(SUBSTITUTE(SUBSTITUTE(SUBSTITUTE(SUBSTITUTE(D673,"$",""),"€",""),"₽","")," ",""))*IF(ISNUMBER(FIND("$",D673)),Справочники!$H$3,IF(ISNUMBER(FIND("€",D673)),Справочники!$H$4,1))</f>
        <v>8500</v>
      </c>
      <c r="L673" t="str">
        <f>IFERROR(VLOOKUP(TRIM(G673),Справочники!$D$3:$E$13,2,0),"Нет в справочнике")</f>
        <v>Отменен</v>
      </c>
      <c r="M673" t="str">
        <f t="shared" si="142"/>
        <v/>
      </c>
      <c r="N673" t="str">
        <f>IFERROR(VLOOKUP(I673,Товары_очищенные!$H$2:$J$502,3,0),"Нет в каталоге")</f>
        <v>Мониторы</v>
      </c>
      <c r="O673" s="4">
        <f>IFERROR(VLOOKUP(I673,Товары_очищенные!$H$2:$M$502,6,0),"")</f>
        <v>87500</v>
      </c>
      <c r="P673" t="str">
        <f t="shared" si="143"/>
        <v xml:space="preserve">Цена отличается от каталога</v>
      </c>
    </row>
    <row r="674">
      <c r="A674" s="3" t="s">
        <v>3356</v>
      </c>
      <c r="B674" s="3" t="s">
        <v>675</v>
      </c>
      <c r="C674" s="3" t="s">
        <v>1930</v>
      </c>
      <c r="D674" s="3" t="s">
        <v>1931</v>
      </c>
      <c r="E674" s="3" t="s">
        <v>3357</v>
      </c>
      <c r="F674" s="3" t="s">
        <v>1587</v>
      </c>
      <c r="G674" s="3" t="s">
        <v>1927</v>
      </c>
      <c r="H674" s="5">
        <f t="shared" si="139"/>
        <v>46008</v>
      </c>
      <c r="I674" t="str">
        <f t="shared" si="140"/>
        <v>АРТ-160</v>
      </c>
      <c r="J674" s="6">
        <f t="shared" si="141"/>
        <v>3</v>
      </c>
      <c r="K674" s="4">
        <f>VALUE(SUBSTITUTE(SUBSTITUTE(SUBSTITUTE(SUBSTITUTE(D674,"$",""),"€",""),"₽","")," ",""))*IF(ISNUMBER(FIND("$",D674)),Справочники!$H$3,IF(ISNUMBER(FIND("€",D674)),Справочники!$H$4,1))</f>
        <v>9975</v>
      </c>
      <c r="L674" t="str">
        <f>IFERROR(VLOOKUP(TRIM(G674),Справочники!$D$3:$E$13,2,0),"Нет в справочнике")</f>
        <v>Возврат</v>
      </c>
      <c r="M674" t="str">
        <f t="shared" si="142"/>
        <v/>
      </c>
      <c r="N674" t="str">
        <f>IFERROR(VLOOKUP(I674,Товары_очищенные!$H$2:$J$502,3,0),"Нет в каталоге")</f>
        <v>Аксессуары</v>
      </c>
      <c r="O674" s="4">
        <f>IFERROR(VLOOKUP(I674,Товары_очищенные!$H$2:$M$502,6,0),"")</f>
        <v>8990</v>
      </c>
      <c r="P674" t="str">
        <f t="shared" si="143"/>
        <v>ОК</v>
      </c>
    </row>
    <row r="675">
      <c r="A675" s="3" t="s">
        <v>3356</v>
      </c>
      <c r="B675" s="3" t="s">
        <v>3358</v>
      </c>
      <c r="C675" s="3" t="s">
        <v>1900</v>
      </c>
      <c r="D675" s="3" t="s">
        <v>1906</v>
      </c>
      <c r="E675" s="3" t="s">
        <v>3359</v>
      </c>
      <c r="F675" s="3" t="s">
        <v>1734</v>
      </c>
      <c r="G675" s="3" t="s">
        <v>1903</v>
      </c>
      <c r="H675" s="5">
        <f t="shared" si="139"/>
        <v>46008</v>
      </c>
      <c r="I675" t="str">
        <f t="shared" si="140"/>
        <v>АРТ-430</v>
      </c>
      <c r="J675" s="6">
        <f t="shared" si="141"/>
        <v>2</v>
      </c>
      <c r="K675" s="4">
        <f>VALUE(SUBSTITUTE(SUBSTITUTE(SUBSTITUTE(SUBSTITUTE(D675,"$",""),"€",""),"₽","")," ",""))*IF(ISNUMBER(FIND("$",D675)),Справочники!$H$3,IF(ISNUMBER(FIND("€",D675)),Справочники!$H$4,1))</f>
        <v>8500</v>
      </c>
      <c r="L675" t="str">
        <f>IFERROR(VLOOKUP(TRIM(G675),Справочники!$D$3:$E$13,2,0),"Нет в справочнике")</f>
        <v>Завершен</v>
      </c>
      <c r="M675" t="str">
        <f t="shared" si="142"/>
        <v/>
      </c>
      <c r="N675" t="str">
        <f>IFERROR(VLOOKUP(I675,Товары_очищенные!$H$2:$J$502,3,0),"Нет в каталоге")</f>
        <v>Наушники</v>
      </c>
      <c r="O675" s="4">
        <f>IFERROR(VLOOKUP(I675,Товары_очищенные!$H$2:$M$502,6,0),"")</f>
        <v>14990</v>
      </c>
      <c r="P675" t="str">
        <f t="shared" si="143"/>
        <v xml:space="preserve">Цена отличается от каталога</v>
      </c>
    </row>
    <row r="676">
      <c r="A676" s="3" t="s">
        <v>3360</v>
      </c>
      <c r="B676" s="3" t="s">
        <v>2473</v>
      </c>
      <c r="C676" s="3" t="s">
        <v>1938</v>
      </c>
      <c r="D676" s="3" t="s">
        <v>2166</v>
      </c>
      <c r="E676" s="3" t="s">
        <v>3361</v>
      </c>
      <c r="F676" s="3" t="s">
        <v>1649</v>
      </c>
      <c r="G676" s="3" t="s">
        <v>1908</v>
      </c>
      <c r="H676" s="5">
        <f t="shared" ref="H676:H739" si="144">DATE(VALUE(RIGHT(A676,4)),VALUE(LEFT(A676,2)),VALUE(MID(A676,4,2)))</f>
        <v>46009</v>
      </c>
      <c r="I676" t="str">
        <f t="shared" ref="I676:I739" si="145">"АРТ-"&amp;TEXT(VALUE(LEFT(SUBSTITUTE(SUBSTITUTE(SUBSTITUTE(SUBSTITUTE(TRIM(B676),"№",""),"АРТ-",""),"АРТ_",""),"АРТ",""),3)),"000")</f>
        <v>АРТ-335</v>
      </c>
      <c r="J676" s="6">
        <f t="shared" ref="J676:J739" si="146">VALUE(TRIM(SUBSTITUTE(SUBSTITUTE(TRIM(C676),"шт.",""),"шт","")))</f>
        <v>1</v>
      </c>
      <c r="K676" s="4">
        <f>VALUE(SUBSTITUTE(SUBSTITUTE(SUBSTITUTE(SUBSTITUTE(D676,"$",""),"€",""),"₽","")," ",""))*IF(ISNUMBER(FIND("$",D676)),Справочники!$H$3,IF(ISNUMBER(FIND("€",D676)),Справочники!$H$4,1))</f>
        <v>7800</v>
      </c>
      <c r="L676" t="str">
        <f>IFERROR(VLOOKUP(TRIM(G676),Справочники!$D$3:$E$13,2,0),"Нет в справочнике")</f>
        <v>Завершен</v>
      </c>
      <c r="M676" t="str">
        <f t="shared" ref="M676:M739" si="147">IF(COUNTIFS($H$2:H676,H676,$I$2:I676,I676,$E$2:E676,E676)&gt;1,"Дубликат","")</f>
        <v/>
      </c>
      <c r="N676" t="str">
        <f>IFERROR(VLOOKUP(I676,Товары_очищенные!$H$2:$J$502,3,0),"Нет в каталоге")</f>
        <v>Планшеты</v>
      </c>
      <c r="O676" s="4">
        <f>IFERROR(VLOOKUP(I676,Товары_очищенные!$H$2:$M$502,6,0),"")</f>
        <v>47000</v>
      </c>
      <c r="P676" t="str">
        <f t="shared" ref="P676:P739" si="148">IF(O676="","Нет в каталоге",IF(ABS(K676/O676-1)&lt;=0.2,"ОК","Цена отличается от каталога"))</f>
        <v xml:space="preserve">Цена отличается от каталога</v>
      </c>
    </row>
    <row r="677">
      <c r="A677" s="3" t="s">
        <v>3360</v>
      </c>
      <c r="B677" s="3" t="s">
        <v>3362</v>
      </c>
      <c r="C677" s="3" t="s">
        <v>1985</v>
      </c>
      <c r="D677" s="3" t="s">
        <v>2044</v>
      </c>
      <c r="E677" s="3" t="s">
        <v>3363</v>
      </c>
      <c r="F677" s="3" t="s">
        <v>1784</v>
      </c>
      <c r="G677" s="3" t="s">
        <v>1913</v>
      </c>
      <c r="H677" s="5">
        <f t="shared" si="144"/>
        <v>46009</v>
      </c>
      <c r="I677" t="str">
        <f t="shared" si="145"/>
        <v>АРТ-198</v>
      </c>
      <c r="J677" s="6">
        <f t="shared" si="146"/>
        <v>-3</v>
      </c>
      <c r="K677" s="4">
        <f>VALUE(SUBSTITUTE(SUBSTITUTE(SUBSTITUTE(SUBSTITUTE(D677,"$",""),"€",""),"₽","")," ",""))*IF(ISNUMBER(FIND("$",D677)),Справочники!$H$3,IF(ISNUMBER(FIND("€",D677)),Справочники!$H$4,1))</f>
        <v>11400</v>
      </c>
      <c r="L677" t="str">
        <f>IFERROR(VLOOKUP(TRIM(G677),Справочники!$D$3:$E$13,2,0),"Нет в справочнике")</f>
        <v>Завершен</v>
      </c>
      <c r="M677" t="str">
        <f t="shared" si="147"/>
        <v/>
      </c>
      <c r="N677" t="str">
        <f>IFERROR(VLOOKUP(I677,Товары_очищенные!$H$2:$J$502,3,0),"Нет в каталоге")</f>
        <v>Смартфоны</v>
      </c>
      <c r="O677" s="4">
        <f>IFERROR(VLOOKUP(I677,Товары_очищенные!$H$2:$M$502,6,0),"")</f>
        <v>55500</v>
      </c>
      <c r="P677" t="str">
        <f t="shared" si="148"/>
        <v xml:space="preserve">Цена отличается от каталога</v>
      </c>
    </row>
    <row r="678">
      <c r="A678" s="3" t="s">
        <v>3364</v>
      </c>
      <c r="B678" s="3" t="s">
        <v>3365</v>
      </c>
      <c r="C678" s="3" t="s">
        <v>1900</v>
      </c>
      <c r="D678" s="3" t="s">
        <v>2046</v>
      </c>
      <c r="E678" s="3" t="s">
        <v>3366</v>
      </c>
      <c r="F678" s="3" t="s">
        <v>1844</v>
      </c>
      <c r="G678" s="3" t="s">
        <v>1918</v>
      </c>
      <c r="H678" s="5">
        <f t="shared" si="144"/>
        <v>46010</v>
      </c>
      <c r="I678" t="str">
        <f t="shared" si="145"/>
        <v>АРТ-379</v>
      </c>
      <c r="J678" s="6">
        <f t="shared" si="146"/>
        <v>2</v>
      </c>
      <c r="K678" s="4">
        <f>VALUE(SUBSTITUTE(SUBSTITUTE(SUBSTITUTE(SUBSTITUTE(D678,"$",""),"€",""),"₽","")," ",""))*IF(ISNUMBER(FIND("$",D678)),Справочники!$H$3,IF(ISNUMBER(FIND("€",D678)),Справочники!$H$4,1))</f>
        <v>10000</v>
      </c>
      <c r="L678" t="str">
        <f>IFERROR(VLOOKUP(TRIM(G678),Справочники!$D$3:$E$13,2,0),"Нет в справочнике")</f>
        <v>Отменен</v>
      </c>
      <c r="M678" t="str">
        <f t="shared" si="147"/>
        <v/>
      </c>
      <c r="N678" t="str">
        <f>IFERROR(VLOOKUP(I678,Товары_очищенные!$H$2:$J$502,3,0),"Нет в каталоге")</f>
        <v>Планшеты</v>
      </c>
      <c r="O678" s="4">
        <f>IFERROR(VLOOKUP(I678,Товары_очищенные!$H$2:$M$502,6,0),"")</f>
        <v>36990</v>
      </c>
      <c r="P678" t="str">
        <f t="shared" si="148"/>
        <v xml:space="preserve">Цена отличается от каталога</v>
      </c>
    </row>
    <row r="679">
      <c r="A679" s="3" t="s">
        <v>3364</v>
      </c>
      <c r="B679" s="3" t="s">
        <v>3367</v>
      </c>
      <c r="C679" s="3" t="s">
        <v>1905</v>
      </c>
      <c r="D679" s="3" t="s">
        <v>2087</v>
      </c>
      <c r="E679" s="3" t="s">
        <v>3368</v>
      </c>
      <c r="F679" s="3" t="s">
        <v>1566</v>
      </c>
      <c r="G679" s="3" t="s">
        <v>1924</v>
      </c>
      <c r="H679" s="5">
        <f t="shared" si="144"/>
        <v>46010</v>
      </c>
      <c r="I679" t="str">
        <f t="shared" si="145"/>
        <v>АРТ-116</v>
      </c>
      <c r="J679" s="6">
        <f t="shared" si="146"/>
        <v>1</v>
      </c>
      <c r="K679" s="4">
        <f>VALUE(SUBSTITUTE(SUBSTITUTE(SUBSTITUTE(SUBSTITUTE(D679,"$",""),"€",""),"₽","")," ",""))*IF(ISNUMBER(FIND("$",D679)),Справочники!$H$3,IF(ISNUMBER(FIND("€",D679)),Справочники!$H$4,1))</f>
        <v>9200</v>
      </c>
      <c r="L679" t="str">
        <f>IFERROR(VLOOKUP(TRIM(G679),Справочники!$D$3:$E$13,2,0),"Нет в справочнике")</f>
        <v>Отменен</v>
      </c>
      <c r="M679" t="str">
        <f t="shared" si="147"/>
        <v/>
      </c>
      <c r="N679" t="str">
        <f>IFERROR(VLOOKUP(I679,Товары_очищенные!$H$2:$J$502,3,0),"Нет в каталоге")</f>
        <v>Мониторы</v>
      </c>
      <c r="O679" s="4">
        <f>IFERROR(VLOOKUP(I679,Товары_очищенные!$H$2:$M$502,6,0),"")</f>
        <v>72500</v>
      </c>
      <c r="P679" t="str">
        <f t="shared" si="148"/>
        <v xml:space="preserve">Цена отличается от каталога</v>
      </c>
    </row>
    <row r="680">
      <c r="A680" s="3" t="s">
        <v>3369</v>
      </c>
      <c r="B680" s="3" t="s">
        <v>3370</v>
      </c>
      <c r="C680" s="3" t="s">
        <v>1930</v>
      </c>
      <c r="D680" s="3" t="s">
        <v>1986</v>
      </c>
      <c r="E680" s="3" t="s">
        <v>3371</v>
      </c>
      <c r="F680" s="3" t="s">
        <v>1701</v>
      </c>
      <c r="G680" s="3" t="s">
        <v>1903</v>
      </c>
      <c r="H680" s="5">
        <f t="shared" si="144"/>
        <v>46011</v>
      </c>
      <c r="I680" t="str">
        <f t="shared" si="145"/>
        <v>АРТ-066</v>
      </c>
      <c r="J680" s="6">
        <f t="shared" si="146"/>
        <v>3</v>
      </c>
      <c r="K680" s="4">
        <f>VALUE(SUBSTITUTE(SUBSTITUTE(SUBSTITUTE(SUBSTITUTE(D680,"$",""),"€",""),"₽","")," ",""))*IF(ISNUMBER(FIND("$",D680)),Справочники!$H$3,IF(ISNUMBER(FIND("€",D680)),Справочники!$H$4,1))</f>
        <v>8550</v>
      </c>
      <c r="L680" t="str">
        <f>IFERROR(VLOOKUP(TRIM(G680),Справочники!$D$3:$E$13,2,0),"Нет в справочнике")</f>
        <v>Завершен</v>
      </c>
      <c r="M680" t="str">
        <f t="shared" si="147"/>
        <v/>
      </c>
      <c r="N680" t="str">
        <f>IFERROR(VLOOKUP(I680,Товары_очищенные!$H$2:$J$502,3,0),"Нет в каталоге")</f>
        <v>Смартфоны</v>
      </c>
      <c r="O680" s="4">
        <f>IFERROR(VLOOKUP(I680,Товары_очищенные!$H$2:$M$502,6,0),"")</f>
        <v>57800</v>
      </c>
      <c r="P680" t="str">
        <f t="shared" si="148"/>
        <v xml:space="preserve">Цена отличается от каталога</v>
      </c>
    </row>
    <row r="681">
      <c r="A681" s="3" t="s">
        <v>3369</v>
      </c>
      <c r="B681" s="3" t="s">
        <v>2676</v>
      </c>
      <c r="C681" s="3" t="s">
        <v>1900</v>
      </c>
      <c r="D681" s="3" t="s">
        <v>1989</v>
      </c>
      <c r="E681" s="3" t="s">
        <v>3372</v>
      </c>
      <c r="F681" s="3" t="s">
        <v>1814</v>
      </c>
      <c r="G681" s="3" t="s">
        <v>1927</v>
      </c>
      <c r="H681" s="5">
        <f t="shared" si="144"/>
        <v>46011</v>
      </c>
      <c r="I681" t="str">
        <f t="shared" si="145"/>
        <v>АРТ-471</v>
      </c>
      <c r="J681" s="6">
        <f t="shared" si="146"/>
        <v>2</v>
      </c>
      <c r="K681" s="4">
        <f>VALUE(SUBSTITUTE(SUBSTITUTE(SUBSTITUTE(SUBSTITUTE(D681,"$",""),"€",""),"₽","")," ",""))*IF(ISNUMBER(FIND("$",D681)),Справочники!$H$3,IF(ISNUMBER(FIND("€",D681)),Справочники!$H$4,1))</f>
        <v>7000</v>
      </c>
      <c r="L681" t="str">
        <f>IFERROR(VLOOKUP(TRIM(G681),Справочники!$D$3:$E$13,2,0),"Нет в справочнике")</f>
        <v>Возврат</v>
      </c>
      <c r="M681" t="str">
        <f t="shared" si="147"/>
        <v/>
      </c>
      <c r="N681" t="str">
        <f>IFERROR(VLOOKUP(I681,Товары_очищенные!$H$2:$J$502,3,0),"Нет в каталоге")</f>
        <v>Телевизоры</v>
      </c>
      <c r="O681" s="4">
        <f>IFERROR(VLOOKUP(I681,Товары_очищенные!$H$2:$M$502,6,0),"")</f>
        <v>61000</v>
      </c>
      <c r="P681" t="str">
        <f t="shared" si="148"/>
        <v xml:space="preserve">Цена отличается от каталога</v>
      </c>
    </row>
    <row r="682">
      <c r="A682" s="3" t="s">
        <v>3373</v>
      </c>
      <c r="B682" s="3" t="s">
        <v>2540</v>
      </c>
      <c r="C682" s="3" t="s">
        <v>1938</v>
      </c>
      <c r="D682" s="3" t="s">
        <v>1939</v>
      </c>
      <c r="E682" s="3" t="s">
        <v>3374</v>
      </c>
      <c r="F682" s="3" t="s">
        <v>1880</v>
      </c>
      <c r="G682" s="3" t="s">
        <v>1908</v>
      </c>
      <c r="H682" s="5">
        <f t="shared" si="144"/>
        <v>46012</v>
      </c>
      <c r="I682" t="str">
        <f t="shared" si="145"/>
        <v>АРТ-312</v>
      </c>
      <c r="J682" s="6">
        <f t="shared" si="146"/>
        <v>1</v>
      </c>
      <c r="K682" s="4">
        <f>VALUE(SUBSTITUTE(SUBSTITUTE(SUBSTITUTE(SUBSTITUTE(D682,"$",""),"€",""),"₽","")," ",""))*IF(ISNUMBER(FIND("$",D682)),Справочники!$H$3,IF(ISNUMBER(FIND("€",D682)),Справочники!$H$4,1))</f>
        <v>6500</v>
      </c>
      <c r="L682" t="str">
        <f>IFERROR(VLOOKUP(TRIM(G682),Справочники!$D$3:$E$13,2,0),"Нет в справочнике")</f>
        <v>Завершен</v>
      </c>
      <c r="M682" t="str">
        <f t="shared" si="147"/>
        <v/>
      </c>
      <c r="N682" t="str">
        <f>IFERROR(VLOOKUP(I682,Товары_очищенные!$H$2:$J$502,3,0),"Нет в каталоге")</f>
        <v>Планшеты</v>
      </c>
      <c r="O682" s="4">
        <f>IFERROR(VLOOKUP(I682,Товары_очищенные!$H$2:$M$502,6,0),"")</f>
        <v>67000</v>
      </c>
      <c r="P682" t="str">
        <f t="shared" si="148"/>
        <v xml:space="preserve">Цена отличается от каталога</v>
      </c>
    </row>
    <row r="683">
      <c r="A683" s="3" t="s">
        <v>3373</v>
      </c>
      <c r="B683" s="3" t="s">
        <v>1173</v>
      </c>
      <c r="C683" s="3" t="s">
        <v>1915</v>
      </c>
      <c r="D683" s="3" t="s">
        <v>1916</v>
      </c>
      <c r="E683" s="3" t="s">
        <v>3375</v>
      </c>
      <c r="F683" s="3" t="s">
        <v>1636</v>
      </c>
      <c r="G683" s="3" t="s">
        <v>1913</v>
      </c>
      <c r="H683" s="5">
        <f t="shared" si="144"/>
        <v>46012</v>
      </c>
      <c r="I683" t="str">
        <f t="shared" si="145"/>
        <v>АРТ-328</v>
      </c>
      <c r="J683" s="6">
        <f t="shared" si="146"/>
        <v>-1</v>
      </c>
      <c r="K683" s="4">
        <f>VALUE(SUBSTITUTE(SUBSTITUTE(SUBSTITUTE(SUBSTITUTE(D683,"$",""),"€",""),"₽","")," ",""))*IF(ISNUMBER(FIND("$",D683)),Справочники!$H$3,IF(ISNUMBER(FIND("€",D683)),Справочники!$H$4,1))</f>
        <v>10450</v>
      </c>
      <c r="L683" t="str">
        <f>IFERROR(VLOOKUP(TRIM(G683),Справочники!$D$3:$E$13,2,0),"Нет в справочнике")</f>
        <v>Завершен</v>
      </c>
      <c r="M683" t="str">
        <f t="shared" si="147"/>
        <v/>
      </c>
      <c r="N683" t="str">
        <f>IFERROR(VLOOKUP(I683,Товары_очищенные!$H$2:$J$502,3,0),"Нет в каталоге")</f>
        <v>Аксессуары</v>
      </c>
      <c r="O683" s="4">
        <f>IFERROR(VLOOKUP(I683,Товары_очищенные!$H$2:$M$502,6,0),"")</f>
        <v>11990</v>
      </c>
      <c r="P683" t="str">
        <f t="shared" si="148"/>
        <v>ОК</v>
      </c>
    </row>
    <row r="684">
      <c r="A684" s="3" t="s">
        <v>3376</v>
      </c>
      <c r="B684" s="3" t="s">
        <v>3377</v>
      </c>
      <c r="C684" s="3" t="s">
        <v>1930</v>
      </c>
      <c r="D684" s="3" t="s">
        <v>1922</v>
      </c>
      <c r="E684" s="3" t="s">
        <v>3378</v>
      </c>
      <c r="F684" s="3" t="s">
        <v>1740</v>
      </c>
      <c r="G684" s="3" t="s">
        <v>1903</v>
      </c>
      <c r="H684" s="5">
        <f t="shared" si="144"/>
        <v>46013</v>
      </c>
      <c r="I684" t="str">
        <f t="shared" si="145"/>
        <v>АРТ-282</v>
      </c>
      <c r="J684" s="6">
        <f t="shared" si="146"/>
        <v>3</v>
      </c>
      <c r="K684" s="4">
        <f>VALUE(SUBSTITUTE(SUBSTITUTE(SUBSTITUTE(SUBSTITUTE(D684,"$",""),"€",""),"₽","")," ",""))*IF(ISNUMBER(FIND("$",D684)),Справочники!$H$3,IF(ISNUMBER(FIND("€",D684)),Справочники!$H$4,1))</f>
        <v>9000</v>
      </c>
      <c r="L684" t="str">
        <f>IFERROR(VLOOKUP(TRIM(G684),Справочники!$D$3:$E$13,2,0),"Нет в справочнике")</f>
        <v>Завершен</v>
      </c>
      <c r="M684" t="str">
        <f t="shared" si="147"/>
        <v/>
      </c>
      <c r="N684" t="str">
        <f>IFERROR(VLOOKUP(I684,Товары_очищенные!$H$2:$J$502,3,0),"Нет в каталоге")</f>
        <v>Наушники</v>
      </c>
      <c r="O684" s="4">
        <f>IFERROR(VLOOKUP(I684,Товары_очищенные!$H$2:$M$502,6,0),"")</f>
        <v>34500</v>
      </c>
      <c r="P684" t="str">
        <f t="shared" si="148"/>
        <v xml:space="preserve">Цена отличается от каталога</v>
      </c>
    </row>
    <row r="685">
      <c r="A685" s="3" t="s">
        <v>3376</v>
      </c>
      <c r="B685" s="3" t="s">
        <v>3379</v>
      </c>
      <c r="C685" s="3" t="s">
        <v>1900</v>
      </c>
      <c r="D685" s="3" t="s">
        <v>1925</v>
      </c>
      <c r="E685" s="3" t="s">
        <v>3380</v>
      </c>
      <c r="F685" s="3" t="s">
        <v>1682</v>
      </c>
      <c r="G685" s="3" t="s">
        <v>1924</v>
      </c>
      <c r="H685" s="5">
        <f t="shared" si="144"/>
        <v>46013</v>
      </c>
      <c r="I685" t="str">
        <f t="shared" si="145"/>
        <v>АРТ-259</v>
      </c>
      <c r="J685" s="6">
        <f t="shared" si="146"/>
        <v>2</v>
      </c>
      <c r="K685" s="4">
        <f>VALUE(SUBSTITUTE(SUBSTITUTE(SUBSTITUTE(SUBSTITUTE(D685,"$",""),"€",""),"₽","")," ",""))*IF(ISNUMBER(FIND("$",D685)),Справочники!$H$3,IF(ISNUMBER(FIND("€",D685)),Справочники!$H$4,1))</f>
        <v>8000</v>
      </c>
      <c r="L685" t="str">
        <f>IFERROR(VLOOKUP(TRIM(G685),Справочники!$D$3:$E$13,2,0),"Нет в справочнике")</f>
        <v>Отменен</v>
      </c>
      <c r="M685" t="str">
        <f t="shared" si="147"/>
        <v/>
      </c>
      <c r="N685" t="str">
        <f>IFERROR(VLOOKUP(I685,Товары_очищенные!$H$2:$J$502,3,0),"Нет в каталоге")</f>
        <v>Телевизоры</v>
      </c>
      <c r="O685" s="4">
        <f>IFERROR(VLOOKUP(I685,Товары_очищенные!$H$2:$M$502,6,0),"")</f>
        <v>92990</v>
      </c>
      <c r="P685" t="str">
        <f t="shared" si="148"/>
        <v xml:space="preserve">Цена отличается от каталога</v>
      </c>
    </row>
    <row r="686">
      <c r="A686" s="3" t="s">
        <v>3381</v>
      </c>
      <c r="B686" s="3" t="s">
        <v>457</v>
      </c>
      <c r="C686" s="3" t="s">
        <v>1905</v>
      </c>
      <c r="D686" s="3" t="s">
        <v>1964</v>
      </c>
      <c r="E686" s="3" t="s">
        <v>3382</v>
      </c>
      <c r="F686" s="3" t="s">
        <v>1820</v>
      </c>
      <c r="G686" s="3" t="s">
        <v>1918</v>
      </c>
      <c r="H686" s="5">
        <f t="shared" si="144"/>
        <v>46014</v>
      </c>
      <c r="I686" t="str">
        <f t="shared" si="145"/>
        <v>АРТ-103</v>
      </c>
      <c r="J686" s="6">
        <f t="shared" si="146"/>
        <v>1</v>
      </c>
      <c r="K686" s="4">
        <f>VALUE(SUBSTITUTE(SUBSTITUTE(SUBSTITUTE(SUBSTITUTE(D686,"$",""),"€",""),"₽","")," ",""))*IF(ISNUMBER(FIND("$",D686)),Справочники!$H$3,IF(ISNUMBER(FIND("€",D686)),Справочники!$H$4,1))</f>
        <v>9025</v>
      </c>
      <c r="L686" t="str">
        <f>IFERROR(VLOOKUP(TRIM(G686),Справочники!$D$3:$E$13,2,0),"Нет в справочнике")</f>
        <v>Отменен</v>
      </c>
      <c r="M686" t="str">
        <f t="shared" si="147"/>
        <v/>
      </c>
      <c r="N686" t="str">
        <f>IFERROR(VLOOKUP(I686,Товары_очищенные!$H$2:$J$502,3,0),"Нет в каталоге")</f>
        <v>Ноутбуки</v>
      </c>
      <c r="O686" s="4">
        <f>IFERROR(VLOOKUP(I686,Товары_очищенные!$H$2:$M$502,6,0),"")</f>
        <v>149990</v>
      </c>
      <c r="P686" t="str">
        <f t="shared" si="148"/>
        <v xml:space="preserve">Цена отличается от каталога</v>
      </c>
    </row>
    <row r="687">
      <c r="A687" s="3" t="s">
        <v>3381</v>
      </c>
      <c r="B687" s="3" t="s">
        <v>2170</v>
      </c>
      <c r="C687" s="3" t="s">
        <v>1900</v>
      </c>
      <c r="D687" s="3" t="s">
        <v>1968</v>
      </c>
      <c r="E687" s="3" t="s">
        <v>3383</v>
      </c>
      <c r="F687" s="3" t="s">
        <v>1580</v>
      </c>
      <c r="G687" s="3" t="s">
        <v>1927</v>
      </c>
      <c r="H687" s="5">
        <f t="shared" si="144"/>
        <v>46014</v>
      </c>
      <c r="I687" t="str">
        <f t="shared" si="145"/>
        <v>АРТ-490</v>
      </c>
      <c r="J687" s="6">
        <f t="shared" si="146"/>
        <v>2</v>
      </c>
      <c r="K687" s="4">
        <f>VALUE(SUBSTITUTE(SUBSTITUTE(SUBSTITUTE(SUBSTITUTE(D687,"$",""),"€",""),"₽","")," ",""))*IF(ISNUMBER(FIND("$",D687)),Справочники!$H$3,IF(ISNUMBER(FIND("€",D687)),Справочники!$H$4,1))</f>
        <v>7500</v>
      </c>
      <c r="L687" t="str">
        <f>IFERROR(VLOOKUP(TRIM(G687),Справочники!$D$3:$E$13,2,0),"Нет в справочнике")</f>
        <v>Возврат</v>
      </c>
      <c r="M687" t="str">
        <f t="shared" si="147"/>
        <v/>
      </c>
      <c r="N687" t="str">
        <f>IFERROR(VLOOKUP(I687,Товары_очищенные!$H$2:$J$502,3,0),"Нет в каталоге")</f>
        <v>Телевизоры</v>
      </c>
      <c r="O687" s="4">
        <f>IFERROR(VLOOKUP(I687,Товары_очищенные!$H$2:$M$502,6,0),"")</f>
        <v>61990</v>
      </c>
      <c r="P687" t="str">
        <f t="shared" si="148"/>
        <v xml:space="preserve">Цена отличается от каталога</v>
      </c>
    </row>
    <row r="688">
      <c r="A688" s="3" t="s">
        <v>3384</v>
      </c>
      <c r="B688" s="3" t="s">
        <v>2245</v>
      </c>
      <c r="C688" s="3" t="s">
        <v>1910</v>
      </c>
      <c r="D688" s="3" t="s">
        <v>1971</v>
      </c>
      <c r="E688" s="3" t="s">
        <v>3385</v>
      </c>
      <c r="F688" s="3" t="s">
        <v>1727</v>
      </c>
      <c r="G688" s="3" t="s">
        <v>1903</v>
      </c>
      <c r="H688" s="5">
        <f t="shared" si="144"/>
        <v>46015</v>
      </c>
      <c r="I688" t="str">
        <f t="shared" si="145"/>
        <v>АРТ-378</v>
      </c>
      <c r="J688" s="6">
        <f t="shared" si="146"/>
        <v>3</v>
      </c>
      <c r="K688" s="4">
        <f>VALUE(SUBSTITUTE(SUBSTITUTE(SUBSTITUTE(SUBSTITUTE(D688,"$",""),"€",""),"₽","")," ",""))*IF(ISNUMBER(FIND("$",D688)),Справочники!$H$3,IF(ISNUMBER(FIND("€",D688)),Справочники!$H$4,1))</f>
        <v>7000</v>
      </c>
      <c r="L688" t="str">
        <f>IFERROR(VLOOKUP(TRIM(G688),Справочники!$D$3:$E$13,2,0),"Нет в справочнике")</f>
        <v>Завершен</v>
      </c>
      <c r="M688" t="str">
        <f t="shared" si="147"/>
        <v/>
      </c>
      <c r="N688" t="str">
        <f>IFERROR(VLOOKUP(I688,Товары_очищенные!$H$2:$J$502,3,0),"Нет в каталоге")</f>
        <v>Часы</v>
      </c>
      <c r="O688" s="4">
        <f>IFERROR(VLOOKUP(I688,Товары_очищенные!$H$2:$M$502,6,0),"")</f>
        <v>26500</v>
      </c>
      <c r="P688" t="str">
        <f t="shared" si="148"/>
        <v xml:space="preserve">Цена отличается от каталога</v>
      </c>
    </row>
    <row r="689">
      <c r="A689" s="3" t="s">
        <v>3384</v>
      </c>
      <c r="B689" s="3" t="s">
        <v>3386</v>
      </c>
      <c r="C689" s="3" t="s">
        <v>1942</v>
      </c>
      <c r="D689" s="3" t="s">
        <v>1943</v>
      </c>
      <c r="E689" s="3" t="s">
        <v>3387</v>
      </c>
      <c r="F689" s="3" t="s">
        <v>1629</v>
      </c>
      <c r="G689" s="3" t="s">
        <v>1908</v>
      </c>
      <c r="H689" s="5">
        <f t="shared" si="144"/>
        <v>46015</v>
      </c>
      <c r="I689" t="str">
        <f t="shared" si="145"/>
        <v>АРТ-236</v>
      </c>
      <c r="J689" s="6">
        <f t="shared" si="146"/>
        <v>-2</v>
      </c>
      <c r="K689" s="4">
        <f>VALUE(SUBSTITUTE(SUBSTITUTE(SUBSTITUTE(SUBSTITUTE(D689,"$",""),"€",""),"₽","")," ",""))*IF(ISNUMBER(FIND("$",D689)),Справочники!$H$3,IF(ISNUMBER(FIND("€",D689)),Справочники!$H$4,1))</f>
        <v>10925</v>
      </c>
      <c r="L689" t="str">
        <f>IFERROR(VLOOKUP(TRIM(G689),Справочники!$D$3:$E$13,2,0),"Нет в справочнике")</f>
        <v>Завершен</v>
      </c>
      <c r="M689" t="str">
        <f t="shared" si="147"/>
        <v/>
      </c>
      <c r="N689" t="str">
        <f>IFERROR(VLOOKUP(I689,Товары_очищенные!$H$2:$J$502,3,0),"Нет в каталоге")</f>
        <v>Планшеты</v>
      </c>
      <c r="O689" s="4">
        <f>IFERROR(VLOOKUP(I689,Товары_очищенные!$H$2:$M$502,6,0),"")</f>
        <v>58000</v>
      </c>
      <c r="P689" t="str">
        <f t="shared" si="148"/>
        <v xml:space="preserve">Цена отличается от каталога</v>
      </c>
    </row>
    <row r="690">
      <c r="A690" s="3" t="s">
        <v>3388</v>
      </c>
      <c r="B690" s="3" t="s">
        <v>3389</v>
      </c>
      <c r="C690" s="3" t="s">
        <v>1905</v>
      </c>
      <c r="D690" s="3" t="s">
        <v>1934</v>
      </c>
      <c r="E690" s="3" t="s">
        <v>3390</v>
      </c>
      <c r="F690" s="3" t="s">
        <v>1778</v>
      </c>
      <c r="G690" s="3" t="s">
        <v>1913</v>
      </c>
      <c r="H690" s="5">
        <f t="shared" si="144"/>
        <v>46016</v>
      </c>
      <c r="I690" t="str">
        <f t="shared" si="145"/>
        <v>АРТ-322</v>
      </c>
      <c r="J690" s="6">
        <f t="shared" si="146"/>
        <v>1</v>
      </c>
      <c r="K690" s="4">
        <f>VALUE(SUBSTITUTE(SUBSTITUTE(SUBSTITUTE(SUBSTITUTE(D690,"$",""),"€",""),"₽","")," ",""))*IF(ISNUMBER(FIND("$",D690)),Справочники!$H$3,IF(ISNUMBER(FIND("€",D690)),Справочники!$H$4,1))</f>
        <v>9500</v>
      </c>
      <c r="L690" t="str">
        <f>IFERROR(VLOOKUP(TRIM(G690),Справочники!$D$3:$E$13,2,0),"Нет в справочнике")</f>
        <v>Завершен</v>
      </c>
      <c r="M690" t="str">
        <f t="shared" si="147"/>
        <v/>
      </c>
      <c r="N690" t="str">
        <f>IFERROR(VLOOKUP(I690,Товары_очищенные!$H$2:$J$502,3,0),"Нет в каталоге")</f>
        <v>Наушники</v>
      </c>
      <c r="O690" s="4">
        <f>IFERROR(VLOOKUP(I690,Товары_очищенные!$H$2:$M$502,6,0),"")</f>
        <v>12990</v>
      </c>
      <c r="P690" t="str">
        <f t="shared" si="148"/>
        <v xml:space="preserve">Цена отличается от каталога</v>
      </c>
    </row>
    <row r="691">
      <c r="A691" s="3" t="s">
        <v>3388</v>
      </c>
      <c r="B691" s="3" t="s">
        <v>2671</v>
      </c>
      <c r="C691" s="3" t="s">
        <v>1900</v>
      </c>
      <c r="D691" s="3" t="s">
        <v>1951</v>
      </c>
      <c r="E691" s="3" t="s">
        <v>3391</v>
      </c>
      <c r="F691" s="3" t="s">
        <v>1862</v>
      </c>
      <c r="G691" s="3" t="s">
        <v>1918</v>
      </c>
      <c r="H691" s="5">
        <f t="shared" si="144"/>
        <v>46016</v>
      </c>
      <c r="I691" t="str">
        <f t="shared" si="145"/>
        <v>АРТ-134</v>
      </c>
      <c r="J691" s="6">
        <f t="shared" si="146"/>
        <v>2</v>
      </c>
      <c r="K691" s="4">
        <f>VALUE(SUBSTITUTE(SUBSTITUTE(SUBSTITUTE(SUBSTITUTE(D691,"$",""),"€",""),"₽","")," ",""))*IF(ISNUMBER(FIND("$",D691)),Справочники!$H$3,IF(ISNUMBER(FIND("€",D691)),Справочники!$H$4,1))</f>
        <v>8500</v>
      </c>
      <c r="L691" t="str">
        <f>IFERROR(VLOOKUP(TRIM(G691),Справочники!$D$3:$E$13,2,0),"Нет в справочнике")</f>
        <v>Отменен</v>
      </c>
      <c r="M691" t="str">
        <f t="shared" si="147"/>
        <v/>
      </c>
      <c r="N691" t="str">
        <f>IFERROR(VLOOKUP(I691,Товары_очищенные!$H$2:$J$502,3,0),"Нет в каталоге")</f>
        <v>Телевизоры</v>
      </c>
      <c r="O691" s="4">
        <f>IFERROR(VLOOKUP(I691,Товары_очищенные!$H$2:$M$502,6,0),"")</f>
        <v>124000</v>
      </c>
      <c r="P691" t="str">
        <f t="shared" si="148"/>
        <v xml:space="preserve">Цена отличается от каталога</v>
      </c>
    </row>
    <row r="692">
      <c r="A692" s="3" t="s">
        <v>3392</v>
      </c>
      <c r="B692" s="3" t="s">
        <v>3393</v>
      </c>
      <c r="C692" s="3" t="s">
        <v>1930</v>
      </c>
      <c r="D692" s="3" t="s">
        <v>1931</v>
      </c>
      <c r="E692" s="3" t="s">
        <v>3394</v>
      </c>
      <c r="F692" s="3" t="s">
        <v>1695</v>
      </c>
      <c r="G692" s="3" t="s">
        <v>1924</v>
      </c>
      <c r="H692" s="5">
        <f t="shared" si="144"/>
        <v>46017</v>
      </c>
      <c r="I692" t="str">
        <f t="shared" si="145"/>
        <v>АРТ-008</v>
      </c>
      <c r="J692" s="6">
        <f t="shared" si="146"/>
        <v>3</v>
      </c>
      <c r="K692" s="4">
        <f>VALUE(SUBSTITUTE(SUBSTITUTE(SUBSTITUTE(SUBSTITUTE(D692,"$",""),"€",""),"₽","")," ",""))*IF(ISNUMBER(FIND("$",D692)),Справочники!$H$3,IF(ISNUMBER(FIND("€",D692)),Справочники!$H$4,1))</f>
        <v>9975</v>
      </c>
      <c r="L692" t="str">
        <f>IFERROR(VLOOKUP(TRIM(G692),Справочники!$D$3:$E$13,2,0),"Нет в справочнике")</f>
        <v>Отменен</v>
      </c>
      <c r="M692" t="str">
        <f t="shared" si="147"/>
        <v/>
      </c>
      <c r="N692" t="str">
        <f>IFERROR(VLOOKUP(I692,Товары_очищенные!$H$2:$J$502,3,0),"Нет в каталоге")</f>
        <v>Смартфоны</v>
      </c>
      <c r="O692" s="4">
        <f>IFERROR(VLOOKUP(I692,Товары_очищенные!$H$2:$M$502,6,0),"")</f>
        <v>68900</v>
      </c>
      <c r="P692" t="str">
        <f t="shared" si="148"/>
        <v xml:space="preserve">Цена отличается от каталога</v>
      </c>
    </row>
    <row r="693">
      <c r="A693" s="3" t="s">
        <v>3392</v>
      </c>
      <c r="B693" s="3" t="s">
        <v>2444</v>
      </c>
      <c r="C693" s="3" t="s">
        <v>1900</v>
      </c>
      <c r="D693" s="3" t="s">
        <v>1906</v>
      </c>
      <c r="E693" s="3" t="s">
        <v>3395</v>
      </c>
      <c r="F693" s="3" t="s">
        <v>1573</v>
      </c>
      <c r="G693" s="3" t="s">
        <v>1903</v>
      </c>
      <c r="H693" s="5">
        <f t="shared" si="144"/>
        <v>46017</v>
      </c>
      <c r="I693" t="str">
        <f t="shared" si="145"/>
        <v>АРТ-474</v>
      </c>
      <c r="J693" s="6">
        <f t="shared" si="146"/>
        <v>2</v>
      </c>
      <c r="K693" s="4">
        <f>VALUE(SUBSTITUTE(SUBSTITUTE(SUBSTITUTE(SUBSTITUTE(D693,"$",""),"€",""),"₽","")," ",""))*IF(ISNUMBER(FIND("$",D693)),Справочники!$H$3,IF(ISNUMBER(FIND("€",D693)),Справочники!$H$4,1))</f>
        <v>8500</v>
      </c>
      <c r="L693" t="str">
        <f>IFERROR(VLOOKUP(TRIM(G693),Справочники!$D$3:$E$13,2,0),"Нет в справочнике")</f>
        <v>Завершен</v>
      </c>
      <c r="M693" t="str">
        <f t="shared" si="147"/>
        <v/>
      </c>
      <c r="N693" t="str">
        <f>IFERROR(VLOOKUP(I693,Товары_очищенные!$H$2:$J$502,3,0),"Нет в каталоге")</f>
        <v>Наушники</v>
      </c>
      <c r="O693" s="4">
        <f>IFERROR(VLOOKUP(I693,Товары_очищенные!$H$2:$M$502,6,0),"")</f>
        <v>9800</v>
      </c>
      <c r="P693" t="str">
        <f t="shared" si="148"/>
        <v>ОК</v>
      </c>
    </row>
    <row r="694">
      <c r="A694" s="3" t="s">
        <v>3396</v>
      </c>
      <c r="B694" s="3" t="s">
        <v>2526</v>
      </c>
      <c r="C694" s="3" t="s">
        <v>1938</v>
      </c>
      <c r="D694" s="3" t="s">
        <v>2166</v>
      </c>
      <c r="E694" s="3" t="s">
        <v>3397</v>
      </c>
      <c r="F694" s="3" t="s">
        <v>1808</v>
      </c>
      <c r="G694" s="3" t="s">
        <v>1927</v>
      </c>
      <c r="H694" s="5">
        <f t="shared" si="144"/>
        <v>46018</v>
      </c>
      <c r="I694" t="str">
        <f t="shared" si="145"/>
        <v>АРТ-346</v>
      </c>
      <c r="J694" s="6">
        <f t="shared" si="146"/>
        <v>1</v>
      </c>
      <c r="K694" s="4">
        <f>VALUE(SUBSTITUTE(SUBSTITUTE(SUBSTITUTE(SUBSTITUTE(D694,"$",""),"€",""),"₽","")," ",""))*IF(ISNUMBER(FIND("$",D694)),Справочники!$H$3,IF(ISNUMBER(FIND("€",D694)),Справочники!$H$4,1))</f>
        <v>7800</v>
      </c>
      <c r="L694" t="str">
        <f>IFERROR(VLOOKUP(TRIM(G694),Справочники!$D$3:$E$13,2,0),"Нет в справочнике")</f>
        <v>Возврат</v>
      </c>
      <c r="M694" t="str">
        <f t="shared" si="147"/>
        <v/>
      </c>
      <c r="N694" t="str">
        <f>IFERROR(VLOOKUP(I694,Товары_очищенные!$H$2:$J$502,3,0),"Нет в каталоге")</f>
        <v>Наушники</v>
      </c>
      <c r="O694" s="4">
        <f>IFERROR(VLOOKUP(I694,Товары_очищенные!$H$2:$M$502,6,0),"")</f>
        <v>19990</v>
      </c>
      <c r="P694" t="str">
        <f t="shared" si="148"/>
        <v xml:space="preserve">Цена отличается от каталога</v>
      </c>
    </row>
    <row r="695">
      <c r="A695" s="3" t="s">
        <v>3396</v>
      </c>
      <c r="B695" s="3" t="s">
        <v>1224</v>
      </c>
      <c r="C695" s="3" t="s">
        <v>1985</v>
      </c>
      <c r="D695" s="3" t="s">
        <v>2044</v>
      </c>
      <c r="E695" s="3" t="s">
        <v>3398</v>
      </c>
      <c r="F695" s="3" t="s">
        <v>1670</v>
      </c>
      <c r="G695" s="3" t="s">
        <v>1908</v>
      </c>
      <c r="H695" s="5">
        <f t="shared" si="144"/>
        <v>46018</v>
      </c>
      <c r="I695" t="str">
        <f t="shared" si="145"/>
        <v>АРТ-352</v>
      </c>
      <c r="J695" s="6">
        <f t="shared" si="146"/>
        <v>-3</v>
      </c>
      <c r="K695" s="4">
        <f>VALUE(SUBSTITUTE(SUBSTITUTE(SUBSTITUTE(SUBSTITUTE(D695,"$",""),"€",""),"₽","")," ",""))*IF(ISNUMBER(FIND("$",D695)),Справочники!$H$3,IF(ISNUMBER(FIND("€",D695)),Справочники!$H$4,1))</f>
        <v>11400</v>
      </c>
      <c r="L695" t="str">
        <f>IFERROR(VLOOKUP(TRIM(G695),Справочники!$D$3:$E$13,2,0),"Нет в справочнике")</f>
        <v>Завершен</v>
      </c>
      <c r="M695" t="str">
        <f t="shared" si="147"/>
        <v/>
      </c>
      <c r="N695" t="str">
        <f>IFERROR(VLOOKUP(I695,Товары_очищенные!$H$2:$J$502,3,0),"Нет в каталоге")</f>
        <v>Аксессуары</v>
      </c>
      <c r="O695" s="4">
        <f>IFERROR(VLOOKUP(I695,Товары_очищенные!$H$2:$M$502,6,0),"")</f>
        <v>6990</v>
      </c>
      <c r="P695" t="str">
        <f t="shared" si="148"/>
        <v xml:space="preserve">Цена отличается от каталога</v>
      </c>
    </row>
    <row r="696">
      <c r="A696" s="3" t="s">
        <v>3399</v>
      </c>
      <c r="B696" s="3" t="s">
        <v>2600</v>
      </c>
      <c r="C696" s="3" t="s">
        <v>1900</v>
      </c>
      <c r="D696" s="3" t="s">
        <v>2046</v>
      </c>
      <c r="E696" s="3" t="s">
        <v>3400</v>
      </c>
      <c r="F696" s="3" t="s">
        <v>1752</v>
      </c>
      <c r="G696" s="3" t="s">
        <v>1913</v>
      </c>
      <c r="H696" s="5">
        <f t="shared" si="144"/>
        <v>46019</v>
      </c>
      <c r="I696" t="str">
        <f t="shared" si="145"/>
        <v>АРТ-303</v>
      </c>
      <c r="J696" s="6">
        <f t="shared" si="146"/>
        <v>2</v>
      </c>
      <c r="K696" s="4">
        <f>VALUE(SUBSTITUTE(SUBSTITUTE(SUBSTITUTE(SUBSTITUTE(D696,"$",""),"€",""),"₽","")," ",""))*IF(ISNUMBER(FIND("$",D696)),Справочники!$H$3,IF(ISNUMBER(FIND("€",D696)),Справочники!$H$4,1))</f>
        <v>10000</v>
      </c>
      <c r="L696" t="str">
        <f>IFERROR(VLOOKUP(TRIM(G696),Справочники!$D$3:$E$13,2,0),"Нет в справочнике")</f>
        <v>Завершен</v>
      </c>
      <c r="M696" t="str">
        <f t="shared" si="147"/>
        <v/>
      </c>
      <c r="N696" t="str">
        <f>IFERROR(VLOOKUP(I696,Товары_очищенные!$H$2:$J$502,3,0),"Нет в каталоге")</f>
        <v>Наушники</v>
      </c>
      <c r="O696" s="4">
        <f>IFERROR(VLOOKUP(I696,Товары_очищенные!$H$2:$M$502,6,0),"")</f>
        <v>8800</v>
      </c>
      <c r="P696" t="str">
        <f t="shared" si="148"/>
        <v>ОК</v>
      </c>
    </row>
    <row r="697">
      <c r="A697" s="3" t="s">
        <v>3399</v>
      </c>
      <c r="B697" s="3" t="s">
        <v>3401</v>
      </c>
      <c r="C697" s="3" t="s">
        <v>1905</v>
      </c>
      <c r="D697" s="3" t="s">
        <v>2087</v>
      </c>
      <c r="E697" s="3" t="s">
        <v>3402</v>
      </c>
      <c r="F697" s="3" t="s">
        <v>1790</v>
      </c>
      <c r="G697" s="3" t="s">
        <v>1903</v>
      </c>
      <c r="H697" s="5">
        <f t="shared" si="144"/>
        <v>46019</v>
      </c>
      <c r="I697" t="str">
        <f t="shared" si="145"/>
        <v>АРТ-283</v>
      </c>
      <c r="J697" s="6">
        <f t="shared" si="146"/>
        <v>1</v>
      </c>
      <c r="K697" s="4">
        <f>VALUE(SUBSTITUTE(SUBSTITUTE(SUBSTITUTE(SUBSTITUTE(D697,"$",""),"€",""),"₽","")," ",""))*IF(ISNUMBER(FIND("$",D697)),Справочники!$H$3,IF(ISNUMBER(FIND("€",D697)),Справочники!$H$4,1))</f>
        <v>9200</v>
      </c>
      <c r="L697" t="str">
        <f>IFERROR(VLOOKUP(TRIM(G697),Справочники!$D$3:$E$13,2,0),"Нет в справочнике")</f>
        <v>Завершен</v>
      </c>
      <c r="M697" t="str">
        <f t="shared" si="147"/>
        <v/>
      </c>
      <c r="N697" t="str">
        <f>IFERROR(VLOOKUP(I697,Товары_очищенные!$H$2:$J$502,3,0),"Нет в каталоге")</f>
        <v>Мониторы</v>
      </c>
      <c r="O697" s="4">
        <f>IFERROR(VLOOKUP(I697,Товары_очищенные!$H$2:$M$502,6,0),"")</f>
        <v>84990</v>
      </c>
      <c r="P697" t="str">
        <f t="shared" si="148"/>
        <v xml:space="preserve">Цена отличается от каталога</v>
      </c>
    </row>
    <row r="698">
      <c r="A698" s="3" t="s">
        <v>3403</v>
      </c>
      <c r="B698" s="3" t="s">
        <v>2818</v>
      </c>
      <c r="C698" s="3" t="s">
        <v>1930</v>
      </c>
      <c r="D698" s="3" t="s">
        <v>1986</v>
      </c>
      <c r="E698" s="3" t="s">
        <v>3404</v>
      </c>
      <c r="F698" s="3" t="s">
        <v>1856</v>
      </c>
      <c r="G698" s="3" t="s">
        <v>1924</v>
      </c>
      <c r="H698" s="5">
        <f t="shared" si="144"/>
        <v>46020</v>
      </c>
      <c r="I698" t="str">
        <f t="shared" si="145"/>
        <v>АРТ-168</v>
      </c>
      <c r="J698" s="6">
        <f t="shared" si="146"/>
        <v>3</v>
      </c>
      <c r="K698" s="4">
        <f>VALUE(SUBSTITUTE(SUBSTITUTE(SUBSTITUTE(SUBSTITUTE(D698,"$",""),"€",""),"₽","")," ",""))*IF(ISNUMBER(FIND("$",D698)),Справочники!$H$3,IF(ISNUMBER(FIND("€",D698)),Справочники!$H$4,1))</f>
        <v>8550</v>
      </c>
      <c r="L698" t="str">
        <f>IFERROR(VLOOKUP(TRIM(G698),Справочники!$D$3:$E$13,2,0),"Нет в справочнике")</f>
        <v>Отменен</v>
      </c>
      <c r="M698" t="str">
        <f t="shared" si="147"/>
        <v/>
      </c>
      <c r="N698" t="str">
        <f>IFERROR(VLOOKUP(I698,Товары_очищенные!$H$2:$J$502,3,0),"Нет в каталоге")</f>
        <v>Планшеты</v>
      </c>
      <c r="O698" s="4">
        <f>IFERROR(VLOOKUP(I698,Товары_очищенные!$H$2:$M$502,6,0),"")</f>
        <v>85000</v>
      </c>
      <c r="P698" t="str">
        <f t="shared" si="148"/>
        <v xml:space="preserve">Цена отличается от каталога</v>
      </c>
    </row>
    <row r="699">
      <c r="A699" s="3" t="s">
        <v>3403</v>
      </c>
      <c r="B699" s="3" t="s">
        <v>2075</v>
      </c>
      <c r="C699" s="3" t="s">
        <v>1900</v>
      </c>
      <c r="D699" s="3" t="s">
        <v>1989</v>
      </c>
      <c r="E699" s="3" t="s">
        <v>3405</v>
      </c>
      <c r="F699" s="3" t="s">
        <v>1708</v>
      </c>
      <c r="G699" s="3" t="s">
        <v>1918</v>
      </c>
      <c r="H699" s="5">
        <f t="shared" si="144"/>
        <v>46020</v>
      </c>
      <c r="I699" t="str">
        <f t="shared" si="145"/>
        <v>АРТ-492</v>
      </c>
      <c r="J699" s="6">
        <f t="shared" si="146"/>
        <v>2</v>
      </c>
      <c r="K699" s="4">
        <f>VALUE(SUBSTITUTE(SUBSTITUTE(SUBSTITUTE(SUBSTITUTE(D699,"$",""),"€",""),"₽","")," ",""))*IF(ISNUMBER(FIND("$",D699)),Справочники!$H$3,IF(ISNUMBER(FIND("€",D699)),Справочники!$H$4,1))</f>
        <v>7000</v>
      </c>
      <c r="L699" t="str">
        <f>IFERROR(VLOOKUP(TRIM(G699),Справочники!$D$3:$E$13,2,0),"Нет в справочнике")</f>
        <v>Отменен</v>
      </c>
      <c r="M699" t="str">
        <f t="shared" si="147"/>
        <v/>
      </c>
      <c r="N699" t="str">
        <f>IFERROR(VLOOKUP(I699,Товары_очищенные!$H$2:$J$502,3,0),"Нет в каталоге")</f>
        <v>Телевизоры</v>
      </c>
      <c r="O699" s="4">
        <f>IFERROR(VLOOKUP(I699,Товары_очищенные!$H$2:$M$502,6,0),"")</f>
        <v>64000</v>
      </c>
      <c r="P699" t="str">
        <f t="shared" si="148"/>
        <v xml:space="preserve">Цена отличается от каталога</v>
      </c>
    </row>
    <row r="700">
      <c r="A700" s="3" t="s">
        <v>3406</v>
      </c>
      <c r="B700" s="3" t="s">
        <v>3407</v>
      </c>
      <c r="C700" s="3" t="s">
        <v>1938</v>
      </c>
      <c r="D700" s="3" t="s">
        <v>1939</v>
      </c>
      <c r="E700" s="3" t="s">
        <v>3408</v>
      </c>
      <c r="F700" s="3" t="s">
        <v>1838</v>
      </c>
      <c r="G700" s="3" t="s">
        <v>1927</v>
      </c>
      <c r="H700" s="5">
        <f t="shared" si="144"/>
        <v>46021</v>
      </c>
      <c r="I700" t="str">
        <f t="shared" si="145"/>
        <v>АРТ-306</v>
      </c>
      <c r="J700" s="6">
        <f t="shared" si="146"/>
        <v>1</v>
      </c>
      <c r="K700" s="4">
        <f>VALUE(SUBSTITUTE(SUBSTITUTE(SUBSTITUTE(SUBSTITUTE(D700,"$",""),"€",""),"₽","")," ",""))*IF(ISNUMBER(FIND("$",D700)),Справочники!$H$3,IF(ISNUMBER(FIND("€",D700)),Справочники!$H$4,1))</f>
        <v>6500</v>
      </c>
      <c r="L700" t="str">
        <f>IFERROR(VLOOKUP(TRIM(G700),Справочники!$D$3:$E$13,2,0),"Нет в справочнике")</f>
        <v>Возврат</v>
      </c>
      <c r="M700" t="str">
        <f t="shared" si="147"/>
        <v/>
      </c>
      <c r="N700" t="str">
        <f>IFERROR(VLOOKUP(I700,Товары_очищенные!$H$2:$J$502,3,0),"Нет в каталоге")</f>
        <v>Мониторы</v>
      </c>
      <c r="O700" s="4">
        <f>IFERROR(VLOOKUP(I700,Товары_очищенные!$H$2:$M$502,6,0),"")</f>
        <v>62000</v>
      </c>
      <c r="P700" t="str">
        <f t="shared" si="148"/>
        <v xml:space="preserve">Цена отличается от каталога</v>
      </c>
    </row>
    <row r="701">
      <c r="A701" s="3" t="s">
        <v>3406</v>
      </c>
      <c r="B701" s="3" t="s">
        <v>2628</v>
      </c>
      <c r="C701" s="3" t="s">
        <v>1915</v>
      </c>
      <c r="D701" s="3" t="s">
        <v>1916</v>
      </c>
      <c r="E701" s="3" t="s">
        <v>3409</v>
      </c>
      <c r="F701" s="3" t="s">
        <v>1759</v>
      </c>
      <c r="G701" s="3" t="s">
        <v>1903</v>
      </c>
      <c r="H701" s="5">
        <f t="shared" si="144"/>
        <v>46021</v>
      </c>
      <c r="I701" t="str">
        <f t="shared" si="145"/>
        <v>АРТ-381</v>
      </c>
      <c r="J701" s="6">
        <f t="shared" si="146"/>
        <v>-1</v>
      </c>
      <c r="K701" s="4">
        <f>VALUE(SUBSTITUTE(SUBSTITUTE(SUBSTITUTE(SUBSTITUTE(D701,"$",""),"€",""),"₽","")," ",""))*IF(ISNUMBER(FIND("$",D701)),Справочники!$H$3,IF(ISNUMBER(FIND("€",D701)),Справочники!$H$4,1))</f>
        <v>10450</v>
      </c>
      <c r="L701" t="str">
        <f>IFERROR(VLOOKUP(TRIM(G701),Справочники!$D$3:$E$13,2,0),"Нет в справочнике")</f>
        <v>Завершен</v>
      </c>
      <c r="M701" t="str">
        <f t="shared" si="147"/>
        <v/>
      </c>
      <c r="N701" t="str">
        <f>IFERROR(VLOOKUP(I701,Товары_очищенные!$H$2:$J$502,3,0),"Нет в каталоге")</f>
        <v>Планшеты</v>
      </c>
      <c r="O701" s="4">
        <f>IFERROR(VLOOKUP(I701,Товары_очищенные!$H$2:$M$502,6,0),"")</f>
        <v>38500</v>
      </c>
      <c r="P701" t="str">
        <f t="shared" si="148"/>
        <v xml:space="preserve">Цена отличается от каталога</v>
      </c>
    </row>
    <row r="702">
      <c r="A702" s="3" t="s">
        <v>3410</v>
      </c>
      <c r="B702" s="3" t="s">
        <v>3411</v>
      </c>
      <c r="C702" s="3" t="s">
        <v>1930</v>
      </c>
      <c r="D702" s="3" t="s">
        <v>1922</v>
      </c>
      <c r="E702" s="3" t="s">
        <v>3412</v>
      </c>
      <c r="F702" s="3" t="s">
        <v>1642</v>
      </c>
      <c r="G702" s="3" t="s">
        <v>1908</v>
      </c>
      <c r="H702" s="5">
        <f t="shared" si="144"/>
        <v>46022</v>
      </c>
      <c r="I702" t="str">
        <f t="shared" si="145"/>
        <v>АРТ-375</v>
      </c>
      <c r="J702" s="6">
        <f t="shared" si="146"/>
        <v>3</v>
      </c>
      <c r="K702" s="4">
        <f>VALUE(SUBSTITUTE(SUBSTITUTE(SUBSTITUTE(SUBSTITUTE(D702,"$",""),"€",""),"₽","")," ",""))*IF(ISNUMBER(FIND("$",D702)),Справочники!$H$3,IF(ISNUMBER(FIND("€",D702)),Справочники!$H$4,1))</f>
        <v>9000</v>
      </c>
      <c r="L702" t="str">
        <f>IFERROR(VLOOKUP(TRIM(G702),Справочники!$D$3:$E$13,2,0),"Нет в справочнике")</f>
        <v>Завершен</v>
      </c>
      <c r="M702" t="str">
        <f t="shared" si="147"/>
        <v/>
      </c>
      <c r="N702" t="str">
        <f>IFERROR(VLOOKUP(I702,Товары_очищенные!$H$2:$J$502,3,0),"Нет в каталоге")</f>
        <v>Аксессуары</v>
      </c>
      <c r="O702" s="4">
        <f>IFERROR(VLOOKUP(I702,Товары_очищенные!$H$2:$M$502,6,0),"")</f>
        <v>14800</v>
      </c>
      <c r="P702" t="str">
        <f t="shared" si="148"/>
        <v xml:space="preserve">Цена отличается от каталога</v>
      </c>
    </row>
    <row r="703">
      <c r="A703" s="3" t="s">
        <v>3410</v>
      </c>
      <c r="B703" s="3" t="s">
        <v>2984</v>
      </c>
      <c r="C703" s="3" t="s">
        <v>1900</v>
      </c>
      <c r="D703" s="3" t="s">
        <v>1925</v>
      </c>
      <c r="E703" s="3" t="s">
        <v>3413</v>
      </c>
      <c r="F703" s="3" t="s">
        <v>1608</v>
      </c>
      <c r="G703" s="3" t="s">
        <v>1913</v>
      </c>
      <c r="H703" s="5">
        <f t="shared" si="144"/>
        <v>46022</v>
      </c>
      <c r="I703" t="str">
        <f t="shared" si="145"/>
        <v>АРТ-214</v>
      </c>
      <c r="J703" s="6">
        <f t="shared" si="146"/>
        <v>2</v>
      </c>
      <c r="K703" s="4">
        <f>VALUE(SUBSTITUTE(SUBSTITUTE(SUBSTITUTE(SUBSTITUTE(D703,"$",""),"€",""),"₽","")," ",""))*IF(ISNUMBER(FIND("$",D703)),Справочники!$H$3,IF(ISNUMBER(FIND("€",D703)),Справочники!$H$4,1))</f>
        <v>8000</v>
      </c>
      <c r="L703" t="str">
        <f>IFERROR(VLOOKUP(TRIM(G703),Справочники!$D$3:$E$13,2,0),"Нет в справочнике")</f>
        <v>Завершен</v>
      </c>
      <c r="M703" t="str">
        <f t="shared" si="147"/>
        <v/>
      </c>
      <c r="N703" t="str">
        <f>IFERROR(VLOOKUP(I703,Товары_очищенные!$H$2:$J$502,3,0),"Нет в каталоге")</f>
        <v>Планшеты</v>
      </c>
      <c r="O703" s="4">
        <f>IFERROR(VLOOKUP(I703,Товары_очищенные!$H$2:$M$502,6,0),"")</f>
        <v>26990</v>
      </c>
      <c r="P703" t="str">
        <f t="shared" si="148"/>
        <v xml:space="preserve">Цена отличается от каталога</v>
      </c>
    </row>
    <row r="704">
      <c r="A704" s="3" t="s">
        <v>3414</v>
      </c>
      <c r="B704" s="3" t="s">
        <v>2475</v>
      </c>
      <c r="C704" s="3" t="s">
        <v>1905</v>
      </c>
      <c r="D704" s="3" t="s">
        <v>1964</v>
      </c>
      <c r="E704" s="3" t="s">
        <v>3415</v>
      </c>
      <c r="F704" s="3" t="s">
        <v>1715</v>
      </c>
      <c r="G704" s="3" t="s">
        <v>1918</v>
      </c>
      <c r="H704" s="5">
        <f t="shared" si="144"/>
        <v>46023</v>
      </c>
      <c r="I704" t="str">
        <f t="shared" si="145"/>
        <v>АРТ-021</v>
      </c>
      <c r="J704" s="6">
        <f t="shared" si="146"/>
        <v>1</v>
      </c>
      <c r="K704" s="4">
        <f>VALUE(SUBSTITUTE(SUBSTITUTE(SUBSTITUTE(SUBSTITUTE(D704,"$",""),"€",""),"₽","")," ",""))*IF(ISNUMBER(FIND("$",D704)),Справочники!$H$3,IF(ISNUMBER(FIND("€",D704)),Справочники!$H$4,1))</f>
        <v>9025</v>
      </c>
      <c r="L704" t="str">
        <f>IFERROR(VLOOKUP(TRIM(G704),Справочники!$D$3:$E$13,2,0),"Нет в справочнике")</f>
        <v>Отменен</v>
      </c>
      <c r="M704" t="str">
        <f t="shared" si="147"/>
        <v/>
      </c>
      <c r="N704" t="str">
        <f>IFERROR(VLOOKUP(I704,Товары_очищенные!$H$2:$J$502,3,0),"Нет в каталоге")</f>
        <v>Ноутбуки</v>
      </c>
      <c r="O704" s="4">
        <f>IFERROR(VLOOKUP(I704,Товары_очищенные!$H$2:$M$502,6,0),"")</f>
        <v>137000</v>
      </c>
      <c r="P704" t="str">
        <f t="shared" si="148"/>
        <v xml:space="preserve">Цена отличается от каталога</v>
      </c>
    </row>
    <row r="705">
      <c r="A705" s="3" t="s">
        <v>3414</v>
      </c>
      <c r="B705" s="3" t="s">
        <v>2497</v>
      </c>
      <c r="C705" s="3" t="s">
        <v>1900</v>
      </c>
      <c r="D705" s="3" t="s">
        <v>1968</v>
      </c>
      <c r="E705" s="3" t="s">
        <v>3416</v>
      </c>
      <c r="F705" s="3" t="s">
        <v>1850</v>
      </c>
      <c r="G705" s="3" t="s">
        <v>1924</v>
      </c>
      <c r="H705" s="5">
        <f t="shared" si="144"/>
        <v>46023</v>
      </c>
      <c r="I705" t="str">
        <f t="shared" si="145"/>
        <v>АРТ-439</v>
      </c>
      <c r="J705" s="6">
        <f t="shared" si="146"/>
        <v>2</v>
      </c>
      <c r="K705" s="4">
        <f>VALUE(SUBSTITUTE(SUBSTITUTE(SUBSTITUTE(SUBSTITUTE(D705,"$",""),"€",""),"₽","")," ",""))*IF(ISNUMBER(FIND("$",D705)),Справочники!$H$3,IF(ISNUMBER(FIND("€",D705)),Справочники!$H$4,1))</f>
        <v>7500</v>
      </c>
      <c r="L705" t="str">
        <f>IFERROR(VLOOKUP(TRIM(G705),Справочники!$D$3:$E$13,2,0),"Нет в справочнике")</f>
        <v>Отменен</v>
      </c>
      <c r="M705" t="str">
        <f t="shared" si="147"/>
        <v/>
      </c>
      <c r="N705" t="str">
        <f>IFERROR(VLOOKUP(I705,Товары_очищенные!$H$2:$J$502,3,0),"Нет в каталоге")</f>
        <v>Планшеты</v>
      </c>
      <c r="O705" s="4">
        <f>IFERROR(VLOOKUP(I705,Товары_очищенные!$H$2:$M$502,6,0),"")</f>
        <v>29990</v>
      </c>
      <c r="P705" t="str">
        <f t="shared" si="148"/>
        <v xml:space="preserve">Цена отличается от каталога</v>
      </c>
    </row>
    <row r="706">
      <c r="A706" s="3" t="s">
        <v>3417</v>
      </c>
      <c r="B706" s="3" t="s">
        <v>3418</v>
      </c>
      <c r="C706" s="3" t="s">
        <v>1910</v>
      </c>
      <c r="D706" s="3" t="s">
        <v>1971</v>
      </c>
      <c r="E706" s="3" t="s">
        <v>3419</v>
      </c>
      <c r="F706" s="3" t="s">
        <v>1615</v>
      </c>
      <c r="G706" s="3" t="s">
        <v>1903</v>
      </c>
      <c r="H706" s="5">
        <f t="shared" si="144"/>
        <v>46024</v>
      </c>
      <c r="I706" t="str">
        <f t="shared" si="145"/>
        <v>АРТ-323</v>
      </c>
      <c r="J706" s="6">
        <f t="shared" si="146"/>
        <v>3</v>
      </c>
      <c r="K706" s="4">
        <f>VALUE(SUBSTITUTE(SUBSTITUTE(SUBSTITUTE(SUBSTITUTE(D706,"$",""),"€",""),"₽","")," ",""))*IF(ISNUMBER(FIND("$",D706)),Справочники!$H$3,IF(ISNUMBER(FIND("€",D706)),Справочники!$H$4,1))</f>
        <v>7000</v>
      </c>
      <c r="L706" t="str">
        <f>IFERROR(VLOOKUP(TRIM(G706),Справочники!$D$3:$E$13,2,0),"Нет в справочнике")</f>
        <v>Завершен</v>
      </c>
      <c r="M706" t="str">
        <f t="shared" si="147"/>
        <v/>
      </c>
      <c r="N706" t="str">
        <f>IFERROR(VLOOKUP(I706,Товары_очищенные!$H$2:$J$502,3,0),"Нет в каталоге")</f>
        <v>Наушники</v>
      </c>
      <c r="O706" s="4">
        <f>IFERROR(VLOOKUP(I706,Товары_очищенные!$H$2:$M$502,6,0),"")</f>
        <v>12500</v>
      </c>
      <c r="P706" t="str">
        <f t="shared" si="148"/>
        <v xml:space="preserve">Цена отличается от каталога</v>
      </c>
    </row>
    <row r="707">
      <c r="A707" s="3" t="s">
        <v>3417</v>
      </c>
      <c r="B707" s="3" t="s">
        <v>3146</v>
      </c>
      <c r="C707" s="3" t="s">
        <v>1942</v>
      </c>
      <c r="D707" s="3" t="s">
        <v>1943</v>
      </c>
      <c r="E707" s="3" t="s">
        <v>3420</v>
      </c>
      <c r="F707" s="3" t="s">
        <v>1765</v>
      </c>
      <c r="G707" s="3" t="s">
        <v>1927</v>
      </c>
      <c r="H707" s="5">
        <f t="shared" si="144"/>
        <v>46024</v>
      </c>
      <c r="I707" t="str">
        <f t="shared" si="145"/>
        <v>АРТ-192</v>
      </c>
      <c r="J707" s="6">
        <f t="shared" si="146"/>
        <v>-2</v>
      </c>
      <c r="K707" s="4">
        <f>VALUE(SUBSTITUTE(SUBSTITUTE(SUBSTITUTE(SUBSTITUTE(D707,"$",""),"€",""),"₽","")," ",""))*IF(ISNUMBER(FIND("$",D707)),Справочники!$H$3,IF(ISNUMBER(FIND("€",D707)),Справочники!$H$4,1))</f>
        <v>10925</v>
      </c>
      <c r="L707" t="str">
        <f>IFERROR(VLOOKUP(TRIM(G707),Справочники!$D$3:$E$13,2,0),"Нет в справочнике")</f>
        <v>Возврат</v>
      </c>
      <c r="M707" t="str">
        <f t="shared" si="147"/>
        <v/>
      </c>
      <c r="N707" t="str">
        <f>IFERROR(VLOOKUP(I707,Товары_очищенные!$H$2:$J$502,3,0),"Нет в каталоге")</f>
        <v>Планшеты</v>
      </c>
      <c r="O707" s="4">
        <f>IFERROR(VLOOKUP(I707,Товары_очищенные!$H$2:$M$502,6,0),"")</f>
        <v>26500</v>
      </c>
      <c r="P707" t="str">
        <f t="shared" si="148"/>
        <v xml:space="preserve">Цена отличается от каталога</v>
      </c>
    </row>
    <row r="708">
      <c r="A708" s="3" t="s">
        <v>3421</v>
      </c>
      <c r="B708" s="3" t="s">
        <v>3422</v>
      </c>
      <c r="C708" s="3" t="s">
        <v>1905</v>
      </c>
      <c r="D708" s="3" t="s">
        <v>1934</v>
      </c>
      <c r="E708" s="3" t="s">
        <v>3423</v>
      </c>
      <c r="F708" s="3" t="s">
        <v>1688</v>
      </c>
      <c r="G708" s="3" t="s">
        <v>1908</v>
      </c>
      <c r="H708" s="5">
        <f t="shared" si="144"/>
        <v>46025</v>
      </c>
      <c r="I708" t="str">
        <f t="shared" si="145"/>
        <v>АРТ-343</v>
      </c>
      <c r="J708" s="6">
        <f t="shared" si="146"/>
        <v>1</v>
      </c>
      <c r="K708" s="4">
        <f>VALUE(SUBSTITUTE(SUBSTITUTE(SUBSTITUTE(SUBSTITUTE(D708,"$",""),"€",""),"₽","")," ",""))*IF(ISNUMBER(FIND("$",D708)),Справочники!$H$3,IF(ISNUMBER(FIND("€",D708)),Справочники!$H$4,1))</f>
        <v>9500</v>
      </c>
      <c r="L708" t="str">
        <f>IFERROR(VLOOKUP(TRIM(G708),Справочники!$D$3:$E$13,2,0),"Нет в справочнике")</f>
        <v>Завершен</v>
      </c>
      <c r="M708" t="str">
        <f t="shared" si="147"/>
        <v/>
      </c>
      <c r="N708" t="str">
        <f>IFERROR(VLOOKUP(I708,Товары_очищенные!$H$2:$J$502,3,0),"Нет в каталоге")</f>
        <v>Телевизоры</v>
      </c>
      <c r="O708" s="4">
        <f>IFERROR(VLOOKUP(I708,Товары_очищенные!$H$2:$M$502,6,0),"")</f>
        <v>84990</v>
      </c>
      <c r="P708" t="str">
        <f t="shared" si="148"/>
        <v xml:space="preserve">Цена отличается от каталога</v>
      </c>
    </row>
    <row r="709">
      <c r="A709" s="3" t="s">
        <v>3421</v>
      </c>
      <c r="B709" s="3" t="s">
        <v>2238</v>
      </c>
      <c r="C709" s="3" t="s">
        <v>1900</v>
      </c>
      <c r="D709" s="3" t="s">
        <v>1951</v>
      </c>
      <c r="E709" s="3" t="s">
        <v>3424</v>
      </c>
      <c r="F709" s="3" t="s">
        <v>1832</v>
      </c>
      <c r="G709" s="3" t="s">
        <v>1913</v>
      </c>
      <c r="H709" s="5">
        <f t="shared" si="144"/>
        <v>46025</v>
      </c>
      <c r="I709" t="str">
        <f t="shared" si="145"/>
        <v>АРТ-133</v>
      </c>
      <c r="J709" s="6">
        <f t="shared" si="146"/>
        <v>2</v>
      </c>
      <c r="K709" s="4">
        <f>VALUE(SUBSTITUTE(SUBSTITUTE(SUBSTITUTE(SUBSTITUTE(D709,"$",""),"€",""),"₽","")," ",""))*IF(ISNUMBER(FIND("$",D709)),Справочники!$H$3,IF(ISNUMBER(FIND("€",D709)),Справочники!$H$4,1))</f>
        <v>8500</v>
      </c>
      <c r="L709" t="str">
        <f>IFERROR(VLOOKUP(TRIM(G709),Справочники!$D$3:$E$13,2,0),"Нет в справочнике")</f>
        <v>Завершен</v>
      </c>
      <c r="M709" t="str">
        <f t="shared" si="147"/>
        <v/>
      </c>
      <c r="N709" t="str">
        <f>IFERROR(VLOOKUP(I709,Товары_очищенные!$H$2:$J$502,3,0),"Нет в каталоге")</f>
        <v>Телевизоры</v>
      </c>
      <c r="O709" s="4">
        <f>IFERROR(VLOOKUP(I709,Товары_очищенные!$H$2:$M$502,6,0),"")</f>
        <v>126990</v>
      </c>
      <c r="P709" t="str">
        <f t="shared" si="148"/>
        <v xml:space="preserve">Цена отличается от каталога</v>
      </c>
    </row>
    <row r="710">
      <c r="A710" s="3" t="s">
        <v>3425</v>
      </c>
      <c r="B710" s="3" t="s">
        <v>441</v>
      </c>
      <c r="C710" s="3" t="s">
        <v>1930</v>
      </c>
      <c r="D710" s="3" t="s">
        <v>1931</v>
      </c>
      <c r="E710" s="3" t="s">
        <v>3426</v>
      </c>
      <c r="F710" s="3" t="s">
        <v>1594</v>
      </c>
      <c r="G710" s="3" t="s">
        <v>1903</v>
      </c>
      <c r="H710" s="5">
        <f t="shared" si="144"/>
        <v>46026</v>
      </c>
      <c r="I710" t="str">
        <f t="shared" si="145"/>
        <v>АРТ-097</v>
      </c>
      <c r="J710" s="6">
        <f t="shared" si="146"/>
        <v>3</v>
      </c>
      <c r="K710" s="4">
        <f>VALUE(SUBSTITUTE(SUBSTITUTE(SUBSTITUTE(SUBSTITUTE(D710,"$",""),"€",""),"₽","")," ",""))*IF(ISNUMBER(FIND("$",D710)),Справочники!$H$3,IF(ISNUMBER(FIND("€",D710)),Справочники!$H$4,1))</f>
        <v>9975</v>
      </c>
      <c r="L710" t="str">
        <f>IFERROR(VLOOKUP(TRIM(G710),Справочники!$D$3:$E$13,2,0),"Нет в справочнике")</f>
        <v>Завершен</v>
      </c>
      <c r="M710" t="str">
        <f t="shared" si="147"/>
        <v/>
      </c>
      <c r="N710" t="str">
        <f>IFERROR(VLOOKUP(I710,Товары_очищенные!$H$2:$J$502,3,0),"Нет в каталоге")</f>
        <v>Аксессуары</v>
      </c>
      <c r="O710" s="4">
        <f>IFERROR(VLOOKUP(I710,Товары_очищенные!$H$2:$M$502,6,0),"")</f>
        <v>6990</v>
      </c>
      <c r="P710" t="str">
        <f t="shared" si="148"/>
        <v xml:space="preserve">Цена отличается от каталога</v>
      </c>
    </row>
    <row r="711">
      <c r="A711" s="3" t="s">
        <v>3425</v>
      </c>
      <c r="B711" s="3" t="s">
        <v>1465</v>
      </c>
      <c r="C711" s="3" t="s">
        <v>1900</v>
      </c>
      <c r="D711" s="3" t="s">
        <v>1906</v>
      </c>
      <c r="E711" s="3" t="s">
        <v>3427</v>
      </c>
      <c r="F711" s="3" t="s">
        <v>1796</v>
      </c>
      <c r="G711" s="3" t="s">
        <v>1924</v>
      </c>
      <c r="H711" s="5">
        <f t="shared" si="144"/>
        <v>46026</v>
      </c>
      <c r="I711" t="str">
        <f t="shared" si="145"/>
        <v>АРТ-461</v>
      </c>
      <c r="J711" s="6">
        <f t="shared" si="146"/>
        <v>2</v>
      </c>
      <c r="K711" s="4">
        <f>VALUE(SUBSTITUTE(SUBSTITUTE(SUBSTITUTE(SUBSTITUTE(D711,"$",""),"€",""),"₽","")," ",""))*IF(ISNUMBER(FIND("$",D711)),Справочники!$H$3,IF(ISNUMBER(FIND("€",D711)),Справочники!$H$4,1))</f>
        <v>8500</v>
      </c>
      <c r="L711" t="str">
        <f>IFERROR(VLOOKUP(TRIM(G711),Справочники!$D$3:$E$13,2,0),"Нет в справочнике")</f>
        <v>Отменен</v>
      </c>
      <c r="M711" t="str">
        <f t="shared" si="147"/>
        <v/>
      </c>
      <c r="N711" t="str">
        <f>IFERROR(VLOOKUP(I711,Товары_очищенные!$H$2:$J$502,3,0),"Нет в каталоге")</f>
        <v>Часы</v>
      </c>
      <c r="O711" s="4">
        <f>IFERROR(VLOOKUP(I711,Товары_очищенные!$H$2:$M$502,6,0),"")</f>
        <v>46000</v>
      </c>
      <c r="P711" t="str">
        <f t="shared" si="148"/>
        <v xml:space="preserve">Цена отличается от каталога</v>
      </c>
    </row>
    <row r="712">
      <c r="A712" s="3" t="s">
        <v>3428</v>
      </c>
      <c r="B712" s="3" t="s">
        <v>3012</v>
      </c>
      <c r="C712" s="3" t="s">
        <v>1938</v>
      </c>
      <c r="D712" s="3" t="s">
        <v>2166</v>
      </c>
      <c r="E712" s="3" t="s">
        <v>3429</v>
      </c>
      <c r="F712" s="3" t="s">
        <v>1656</v>
      </c>
      <c r="G712" s="3" t="s">
        <v>1918</v>
      </c>
      <c r="H712" s="5">
        <f t="shared" si="144"/>
        <v>46027</v>
      </c>
      <c r="I712" t="str">
        <f t="shared" si="145"/>
        <v>АРТ-308</v>
      </c>
      <c r="J712" s="6">
        <f t="shared" si="146"/>
        <v>1</v>
      </c>
      <c r="K712" s="4">
        <f>VALUE(SUBSTITUTE(SUBSTITUTE(SUBSTITUTE(SUBSTITUTE(D712,"$",""),"€",""),"₽","")," ",""))*IF(ISNUMBER(FIND("$",D712)),Справочники!$H$3,IF(ISNUMBER(FIND("€",D712)),Справочники!$H$4,1))</f>
        <v>7800</v>
      </c>
      <c r="L712" t="str">
        <f>IFERROR(VLOOKUP(TRIM(G712),Справочники!$D$3:$E$13,2,0),"Нет в справочнике")</f>
        <v>Отменен</v>
      </c>
      <c r="M712" t="str">
        <f t="shared" si="147"/>
        <v/>
      </c>
      <c r="N712" t="str">
        <f>IFERROR(VLOOKUP(I712,Товары_очищенные!$H$2:$J$502,3,0),"Нет в каталоге")</f>
        <v>Аксессуары</v>
      </c>
      <c r="O712" s="4">
        <f>IFERROR(VLOOKUP(I712,Товары_очищенные!$H$2:$M$502,6,0),"")</f>
        <v>8500</v>
      </c>
      <c r="P712" t="str">
        <f t="shared" si="148"/>
        <v>ОК</v>
      </c>
    </row>
    <row r="713">
      <c r="A713" s="3" t="s">
        <v>3428</v>
      </c>
      <c r="B713" s="3" t="s">
        <v>3430</v>
      </c>
      <c r="C713" s="3" t="s">
        <v>1985</v>
      </c>
      <c r="D713" s="3" t="s">
        <v>2044</v>
      </c>
      <c r="E713" s="3" t="s">
        <v>3431</v>
      </c>
      <c r="F713" s="3" t="s">
        <v>1746</v>
      </c>
      <c r="G713" s="3" t="s">
        <v>1927</v>
      </c>
      <c r="H713" s="5">
        <f t="shared" si="144"/>
        <v>46027</v>
      </c>
      <c r="I713" t="str">
        <f t="shared" si="145"/>
        <v>АРТ-390</v>
      </c>
      <c r="J713" s="6">
        <f t="shared" si="146"/>
        <v>-3</v>
      </c>
      <c r="K713" s="4">
        <f>VALUE(SUBSTITUTE(SUBSTITUTE(SUBSTITUTE(SUBSTITUTE(D713,"$",""),"€",""),"₽","")," ",""))*IF(ISNUMBER(FIND("$",D713)),Справочники!$H$3,IF(ISNUMBER(FIND("€",D713)),Справочники!$H$4,1))</f>
        <v>11400</v>
      </c>
      <c r="L713" t="str">
        <f>IFERROR(VLOOKUP(TRIM(G713),Справочники!$D$3:$E$13,2,0),"Нет в справочнике")</f>
        <v>Возврат</v>
      </c>
      <c r="M713" t="str">
        <f t="shared" si="147"/>
        <v/>
      </c>
      <c r="N713" t="str">
        <f>IFERROR(VLOOKUP(I713,Товары_очищенные!$H$2:$J$502,3,0),"Нет в каталоге")</f>
        <v>Телевизоры</v>
      </c>
      <c r="O713" s="4">
        <f>IFERROR(VLOOKUP(I713,Товары_очищенные!$H$2:$M$502,6,0),"")</f>
        <v>80000</v>
      </c>
      <c r="P713" t="str">
        <f t="shared" si="148"/>
        <v xml:space="preserve">Цена отличается от каталога</v>
      </c>
    </row>
    <row r="714">
      <c r="A714" s="3" t="s">
        <v>3432</v>
      </c>
      <c r="B714" s="3" t="s">
        <v>3433</v>
      </c>
      <c r="C714" s="3" t="s">
        <v>1900</v>
      </c>
      <c r="D714" s="3" t="s">
        <v>2046</v>
      </c>
      <c r="E714" s="3" t="s">
        <v>3434</v>
      </c>
      <c r="F714" s="3" t="s">
        <v>1622</v>
      </c>
      <c r="G714" s="3" t="s">
        <v>1903</v>
      </c>
      <c r="H714" s="5">
        <f t="shared" si="144"/>
        <v>46028</v>
      </c>
      <c r="I714" t="str">
        <f t="shared" si="145"/>
        <v>АРТ-301</v>
      </c>
      <c r="J714" s="6">
        <f t="shared" si="146"/>
        <v>2</v>
      </c>
      <c r="K714" s="4">
        <f>VALUE(SUBSTITUTE(SUBSTITUTE(SUBSTITUTE(SUBSTITUTE(D714,"$",""),"€",""),"₽","")," ",""))*IF(ISNUMBER(FIND("$",D714)),Справочники!$H$3,IF(ISNUMBER(FIND("€",D714)),Справочники!$H$4,1))</f>
        <v>10000</v>
      </c>
      <c r="L714" t="str">
        <f>IFERROR(VLOOKUP(TRIM(G714),Справочники!$D$3:$E$13,2,0),"Нет в справочнике")</f>
        <v>Завершен</v>
      </c>
      <c r="M714" t="str">
        <f t="shared" si="147"/>
        <v/>
      </c>
      <c r="N714" t="str">
        <f>IFERROR(VLOOKUP(I714,Товары_очищенные!$H$2:$J$502,3,0),"Нет в каталоге")</f>
        <v>Наушники</v>
      </c>
      <c r="O714" s="4">
        <f>IFERROR(VLOOKUP(I714,Товары_очищенные!$H$2:$M$502,6,0),"")</f>
        <v>7990</v>
      </c>
      <c r="P714" t="str">
        <f t="shared" si="148"/>
        <v xml:space="preserve">Цена отличается от каталога</v>
      </c>
    </row>
    <row r="715">
      <c r="A715" s="3" t="s">
        <v>3432</v>
      </c>
      <c r="B715" s="3" t="s">
        <v>2646</v>
      </c>
      <c r="C715" s="3" t="s">
        <v>1905</v>
      </c>
      <c r="D715" s="3" t="s">
        <v>2087</v>
      </c>
      <c r="E715" s="3" t="s">
        <v>3435</v>
      </c>
      <c r="F715" s="3" t="s">
        <v>1826</v>
      </c>
      <c r="G715" s="3" t="s">
        <v>1908</v>
      </c>
      <c r="H715" s="5">
        <f t="shared" si="144"/>
        <v>46028</v>
      </c>
      <c r="I715" t="str">
        <f t="shared" si="145"/>
        <v>АРТ-158</v>
      </c>
      <c r="J715" s="6">
        <f t="shared" si="146"/>
        <v>1</v>
      </c>
      <c r="K715" s="4">
        <f>VALUE(SUBSTITUTE(SUBSTITUTE(SUBSTITUTE(SUBSTITUTE(D715,"$",""),"€",""),"₽","")," ",""))*IF(ISNUMBER(FIND("$",D715)),Справочники!$H$3,IF(ISNUMBER(FIND("€",D715)),Справочники!$H$4,1))</f>
        <v>9200</v>
      </c>
      <c r="L715" t="str">
        <f>IFERROR(VLOOKUP(TRIM(G715),Справочники!$D$3:$E$13,2,0),"Нет в справочнике")</f>
        <v>Завершен</v>
      </c>
      <c r="M715" t="str">
        <f t="shared" si="147"/>
        <v/>
      </c>
      <c r="N715" t="str">
        <f>IFERROR(VLOOKUP(I715,Товары_очищенные!$H$2:$J$502,3,0),"Нет в каталоге")</f>
        <v>Мониторы</v>
      </c>
      <c r="O715" s="4">
        <f>IFERROR(VLOOKUP(I715,Товары_очищенные!$H$2:$M$502,6,0),"")</f>
        <v>90000</v>
      </c>
      <c r="P715" t="str">
        <f t="shared" si="148"/>
        <v xml:space="preserve">Цена отличается от каталога</v>
      </c>
    </row>
    <row r="716">
      <c r="A716" s="3" t="s">
        <v>3436</v>
      </c>
      <c r="B716" s="3" t="s">
        <v>2138</v>
      </c>
      <c r="C716" s="3" t="s">
        <v>1930</v>
      </c>
      <c r="D716" s="3" t="s">
        <v>1986</v>
      </c>
      <c r="E716" s="3" t="s">
        <v>3437</v>
      </c>
      <c r="F716" s="3" t="s">
        <v>1676</v>
      </c>
      <c r="G716" s="3" t="s">
        <v>1913</v>
      </c>
      <c r="H716" s="5">
        <f t="shared" si="144"/>
        <v>46029</v>
      </c>
      <c r="I716" t="str">
        <f t="shared" si="145"/>
        <v>АРТ-059</v>
      </c>
      <c r="J716" s="6">
        <f t="shared" si="146"/>
        <v>3</v>
      </c>
      <c r="K716" s="4">
        <f>VALUE(SUBSTITUTE(SUBSTITUTE(SUBSTITUTE(SUBSTITUTE(D716,"$",""),"€",""),"₽","")," ",""))*IF(ISNUMBER(FIND("$",D716)),Справочники!$H$3,IF(ISNUMBER(FIND("€",D716)),Справочники!$H$4,1))</f>
        <v>8550</v>
      </c>
      <c r="L716" t="str">
        <f>IFERROR(VLOOKUP(TRIM(G716),Справочники!$D$3:$E$13,2,0),"Нет в справочнике")</f>
        <v>Завершен</v>
      </c>
      <c r="M716" t="str">
        <f t="shared" si="147"/>
        <v/>
      </c>
      <c r="N716" t="str">
        <f>IFERROR(VLOOKUP(I716,Товары_очищенные!$H$2:$J$502,3,0),"Нет в каталоге")</f>
        <v>Планшеты</v>
      </c>
      <c r="O716" s="4">
        <f>IFERROR(VLOOKUP(I716,Товары_очищенные!$H$2:$M$502,6,0),"")</f>
        <v>66000</v>
      </c>
      <c r="P716" t="str">
        <f t="shared" si="148"/>
        <v xml:space="preserve">Цена отличается от каталога</v>
      </c>
    </row>
    <row r="717">
      <c r="A717" s="3" t="s">
        <v>3436</v>
      </c>
      <c r="B717" s="3" t="s">
        <v>3438</v>
      </c>
      <c r="C717" s="3" t="s">
        <v>1900</v>
      </c>
      <c r="D717" s="3" t="s">
        <v>1989</v>
      </c>
      <c r="E717" s="3" t="s">
        <v>3439</v>
      </c>
      <c r="F717" s="3" t="s">
        <v>1772</v>
      </c>
      <c r="G717" s="3" t="s">
        <v>1918</v>
      </c>
      <c r="H717" s="5">
        <f t="shared" si="144"/>
        <v>46029</v>
      </c>
      <c r="I717" t="str">
        <f t="shared" si="145"/>
        <v>АРТ-469</v>
      </c>
      <c r="J717" s="6">
        <f t="shared" si="146"/>
        <v>2</v>
      </c>
      <c r="K717" s="4">
        <f>VALUE(SUBSTITUTE(SUBSTITUTE(SUBSTITUTE(SUBSTITUTE(D717,"$",""),"€",""),"₽","")," ",""))*IF(ISNUMBER(FIND("$",D717)),Справочники!$H$3,IF(ISNUMBER(FIND("€",D717)),Справочники!$H$4,1))</f>
        <v>7000</v>
      </c>
      <c r="L717" t="str">
        <f>IFERROR(VLOOKUP(TRIM(G717),Справочники!$D$3:$E$13,2,0),"Нет в справочнике")</f>
        <v>Отменен</v>
      </c>
      <c r="M717" t="str">
        <f t="shared" si="147"/>
        <v/>
      </c>
      <c r="N717" t="str">
        <f>IFERROR(VLOOKUP(I717,Товары_очищенные!$H$2:$J$502,3,0),"Нет в каталоге")</f>
        <v>Телевизоры</v>
      </c>
      <c r="O717" s="4">
        <f>IFERROR(VLOOKUP(I717,Товары_очищенные!$H$2:$M$502,6,0),"")</f>
        <v>58990</v>
      </c>
      <c r="P717" t="str">
        <f t="shared" si="148"/>
        <v xml:space="preserve">Цена отличается от каталога</v>
      </c>
    </row>
    <row r="718">
      <c r="A718" s="3" t="s">
        <v>3440</v>
      </c>
      <c r="B718" s="3" t="s">
        <v>3199</v>
      </c>
      <c r="C718" s="3" t="s">
        <v>1938</v>
      </c>
      <c r="D718" s="3" t="s">
        <v>1939</v>
      </c>
      <c r="E718" s="3" t="s">
        <v>3441</v>
      </c>
      <c r="F718" s="3" t="s">
        <v>1874</v>
      </c>
      <c r="G718" s="3" t="s">
        <v>1924</v>
      </c>
      <c r="H718" s="5">
        <f t="shared" si="144"/>
        <v>46030</v>
      </c>
      <c r="I718" t="str">
        <f t="shared" si="145"/>
        <v>АРТ-379</v>
      </c>
      <c r="J718" s="6">
        <f t="shared" si="146"/>
        <v>1</v>
      </c>
      <c r="K718" s="4">
        <f>VALUE(SUBSTITUTE(SUBSTITUTE(SUBSTITUTE(SUBSTITUTE(D718,"$",""),"€",""),"₽","")," ",""))*IF(ISNUMBER(FIND("$",D718)),Справочники!$H$3,IF(ISNUMBER(FIND("€",D718)),Справочники!$H$4,1))</f>
        <v>6500</v>
      </c>
      <c r="L718" t="str">
        <f>IFERROR(VLOOKUP(TRIM(G718),Справочники!$D$3:$E$13,2,0),"Нет в справочнике")</f>
        <v>Отменен</v>
      </c>
      <c r="M718" t="str">
        <f t="shared" si="147"/>
        <v/>
      </c>
      <c r="N718" t="str">
        <f>IFERROR(VLOOKUP(I718,Товары_очищенные!$H$2:$J$502,3,0),"Нет в каталоге")</f>
        <v>Планшеты</v>
      </c>
      <c r="O718" s="4">
        <f>IFERROR(VLOOKUP(I718,Товары_очищенные!$H$2:$M$502,6,0),"")</f>
        <v>36990</v>
      </c>
      <c r="P718" t="str">
        <f t="shared" si="148"/>
        <v xml:space="preserve">Цена отличается от каталога</v>
      </c>
    </row>
    <row r="719">
      <c r="A719" s="3" t="s">
        <v>3440</v>
      </c>
      <c r="B719" s="3" t="s">
        <v>1344</v>
      </c>
      <c r="C719" s="3" t="s">
        <v>1915</v>
      </c>
      <c r="D719" s="3" t="s">
        <v>1916</v>
      </c>
      <c r="E719" s="3" t="s">
        <v>3442</v>
      </c>
      <c r="F719" s="3" t="s">
        <v>1601</v>
      </c>
      <c r="G719" s="3" t="s">
        <v>1903</v>
      </c>
      <c r="H719" s="5">
        <f t="shared" si="144"/>
        <v>46030</v>
      </c>
      <c r="I719" t="str">
        <f t="shared" si="145"/>
        <v>АРТ-406</v>
      </c>
      <c r="J719" s="6">
        <f t="shared" si="146"/>
        <v>-1</v>
      </c>
      <c r="K719" s="4">
        <f>VALUE(SUBSTITUTE(SUBSTITUTE(SUBSTITUTE(SUBSTITUTE(D719,"$",""),"€",""),"₽","")," ",""))*IF(ISNUMBER(FIND("$",D719)),Справочники!$H$3,IF(ISNUMBER(FIND("€",D719)),Справочники!$H$4,1))</f>
        <v>10450</v>
      </c>
      <c r="L719" t="str">
        <f>IFERROR(VLOOKUP(TRIM(G719),Справочники!$D$3:$E$13,2,0),"Нет в справочнике")</f>
        <v>Завершен</v>
      </c>
      <c r="M719" t="str">
        <f t="shared" si="147"/>
        <v/>
      </c>
      <c r="N719" t="str">
        <f>IFERROR(VLOOKUP(I719,Товары_очищенные!$H$2:$J$502,3,0),"Нет в каталоге")</f>
        <v>Телевизоры</v>
      </c>
      <c r="O719" s="4">
        <f>IFERROR(VLOOKUP(I719,Товары_очищенные!$H$2:$M$502,6,0),"")</f>
        <v>104990</v>
      </c>
      <c r="P719" t="str">
        <f t="shared" si="148"/>
        <v xml:space="preserve">Цена отличается от каталога</v>
      </c>
    </row>
    <row r="720">
      <c r="A720" s="3" t="s">
        <v>3443</v>
      </c>
      <c r="B720" s="3" t="s">
        <v>3444</v>
      </c>
      <c r="C720" s="3" t="s">
        <v>1930</v>
      </c>
      <c r="D720" s="3" t="s">
        <v>1922</v>
      </c>
      <c r="E720" s="3" t="s">
        <v>3445</v>
      </c>
      <c r="F720" s="3" t="s">
        <v>1721</v>
      </c>
      <c r="G720" s="3" t="s">
        <v>1927</v>
      </c>
      <c r="H720" s="5">
        <f t="shared" si="144"/>
        <v>46031</v>
      </c>
      <c r="I720" t="str">
        <f t="shared" si="145"/>
        <v>АРТ-310</v>
      </c>
      <c r="J720" s="6">
        <f t="shared" si="146"/>
        <v>3</v>
      </c>
      <c r="K720" s="4">
        <f>VALUE(SUBSTITUTE(SUBSTITUTE(SUBSTITUTE(SUBSTITUTE(D720,"$",""),"€",""),"₽","")," ",""))*IF(ISNUMBER(FIND("$",D720)),Справочники!$H$3,IF(ISNUMBER(FIND("€",D720)),Справочники!$H$4,1))</f>
        <v>9000</v>
      </c>
      <c r="L720" t="str">
        <f>IFERROR(VLOOKUP(TRIM(G720),Справочники!$D$3:$E$13,2,0),"Нет в справочнике")</f>
        <v>Возврат</v>
      </c>
      <c r="M720" t="str">
        <f t="shared" si="147"/>
        <v/>
      </c>
      <c r="N720" t="str">
        <f>IFERROR(VLOOKUP(I720,Товары_очищенные!$H$2:$J$502,3,0),"Нет в каталоге")</f>
        <v>Планшеты</v>
      </c>
      <c r="O720" s="4">
        <f>IFERROR(VLOOKUP(I720,Товары_очищенные!$H$2:$M$502,6,0),"")</f>
        <v>64990</v>
      </c>
      <c r="P720" t="str">
        <f t="shared" si="148"/>
        <v xml:space="preserve">Цена отличается от каталога</v>
      </c>
    </row>
    <row r="721">
      <c r="A721" s="3" t="s">
        <v>3443</v>
      </c>
      <c r="B721" s="3" t="s">
        <v>2238</v>
      </c>
      <c r="C721" s="3" t="s">
        <v>1900</v>
      </c>
      <c r="D721" s="3" t="s">
        <v>1925</v>
      </c>
      <c r="E721" s="3" t="s">
        <v>3446</v>
      </c>
      <c r="F721" s="3" t="s">
        <v>1663</v>
      </c>
      <c r="G721" s="3" t="s">
        <v>1908</v>
      </c>
      <c r="H721" s="5">
        <f t="shared" si="144"/>
        <v>46031</v>
      </c>
      <c r="I721" t="str">
        <f t="shared" si="145"/>
        <v>АРТ-133</v>
      </c>
      <c r="J721" s="6">
        <f t="shared" si="146"/>
        <v>2</v>
      </c>
      <c r="K721" s="4">
        <f>VALUE(SUBSTITUTE(SUBSTITUTE(SUBSTITUTE(SUBSTITUTE(D721,"$",""),"€",""),"₽","")," ",""))*IF(ISNUMBER(FIND("$",D721)),Справочники!$H$3,IF(ISNUMBER(FIND("€",D721)),Справочники!$H$4,1))</f>
        <v>8000</v>
      </c>
      <c r="L721" t="str">
        <f>IFERROR(VLOOKUP(TRIM(G721),Справочники!$D$3:$E$13,2,0),"Нет в справочнике")</f>
        <v>Завершен</v>
      </c>
      <c r="M721" t="str">
        <f t="shared" si="147"/>
        <v/>
      </c>
      <c r="N721" t="str">
        <f>IFERROR(VLOOKUP(I721,Товары_очищенные!$H$2:$J$502,3,0),"Нет в каталоге")</f>
        <v>Телевизоры</v>
      </c>
      <c r="O721" s="4">
        <f>IFERROR(VLOOKUP(I721,Товары_очищенные!$H$2:$M$502,6,0),"")</f>
        <v>126990</v>
      </c>
      <c r="P721" t="str">
        <f t="shared" si="148"/>
        <v xml:space="preserve">Цена отличается от каталога</v>
      </c>
    </row>
    <row r="722">
      <c r="A722" s="3" t="s">
        <v>3447</v>
      </c>
      <c r="B722" s="3" t="s">
        <v>308</v>
      </c>
      <c r="C722" s="3" t="s">
        <v>1905</v>
      </c>
      <c r="D722" s="3" t="s">
        <v>1964</v>
      </c>
      <c r="E722" s="3" t="s">
        <v>3448</v>
      </c>
      <c r="F722" s="3" t="s">
        <v>1802</v>
      </c>
      <c r="G722" s="3" t="s">
        <v>1913</v>
      </c>
      <c r="H722" s="5">
        <f t="shared" si="144"/>
        <v>46032</v>
      </c>
      <c r="I722" t="str">
        <f t="shared" si="145"/>
        <v>АРТ-064</v>
      </c>
      <c r="J722" s="6">
        <f t="shared" si="146"/>
        <v>1</v>
      </c>
      <c r="K722" s="4">
        <f>VALUE(SUBSTITUTE(SUBSTITUTE(SUBSTITUTE(SUBSTITUTE(D722,"$",""),"€",""),"₽","")," ",""))*IF(ISNUMBER(FIND("$",D722)),Справочники!$H$3,IF(ISNUMBER(FIND("€",D722)),Справочники!$H$4,1))</f>
        <v>9025</v>
      </c>
      <c r="L722" t="str">
        <f>IFERROR(VLOOKUP(TRIM(G722),Справочники!$D$3:$E$13,2,0),"Нет в справочнике")</f>
        <v>Завершен</v>
      </c>
      <c r="M722" t="str">
        <f t="shared" si="147"/>
        <v/>
      </c>
      <c r="N722" t="str">
        <f>IFERROR(VLOOKUP(I722,Товары_очищенные!$H$2:$J$502,3,0),"Нет в каталоге")</f>
        <v>Смартфоны</v>
      </c>
      <c r="O722" s="4">
        <f>IFERROR(VLOOKUP(I722,Товары_очищенные!$H$2:$M$502,6,0),"")</f>
        <v>56990</v>
      </c>
      <c r="P722" t="str">
        <f t="shared" si="148"/>
        <v xml:space="preserve">Цена отличается от каталога</v>
      </c>
    </row>
    <row r="723">
      <c r="A723" s="3" t="s">
        <v>3447</v>
      </c>
      <c r="B723" s="3" t="s">
        <v>3449</v>
      </c>
      <c r="C723" s="3" t="s">
        <v>1900</v>
      </c>
      <c r="D723" s="3" t="s">
        <v>1968</v>
      </c>
      <c r="E723" s="3" t="s">
        <v>3450</v>
      </c>
      <c r="F723" s="3" t="s">
        <v>1868</v>
      </c>
      <c r="G723" s="3" t="s">
        <v>1903</v>
      </c>
      <c r="H723" s="5">
        <f t="shared" si="144"/>
        <v>46032</v>
      </c>
      <c r="I723" t="str">
        <f t="shared" si="145"/>
        <v>АРТ-463</v>
      </c>
      <c r="J723" s="6">
        <f t="shared" si="146"/>
        <v>2</v>
      </c>
      <c r="K723" s="4">
        <f>VALUE(SUBSTITUTE(SUBSTITUTE(SUBSTITUTE(SUBSTITUTE(D723,"$",""),"€",""),"₽","")," ",""))*IF(ISNUMBER(FIND("$",D723)),Справочники!$H$3,IF(ISNUMBER(FIND("€",D723)),Справочники!$H$4,1))</f>
        <v>7500</v>
      </c>
      <c r="L723" t="str">
        <f>IFERROR(VLOOKUP(TRIM(G723),Справочники!$D$3:$E$13,2,0),"Нет в справочнике")</f>
        <v>Завершен</v>
      </c>
      <c r="M723" t="str">
        <f t="shared" si="147"/>
        <v/>
      </c>
      <c r="N723" t="str">
        <f>IFERROR(VLOOKUP(I723,Товары_очищенные!$H$2:$J$502,3,0),"Нет в каталоге")</f>
        <v>Планшеты</v>
      </c>
      <c r="O723" s="4">
        <f>IFERROR(VLOOKUP(I723,Товары_очищенные!$H$2:$M$502,6,0),"")</f>
        <v>29990</v>
      </c>
      <c r="P723" t="str">
        <f t="shared" si="148"/>
        <v xml:space="preserve">Цена отличается от каталога</v>
      </c>
    </row>
    <row r="724">
      <c r="A724" s="3" t="s">
        <v>3451</v>
      </c>
      <c r="B724" s="3" t="s">
        <v>3102</v>
      </c>
      <c r="C724" s="3" t="s">
        <v>1910</v>
      </c>
      <c r="D724" s="3" t="s">
        <v>1971</v>
      </c>
      <c r="E724" s="3" t="s">
        <v>3452</v>
      </c>
      <c r="F724" s="3" t="s">
        <v>1587</v>
      </c>
      <c r="G724" s="3" t="s">
        <v>1924</v>
      </c>
      <c r="H724" s="5">
        <f t="shared" si="144"/>
        <v>46033</v>
      </c>
      <c r="I724" t="str">
        <f t="shared" si="145"/>
        <v>АРТ-386</v>
      </c>
      <c r="J724" s="6">
        <f t="shared" si="146"/>
        <v>3</v>
      </c>
      <c r="K724" s="4">
        <f>VALUE(SUBSTITUTE(SUBSTITUTE(SUBSTITUTE(SUBSTITUTE(D724,"$",""),"€",""),"₽","")," ",""))*IF(ISNUMBER(FIND("$",D724)),Справочники!$H$3,IF(ISNUMBER(FIND("€",D724)),Справочники!$H$4,1))</f>
        <v>7000</v>
      </c>
      <c r="L724" t="str">
        <f>IFERROR(VLOOKUP(TRIM(G724),Справочники!$D$3:$E$13,2,0),"Нет в справочнике")</f>
        <v>Отменен</v>
      </c>
      <c r="M724" t="str">
        <f t="shared" si="147"/>
        <v/>
      </c>
      <c r="N724" t="str">
        <f>IFERROR(VLOOKUP(I724,Товары_очищенные!$H$2:$J$502,3,0),"Нет в каталоге")</f>
        <v>Ноутбуки</v>
      </c>
      <c r="O724" s="4">
        <f>IFERROR(VLOOKUP(I724,Товары_очищенные!$H$2:$M$502,6,0),"")</f>
        <v>114000</v>
      </c>
      <c r="P724" t="str">
        <f t="shared" si="148"/>
        <v xml:space="preserve">Цена отличается от каталога</v>
      </c>
    </row>
    <row r="725">
      <c r="A725" s="3" t="s">
        <v>3451</v>
      </c>
      <c r="B725" s="3" t="s">
        <v>1312</v>
      </c>
      <c r="C725" s="3" t="s">
        <v>1942</v>
      </c>
      <c r="D725" s="3" t="s">
        <v>1943</v>
      </c>
      <c r="E725" s="3" t="s">
        <v>3453</v>
      </c>
      <c r="F725" s="3" t="s">
        <v>1734</v>
      </c>
      <c r="G725" s="3" t="s">
        <v>1918</v>
      </c>
      <c r="H725" s="5">
        <f t="shared" si="144"/>
        <v>46033</v>
      </c>
      <c r="I725" t="str">
        <f t="shared" si="145"/>
        <v>АРТ-391</v>
      </c>
      <c r="J725" s="6">
        <f t="shared" si="146"/>
        <v>-2</v>
      </c>
      <c r="K725" s="4">
        <f>VALUE(SUBSTITUTE(SUBSTITUTE(SUBSTITUTE(SUBSTITUTE(D725,"$",""),"€",""),"₽","")," ",""))*IF(ISNUMBER(FIND("$",D725)),Справочники!$H$3,IF(ISNUMBER(FIND("€",D725)),Справочники!$H$4,1))</f>
        <v>10925</v>
      </c>
      <c r="L725" t="str">
        <f>IFERROR(VLOOKUP(TRIM(G725),Справочники!$D$3:$E$13,2,0),"Нет в справочнике")</f>
        <v>Отменен</v>
      </c>
      <c r="M725" t="str">
        <f t="shared" si="147"/>
        <v/>
      </c>
      <c r="N725" t="str">
        <f>IFERROR(VLOOKUP(I725,Товары_очищенные!$H$2:$J$502,3,0),"Нет в каталоге")</f>
        <v>Наушники</v>
      </c>
      <c r="O725" s="4">
        <f>IFERROR(VLOOKUP(I725,Товары_очищенные!$H$2:$M$502,6,0),"")</f>
        <v>18990</v>
      </c>
      <c r="P725" t="str">
        <f t="shared" si="148"/>
        <v xml:space="preserve">Цена отличается от каталога</v>
      </c>
    </row>
    <row r="726">
      <c r="A726" s="3" t="s">
        <v>3454</v>
      </c>
      <c r="B726" s="3" t="s">
        <v>3455</v>
      </c>
      <c r="C726" s="3" t="s">
        <v>1905</v>
      </c>
      <c r="D726" s="3" t="s">
        <v>1934</v>
      </c>
      <c r="E726" s="3" t="s">
        <v>3456</v>
      </c>
      <c r="F726" s="3" t="s">
        <v>1649</v>
      </c>
      <c r="G726" s="3" t="s">
        <v>1927</v>
      </c>
      <c r="H726" s="5">
        <f t="shared" si="144"/>
        <v>46034</v>
      </c>
      <c r="I726" t="str">
        <f t="shared" si="145"/>
        <v>АРТ-246</v>
      </c>
      <c r="J726" s="6">
        <f t="shared" si="146"/>
        <v>1</v>
      </c>
      <c r="K726" s="4">
        <f>VALUE(SUBSTITUTE(SUBSTITUTE(SUBSTITUTE(SUBSTITUTE(D726,"$",""),"€",""),"₽","")," ",""))*IF(ISNUMBER(FIND("$",D726)),Справочники!$H$3,IF(ISNUMBER(FIND("€",D726)),Справочники!$H$4,1))</f>
        <v>9500</v>
      </c>
      <c r="L726" t="str">
        <f>IFERROR(VLOOKUP(TRIM(G726),Справочники!$D$3:$E$13,2,0),"Нет в справочнике")</f>
        <v>Возврат</v>
      </c>
      <c r="M726" t="str">
        <f t="shared" si="147"/>
        <v/>
      </c>
      <c r="N726" t="str">
        <f>IFERROR(VLOOKUP(I726,Товары_очищенные!$H$2:$J$502,3,0),"Нет в каталоге")</f>
        <v>Мониторы</v>
      </c>
      <c r="O726" s="4">
        <f>IFERROR(VLOOKUP(I726,Товары_очищенные!$H$2:$M$502,6,0),"")</f>
        <v>80000</v>
      </c>
      <c r="P726" t="str">
        <f t="shared" si="148"/>
        <v xml:space="preserve">Цена отличается от каталога</v>
      </c>
    </row>
    <row r="727">
      <c r="A727" s="3" t="s">
        <v>3454</v>
      </c>
      <c r="B727" s="3" t="s">
        <v>2789</v>
      </c>
      <c r="C727" s="3" t="s">
        <v>1900</v>
      </c>
      <c r="D727" s="3" t="s">
        <v>1951</v>
      </c>
      <c r="E727" s="3" t="s">
        <v>3457</v>
      </c>
      <c r="F727" s="3" t="s">
        <v>1784</v>
      </c>
      <c r="G727" s="3" t="s">
        <v>1903</v>
      </c>
      <c r="H727" s="5">
        <f t="shared" si="144"/>
        <v>46034</v>
      </c>
      <c r="I727" t="str">
        <f t="shared" si="145"/>
        <v>АРТ-257</v>
      </c>
      <c r="J727" s="6">
        <f t="shared" si="146"/>
        <v>2</v>
      </c>
      <c r="K727" s="4">
        <f>VALUE(SUBSTITUTE(SUBSTITUTE(SUBSTITUTE(SUBSTITUTE(D727,"$",""),"€",""),"₽","")," ",""))*IF(ISNUMBER(FIND("$",D727)),Справочники!$H$3,IF(ISNUMBER(FIND("€",D727)),Справочники!$H$4,1))</f>
        <v>8500</v>
      </c>
      <c r="L727" t="str">
        <f>IFERROR(VLOOKUP(TRIM(G727),Справочники!$D$3:$E$13,2,0),"Нет в справочнике")</f>
        <v>Завершен</v>
      </c>
      <c r="M727" t="str">
        <f t="shared" si="147"/>
        <v/>
      </c>
      <c r="N727" t="str">
        <f>IFERROR(VLOOKUP(I727,Товары_очищенные!$H$2:$J$502,3,0),"Нет в каталоге")</f>
        <v>Смартфоны</v>
      </c>
      <c r="O727" s="4">
        <f>IFERROR(VLOOKUP(I727,Товары_очищенные!$H$2:$M$502,6,0),"")</f>
        <v>36500</v>
      </c>
      <c r="P727" t="str">
        <f t="shared" si="148"/>
        <v xml:space="preserve">Цена отличается от каталога</v>
      </c>
    </row>
    <row r="728">
      <c r="A728" s="3" t="s">
        <v>3458</v>
      </c>
      <c r="B728" s="3" t="s">
        <v>2830</v>
      </c>
      <c r="C728" s="3" t="s">
        <v>1930</v>
      </c>
      <c r="D728" s="3" t="s">
        <v>1931</v>
      </c>
      <c r="E728" s="3" t="s">
        <v>3459</v>
      </c>
      <c r="F728" s="3" t="s">
        <v>1844</v>
      </c>
      <c r="G728" s="3" t="s">
        <v>1908</v>
      </c>
      <c r="H728" s="5">
        <f t="shared" si="144"/>
        <v>46035</v>
      </c>
      <c r="I728" t="str">
        <f t="shared" si="145"/>
        <v>АРТ-141</v>
      </c>
      <c r="J728" s="6">
        <f t="shared" si="146"/>
        <v>3</v>
      </c>
      <c r="K728" s="4">
        <f>VALUE(SUBSTITUTE(SUBSTITUTE(SUBSTITUTE(SUBSTITUTE(D728,"$",""),"€",""),"₽","")," ",""))*IF(ISNUMBER(FIND("$",D728)),Справочники!$H$3,IF(ISNUMBER(FIND("€",D728)),Справочники!$H$4,1))</f>
        <v>9975</v>
      </c>
      <c r="L728" t="str">
        <f>IFERROR(VLOOKUP(TRIM(G728),Справочники!$D$3:$E$13,2,0),"Нет в справочнике")</f>
        <v>Завершен</v>
      </c>
      <c r="M728" t="str">
        <f t="shared" si="147"/>
        <v/>
      </c>
      <c r="N728" t="str">
        <f>IFERROR(VLOOKUP(I728,Товары_очищенные!$H$2:$J$502,3,0),"Нет в каталоге")</f>
        <v>Мониторы</v>
      </c>
      <c r="O728" s="4">
        <f>IFERROR(VLOOKUP(I728,Товары_очищенные!$H$2:$M$502,6,0),"")</f>
        <v>92500</v>
      </c>
      <c r="P728" t="str">
        <f t="shared" si="148"/>
        <v xml:space="preserve">Цена отличается от каталога</v>
      </c>
    </row>
    <row r="729">
      <c r="A729" s="3" t="s">
        <v>3458</v>
      </c>
      <c r="B729" s="3" t="s">
        <v>1498</v>
      </c>
      <c r="C729" s="3" t="s">
        <v>1900</v>
      </c>
      <c r="D729" s="3" t="s">
        <v>1906</v>
      </c>
      <c r="E729" s="3" t="s">
        <v>3460</v>
      </c>
      <c r="F729" s="3" t="s">
        <v>1566</v>
      </c>
      <c r="G729" s="3" t="s">
        <v>1913</v>
      </c>
      <c r="H729" s="5">
        <f t="shared" si="144"/>
        <v>46035</v>
      </c>
      <c r="I729" t="str">
        <f t="shared" si="145"/>
        <v>АРТ-476</v>
      </c>
      <c r="J729" s="6">
        <f t="shared" si="146"/>
        <v>2</v>
      </c>
      <c r="K729" s="4">
        <f>VALUE(SUBSTITUTE(SUBSTITUTE(SUBSTITUTE(SUBSTITUTE(D729,"$",""),"€",""),"₽","")," ",""))*IF(ISNUMBER(FIND("$",D729)),Справочники!$H$3,IF(ISNUMBER(FIND("€",D729)),Справочники!$H$4,1))</f>
        <v>8500</v>
      </c>
      <c r="L729" t="str">
        <f>IFERROR(VLOOKUP(TRIM(G729),Справочники!$D$3:$E$13,2,0),"Нет в справочнике")</f>
        <v>Завершен</v>
      </c>
      <c r="M729" t="str">
        <f t="shared" si="147"/>
        <v/>
      </c>
      <c r="N729" t="str">
        <f>IFERROR(VLOOKUP(I729,Товары_очищенные!$H$2:$J$502,3,0),"Нет в каталоге")</f>
        <v>Мониторы</v>
      </c>
      <c r="O729" s="4">
        <f>IFERROR(VLOOKUP(I729,Товары_очищенные!$H$2:$M$502,6,0),"")</f>
        <v>50500</v>
      </c>
      <c r="P729" t="str">
        <f t="shared" si="148"/>
        <v xml:space="preserve">Цена отличается от каталога</v>
      </c>
    </row>
    <row r="730">
      <c r="A730" s="3" t="s">
        <v>3461</v>
      </c>
      <c r="B730" s="3" t="s">
        <v>3462</v>
      </c>
      <c r="C730" s="3" t="s">
        <v>1938</v>
      </c>
      <c r="D730" s="3" t="s">
        <v>2166</v>
      </c>
      <c r="E730" s="3" t="s">
        <v>3463</v>
      </c>
      <c r="F730" s="3" t="s">
        <v>1701</v>
      </c>
      <c r="G730" s="3" t="s">
        <v>1918</v>
      </c>
      <c r="H730" s="5">
        <f t="shared" si="144"/>
        <v>46036</v>
      </c>
      <c r="I730" t="str">
        <f t="shared" si="145"/>
        <v>АРТ-374</v>
      </c>
      <c r="J730" s="6">
        <f t="shared" si="146"/>
        <v>1</v>
      </c>
      <c r="K730" s="4">
        <f>VALUE(SUBSTITUTE(SUBSTITUTE(SUBSTITUTE(SUBSTITUTE(D730,"$",""),"€",""),"₽","")," ",""))*IF(ISNUMBER(FIND("$",D730)),Справочники!$H$3,IF(ISNUMBER(FIND("€",D730)),Справочники!$H$4,1))</f>
        <v>7800</v>
      </c>
      <c r="L730" t="str">
        <f>IFERROR(VLOOKUP(TRIM(G730),Справочники!$D$3:$E$13,2,0),"Нет в справочнике")</f>
        <v>Отменен</v>
      </c>
      <c r="M730" t="str">
        <f t="shared" si="147"/>
        <v/>
      </c>
      <c r="N730" t="str">
        <f>IFERROR(VLOOKUP(I730,Товары_очищенные!$H$2:$J$502,3,0),"Нет в каталоге")</f>
        <v>Аксессуары</v>
      </c>
      <c r="O730" s="4">
        <f>IFERROR(VLOOKUP(I730,Товары_очищенные!$H$2:$M$502,6,0),"")</f>
        <v>13500</v>
      </c>
      <c r="P730" t="str">
        <f t="shared" si="148"/>
        <v xml:space="preserve">Цена отличается от каталога</v>
      </c>
    </row>
    <row r="731">
      <c r="A731" s="3" t="s">
        <v>3461</v>
      </c>
      <c r="B731" s="3" t="s">
        <v>3464</v>
      </c>
      <c r="C731" s="3" t="s">
        <v>1985</v>
      </c>
      <c r="D731" s="3" t="s">
        <v>2044</v>
      </c>
      <c r="E731" s="3" t="s">
        <v>3465</v>
      </c>
      <c r="F731" s="3" t="s">
        <v>1814</v>
      </c>
      <c r="G731" s="3" t="s">
        <v>1924</v>
      </c>
      <c r="H731" s="5">
        <f t="shared" si="144"/>
        <v>46036</v>
      </c>
      <c r="I731" t="str">
        <f t="shared" si="145"/>
        <v>АРТ-357</v>
      </c>
      <c r="J731" s="6">
        <f t="shared" si="146"/>
        <v>-3</v>
      </c>
      <c r="K731" s="4">
        <f>VALUE(SUBSTITUTE(SUBSTITUTE(SUBSTITUTE(SUBSTITUTE(D731,"$",""),"€",""),"₽","")," ",""))*IF(ISNUMBER(FIND("$",D731)),Справочники!$H$3,IF(ISNUMBER(FIND("€",D731)),Справочники!$H$4,1))</f>
        <v>11400</v>
      </c>
      <c r="L731" t="str">
        <f>IFERROR(VLOOKUP(TRIM(G731),Справочники!$D$3:$E$13,2,0),"Нет в справочнике")</f>
        <v>Отменен</v>
      </c>
      <c r="M731" t="str">
        <f t="shared" si="147"/>
        <v/>
      </c>
      <c r="N731" t="str">
        <f>IFERROR(VLOOKUP(I731,Товары_очищенные!$H$2:$J$502,3,0),"Нет в каталоге")</f>
        <v>Смартфоны</v>
      </c>
      <c r="O731" s="4">
        <f>IFERROR(VLOOKUP(I731,Товары_очищенные!$H$2:$M$502,6,0),"")</f>
        <v>88000</v>
      </c>
      <c r="P731" t="str">
        <f t="shared" si="148"/>
        <v xml:space="preserve">Цена отличается от каталога</v>
      </c>
    </row>
    <row r="732">
      <c r="A732" s="3" t="s">
        <v>3466</v>
      </c>
      <c r="B732" s="3" t="s">
        <v>1033</v>
      </c>
      <c r="C732" s="3" t="s">
        <v>1900</v>
      </c>
      <c r="D732" s="3" t="s">
        <v>2046</v>
      </c>
      <c r="E732" s="3" t="s">
        <v>3467</v>
      </c>
      <c r="F732" s="3" t="s">
        <v>1880</v>
      </c>
      <c r="G732" s="3" t="s">
        <v>1903</v>
      </c>
      <c r="H732" s="5">
        <f t="shared" si="144"/>
        <v>46037</v>
      </c>
      <c r="I732" t="str">
        <f t="shared" si="145"/>
        <v>АРТ-278</v>
      </c>
      <c r="J732" s="6">
        <f t="shared" si="146"/>
        <v>2</v>
      </c>
      <c r="K732" s="4">
        <f>VALUE(SUBSTITUTE(SUBSTITUTE(SUBSTITUTE(SUBSTITUTE(D732,"$",""),"€",""),"₽","")," ",""))*IF(ISNUMBER(FIND("$",D732)),Справочники!$H$3,IF(ISNUMBER(FIND("€",D732)),Справочники!$H$4,1))</f>
        <v>10000</v>
      </c>
      <c r="L732" t="str">
        <f>IFERROR(VLOOKUP(TRIM(G732),Справочники!$D$3:$E$13,2,0),"Нет в справочнике")</f>
        <v>Завершен</v>
      </c>
      <c r="M732" t="str">
        <f t="shared" si="147"/>
        <v/>
      </c>
      <c r="N732" t="str">
        <f>IFERROR(VLOOKUP(I732,Товары_очищенные!$H$2:$J$502,3,0),"Нет в каталоге")</f>
        <v>Телевизоры</v>
      </c>
      <c r="O732" s="4">
        <f>IFERROR(VLOOKUP(I732,Товары_очищенные!$H$2:$M$502,6,0),"")</f>
        <v>112000</v>
      </c>
      <c r="P732" t="str">
        <f t="shared" si="148"/>
        <v xml:space="preserve">Цена отличается от каталога</v>
      </c>
    </row>
    <row r="733">
      <c r="A733" s="3" t="s">
        <v>3466</v>
      </c>
      <c r="B733" s="3" t="s">
        <v>721</v>
      </c>
      <c r="C733" s="3" t="s">
        <v>1905</v>
      </c>
      <c r="D733" s="3" t="s">
        <v>2087</v>
      </c>
      <c r="E733" s="3" t="s">
        <v>3468</v>
      </c>
      <c r="F733" s="3" t="s">
        <v>1636</v>
      </c>
      <c r="G733" s="3" t="s">
        <v>1927</v>
      </c>
      <c r="H733" s="5">
        <f t="shared" si="144"/>
        <v>46037</v>
      </c>
      <c r="I733" t="str">
        <f t="shared" si="145"/>
        <v>АРТ-174</v>
      </c>
      <c r="J733" s="6">
        <f t="shared" si="146"/>
        <v>1</v>
      </c>
      <c r="K733" s="4">
        <f>VALUE(SUBSTITUTE(SUBSTITUTE(SUBSTITUTE(SUBSTITUTE(D733,"$",""),"€",""),"₽","")," ",""))*IF(ISNUMBER(FIND("$",D733)),Справочники!$H$3,IF(ISNUMBER(FIND("€",D733)),Справочники!$H$4,1))</f>
        <v>9200</v>
      </c>
      <c r="L733" t="str">
        <f>IFERROR(VLOOKUP(TRIM(G733),Справочники!$D$3:$E$13,2,0),"Нет в справочнике")</f>
        <v>Возврат</v>
      </c>
      <c r="M733" t="str">
        <f t="shared" si="147"/>
        <v/>
      </c>
      <c r="N733" t="str">
        <f>IFERROR(VLOOKUP(I733,Товары_очищенные!$H$2:$J$502,3,0),"Нет в каталоге")</f>
        <v>Ноутбуки</v>
      </c>
      <c r="O733" s="4">
        <f>IFERROR(VLOOKUP(I733,Товары_очищенные!$H$2:$M$502,6,0),"")</f>
        <v>107500</v>
      </c>
      <c r="P733" t="str">
        <f t="shared" si="148"/>
        <v xml:space="preserve">Цена отличается от каталога</v>
      </c>
    </row>
    <row r="734">
      <c r="A734" s="3" t="s">
        <v>3469</v>
      </c>
      <c r="B734" s="3" t="s">
        <v>3053</v>
      </c>
      <c r="C734" s="3" t="s">
        <v>1930</v>
      </c>
      <c r="D734" s="3" t="s">
        <v>1986</v>
      </c>
      <c r="E734" s="3" t="s">
        <v>3470</v>
      </c>
      <c r="F734" s="3" t="s">
        <v>1740</v>
      </c>
      <c r="G734" s="3" t="s">
        <v>1908</v>
      </c>
      <c r="H734" s="5">
        <f t="shared" si="144"/>
        <v>46038</v>
      </c>
      <c r="I734" t="str">
        <f t="shared" si="145"/>
        <v>АРТ-050</v>
      </c>
      <c r="J734" s="6">
        <f t="shared" si="146"/>
        <v>3</v>
      </c>
      <c r="K734" s="4">
        <f>VALUE(SUBSTITUTE(SUBSTITUTE(SUBSTITUTE(SUBSTITUTE(D734,"$",""),"€",""),"₽","")," ",""))*IF(ISNUMBER(FIND("$",D734)),Справочники!$H$3,IF(ISNUMBER(FIND("€",D734)),Справочники!$H$4,1))</f>
        <v>8550</v>
      </c>
      <c r="L734" t="str">
        <f>IFERROR(VLOOKUP(TRIM(G734),Справочники!$D$3:$E$13,2,0),"Нет в справочнике")</f>
        <v>Завершен</v>
      </c>
      <c r="M734" t="str">
        <f t="shared" si="147"/>
        <v/>
      </c>
      <c r="N734" t="str">
        <f>IFERROR(VLOOKUP(I734,Товары_очищенные!$H$2:$J$502,3,0),"Нет в каталоге")</f>
        <v>Смартфоны</v>
      </c>
      <c r="O734" s="4">
        <f>IFERROR(VLOOKUP(I734,Товары_очищенные!$H$2:$M$502,6,0),"")</f>
        <v>53500</v>
      </c>
      <c r="P734" t="str">
        <f t="shared" si="148"/>
        <v xml:space="preserve">Цена отличается от каталога</v>
      </c>
    </row>
    <row r="735">
      <c r="A735" s="3" t="s">
        <v>3469</v>
      </c>
      <c r="B735" s="3" t="s">
        <v>1424</v>
      </c>
      <c r="C735" s="3" t="s">
        <v>1900</v>
      </c>
      <c r="D735" s="3" t="s">
        <v>1989</v>
      </c>
      <c r="E735" s="3" t="s">
        <v>3471</v>
      </c>
      <c r="F735" s="3" t="s">
        <v>1682</v>
      </c>
      <c r="G735" s="3" t="s">
        <v>1913</v>
      </c>
      <c r="H735" s="5">
        <f t="shared" si="144"/>
        <v>46038</v>
      </c>
      <c r="I735" t="str">
        <f t="shared" si="145"/>
        <v>АРТ-443</v>
      </c>
      <c r="J735" s="6">
        <f t="shared" si="146"/>
        <v>2</v>
      </c>
      <c r="K735" s="4">
        <f>VALUE(SUBSTITUTE(SUBSTITUTE(SUBSTITUTE(SUBSTITUTE(D735,"$",""),"€",""),"₽","")," ",""))*IF(ISNUMBER(FIND("$",D735)),Справочники!$H$3,IF(ISNUMBER(FIND("€",D735)),Справочники!$H$4,1))</f>
        <v>7000</v>
      </c>
      <c r="L735" t="str">
        <f>IFERROR(VLOOKUP(TRIM(G735),Справочники!$D$3:$E$13,2,0),"Нет в справочнике")</f>
        <v>Завершен</v>
      </c>
      <c r="M735" t="str">
        <f t="shared" si="147"/>
        <v/>
      </c>
      <c r="N735" t="str">
        <f>IFERROR(VLOOKUP(I735,Товары_очищенные!$H$2:$J$502,3,0),"Нет в каталоге")</f>
        <v>Смартфоны</v>
      </c>
      <c r="O735" s="4">
        <f>IFERROR(VLOOKUP(I735,Товары_очищенные!$H$2:$M$502,6,0),"")</f>
        <v>23500</v>
      </c>
      <c r="P735" t="str">
        <f t="shared" si="148"/>
        <v xml:space="preserve">Цена отличается от каталога</v>
      </c>
    </row>
    <row r="736">
      <c r="A736" s="3" t="s">
        <v>3472</v>
      </c>
      <c r="B736" s="3" t="s">
        <v>3473</v>
      </c>
      <c r="C736" s="3" t="s">
        <v>1938</v>
      </c>
      <c r="D736" s="3" t="s">
        <v>1939</v>
      </c>
      <c r="E736" s="3" t="s">
        <v>3474</v>
      </c>
      <c r="F736" s="3" t="s">
        <v>1820</v>
      </c>
      <c r="G736" s="3" t="s">
        <v>1903</v>
      </c>
      <c r="H736" s="5">
        <f t="shared" si="144"/>
        <v>46039</v>
      </c>
      <c r="I736" t="str">
        <f t="shared" si="145"/>
        <v>АРТ-397</v>
      </c>
      <c r="J736" s="6">
        <f t="shared" si="146"/>
        <v>1</v>
      </c>
      <c r="K736" s="4">
        <f>VALUE(SUBSTITUTE(SUBSTITUTE(SUBSTITUTE(SUBSTITUTE(D736,"$",""),"€",""),"₽","")," ",""))*IF(ISNUMBER(FIND("$",D736)),Справочники!$H$3,IF(ISNUMBER(FIND("€",D736)),Справочники!$H$4,1))</f>
        <v>6500</v>
      </c>
      <c r="L736" t="str">
        <f>IFERROR(VLOOKUP(TRIM(G736),Справочники!$D$3:$E$13,2,0),"Нет в справочнике")</f>
        <v>Завершен</v>
      </c>
      <c r="M736" t="str">
        <f t="shared" si="147"/>
        <v/>
      </c>
      <c r="N736" t="str">
        <f>IFERROR(VLOOKUP(I736,Товары_очищенные!$H$2:$J$502,3,0),"Нет в каталоге")</f>
        <v>Аксессуары</v>
      </c>
      <c r="O736" s="4">
        <f>IFERROR(VLOOKUP(I736,Товары_очищенные!$H$2:$M$502,6,0),"")</f>
        <v>7990</v>
      </c>
      <c r="P736" t="str">
        <f t="shared" si="148"/>
        <v>ОК</v>
      </c>
    </row>
    <row r="737">
      <c r="A737" s="3" t="s">
        <v>3472</v>
      </c>
      <c r="B737" s="3" t="s">
        <v>1312</v>
      </c>
      <c r="C737" s="3" t="s">
        <v>1915</v>
      </c>
      <c r="D737" s="3" t="s">
        <v>1916</v>
      </c>
      <c r="E737" s="3" t="s">
        <v>3475</v>
      </c>
      <c r="F737" s="3" t="s">
        <v>1580</v>
      </c>
      <c r="G737" s="3" t="s">
        <v>1924</v>
      </c>
      <c r="H737" s="5">
        <f t="shared" si="144"/>
        <v>46039</v>
      </c>
      <c r="I737" t="str">
        <f t="shared" si="145"/>
        <v>АРТ-391</v>
      </c>
      <c r="J737" s="6">
        <f t="shared" si="146"/>
        <v>-1</v>
      </c>
      <c r="K737" s="4">
        <f>VALUE(SUBSTITUTE(SUBSTITUTE(SUBSTITUTE(SUBSTITUTE(D737,"$",""),"€",""),"₽","")," ",""))*IF(ISNUMBER(FIND("$",D737)),Справочники!$H$3,IF(ISNUMBER(FIND("€",D737)),Справочники!$H$4,1))</f>
        <v>10450</v>
      </c>
      <c r="L737" t="str">
        <f>IFERROR(VLOOKUP(TRIM(G737),Справочники!$D$3:$E$13,2,0),"Нет в справочнике")</f>
        <v>Отменен</v>
      </c>
      <c r="M737" t="str">
        <f t="shared" si="147"/>
        <v/>
      </c>
      <c r="N737" t="str">
        <f>IFERROR(VLOOKUP(I737,Товары_очищенные!$H$2:$J$502,3,0),"Нет в каталоге")</f>
        <v>Наушники</v>
      </c>
      <c r="O737" s="4">
        <f>IFERROR(VLOOKUP(I737,Товары_очищенные!$H$2:$M$502,6,0),"")</f>
        <v>18990</v>
      </c>
      <c r="P737" t="str">
        <f t="shared" si="148"/>
        <v xml:space="preserve">Цена отличается от каталога</v>
      </c>
    </row>
    <row r="738">
      <c r="A738" s="3" t="s">
        <v>3476</v>
      </c>
      <c r="B738" s="3" t="s">
        <v>1214</v>
      </c>
      <c r="C738" s="3" t="s">
        <v>1930</v>
      </c>
      <c r="D738" s="3" t="s">
        <v>1922</v>
      </c>
      <c r="E738" s="3" t="s">
        <v>3477</v>
      </c>
      <c r="F738" s="3" t="s">
        <v>1727</v>
      </c>
      <c r="G738" s="3" t="s">
        <v>1918</v>
      </c>
      <c r="H738" s="5">
        <f t="shared" si="144"/>
        <v>46040</v>
      </c>
      <c r="I738" t="str">
        <f t="shared" si="145"/>
        <v>АРТ-347</v>
      </c>
      <c r="J738" s="6">
        <f t="shared" si="146"/>
        <v>3</v>
      </c>
      <c r="K738" s="4">
        <f>VALUE(SUBSTITUTE(SUBSTITUTE(SUBSTITUTE(SUBSTITUTE(D738,"$",""),"€",""),"₽","")," ",""))*IF(ISNUMBER(FIND("$",D738)),Справочники!$H$3,IF(ISNUMBER(FIND("€",D738)),Справочники!$H$4,1))</f>
        <v>9000</v>
      </c>
      <c r="L738" t="str">
        <f>IFERROR(VLOOKUP(TRIM(G738),Справочники!$D$3:$E$13,2,0),"Нет в справочнике")</f>
        <v>Отменен</v>
      </c>
      <c r="M738" t="str">
        <f t="shared" si="147"/>
        <v/>
      </c>
      <c r="N738" t="str">
        <f>IFERROR(VLOOKUP(I738,Товары_очищенные!$H$2:$J$502,3,0),"Нет в каталоге")</f>
        <v>Наушники</v>
      </c>
      <c r="O738" s="4">
        <f>IFERROR(VLOOKUP(I738,Товары_очищенные!$H$2:$M$502,6,0),"")</f>
        <v>19000</v>
      </c>
      <c r="P738" t="str">
        <f t="shared" si="148"/>
        <v xml:space="preserve">Цена отличается от каталога</v>
      </c>
    </row>
    <row r="739">
      <c r="A739" s="3" t="s">
        <v>3476</v>
      </c>
      <c r="B739" s="3" t="s">
        <v>3478</v>
      </c>
      <c r="C739" s="3" t="s">
        <v>1900</v>
      </c>
      <c r="D739" s="3" t="s">
        <v>1925</v>
      </c>
      <c r="E739" s="3" t="s">
        <v>3479</v>
      </c>
      <c r="F739" s="3" t="s">
        <v>1629</v>
      </c>
      <c r="G739" s="3" t="s">
        <v>1927</v>
      </c>
      <c r="H739" s="5">
        <f t="shared" si="144"/>
        <v>46040</v>
      </c>
      <c r="I739" t="str">
        <f t="shared" si="145"/>
        <v>АРТ-131</v>
      </c>
      <c r="J739" s="6">
        <f t="shared" si="146"/>
        <v>2</v>
      </c>
      <c r="K739" s="4">
        <f>VALUE(SUBSTITUTE(SUBSTITUTE(SUBSTITUTE(SUBSTITUTE(D739,"$",""),"€",""),"₽","")," ",""))*IF(ISNUMBER(FIND("$",D739)),Справочники!$H$3,IF(ISNUMBER(FIND("€",D739)),Справочники!$H$4,1))</f>
        <v>8000</v>
      </c>
      <c r="L739" t="str">
        <f>IFERROR(VLOOKUP(TRIM(G739),Справочники!$D$3:$E$13,2,0),"Нет в справочнике")</f>
        <v>Возврат</v>
      </c>
      <c r="M739" t="str">
        <f t="shared" si="147"/>
        <v/>
      </c>
      <c r="N739" t="str">
        <f>IFERROR(VLOOKUP(I739,Товары_очищенные!$H$2:$J$502,3,0),"Нет в каталоге")</f>
        <v>Планшеты</v>
      </c>
      <c r="O739" s="4">
        <f>IFERROR(VLOOKUP(I739,Товары_очищенные!$H$2:$M$502,6,0),"")</f>
        <v>41500</v>
      </c>
      <c r="P739" t="str">
        <f t="shared" si="148"/>
        <v xml:space="preserve">Цена отличается от каталога</v>
      </c>
    </row>
    <row r="740">
      <c r="A740" s="3" t="s">
        <v>3480</v>
      </c>
      <c r="B740" s="3" t="s">
        <v>2391</v>
      </c>
      <c r="C740" s="3" t="s">
        <v>1905</v>
      </c>
      <c r="D740" s="3" t="s">
        <v>1964</v>
      </c>
      <c r="E740" s="3" t="s">
        <v>3481</v>
      </c>
      <c r="F740" s="3" t="s">
        <v>1778</v>
      </c>
      <c r="G740" s="3" t="s">
        <v>1903</v>
      </c>
      <c r="H740" s="5">
        <f t="shared" ref="H740:H803" si="149">DATE(VALUE(RIGHT(A740,4)),VALUE(LEFT(A740,2)),VALUE(MID(A740,4,2)))</f>
        <v>46041</v>
      </c>
      <c r="I740" t="str">
        <f t="shared" ref="I740:I803" si="150">"АРТ-"&amp;TEXT(VALUE(LEFT(SUBSTITUTE(SUBSTITUTE(SUBSTITUTE(SUBSTITUTE(TRIM(B740),"№",""),"АРТ-",""),"АРТ_",""),"АРТ",""),3)),"000")</f>
        <v>АРТ-105</v>
      </c>
      <c r="J740" s="6">
        <f t="shared" ref="J740:J803" si="151">VALUE(TRIM(SUBSTITUTE(SUBSTITUTE(TRIM(C740),"шт.",""),"шт","")))</f>
        <v>1</v>
      </c>
      <c r="K740" s="4">
        <f>VALUE(SUBSTITUTE(SUBSTITUTE(SUBSTITUTE(SUBSTITUTE(D740,"$",""),"€",""),"₽","")," ",""))*IF(ISNUMBER(FIND("$",D740)),Справочники!$H$3,IF(ISNUMBER(FIND("€",D740)),Справочники!$H$4,1))</f>
        <v>9025</v>
      </c>
      <c r="L740" t="str">
        <f>IFERROR(VLOOKUP(TRIM(G740),Справочники!$D$3:$E$13,2,0),"Нет в справочнике")</f>
        <v>Завершен</v>
      </c>
      <c r="M740" t="str">
        <f t="shared" ref="M740:M803" si="152">IF(COUNTIFS($H$2:H740,H740,$I$2:I740,I740,$E$2:E740,E740)&gt;1,"Дубликат","")</f>
        <v/>
      </c>
      <c r="N740" t="str">
        <f>IFERROR(VLOOKUP(I740,Товары_очищенные!$H$2:$J$502,3,0),"Нет в каталоге")</f>
        <v>Ноутбуки</v>
      </c>
      <c r="O740" s="4">
        <f>IFERROR(VLOOKUP(I740,Товары_очищенные!$H$2:$M$502,6,0),"")</f>
        <v>152000</v>
      </c>
      <c r="P740" t="str">
        <f t="shared" ref="P740:P803" si="153">IF(O740="","Нет в каталоге",IF(ABS(K740/O740-1)&lt;=0.2,"ОК","Цена отличается от каталога"))</f>
        <v xml:space="preserve">Цена отличается от каталога</v>
      </c>
    </row>
    <row r="741">
      <c r="A741" s="3" t="s">
        <v>3480</v>
      </c>
      <c r="B741" s="3" t="s">
        <v>2299</v>
      </c>
      <c r="C741" s="3" t="s">
        <v>1900</v>
      </c>
      <c r="D741" s="3" t="s">
        <v>1968</v>
      </c>
      <c r="E741" s="3" t="s">
        <v>3482</v>
      </c>
      <c r="F741" s="3" t="s">
        <v>1862</v>
      </c>
      <c r="G741" s="3" t="s">
        <v>1908</v>
      </c>
      <c r="H741" s="5">
        <f t="shared" si="149"/>
        <v>46041</v>
      </c>
      <c r="I741" t="str">
        <f t="shared" si="150"/>
        <v>АРТ-472</v>
      </c>
      <c r="J741" s="6">
        <f t="shared" si="151"/>
        <v>2</v>
      </c>
      <c r="K741" s="4">
        <f>VALUE(SUBSTITUTE(SUBSTITUTE(SUBSTITUTE(SUBSTITUTE(D741,"$",""),"€",""),"₽","")," ",""))*IF(ISNUMBER(FIND("$",D741)),Справочники!$H$3,IF(ISNUMBER(FIND("€",D741)),Справочники!$H$4,1))</f>
        <v>7500</v>
      </c>
      <c r="L741" t="str">
        <f>IFERROR(VLOOKUP(TRIM(G741),Справочники!$D$3:$E$13,2,0),"Нет в справочнике")</f>
        <v>Завершен</v>
      </c>
      <c r="M741" t="str">
        <f t="shared" si="152"/>
        <v/>
      </c>
      <c r="N741" t="str">
        <f>IFERROR(VLOOKUP(I741,Товары_очищенные!$H$2:$J$502,3,0),"Нет в каталоге")</f>
        <v>Наушники</v>
      </c>
      <c r="O741" s="4">
        <f>IFERROR(VLOOKUP(I741,Товары_очищенные!$H$2:$M$502,6,0),"")</f>
        <v>8990</v>
      </c>
      <c r="P741" t="str">
        <f t="shared" si="153"/>
        <v>ОК</v>
      </c>
    </row>
    <row r="742">
      <c r="A742" s="3" t="s">
        <v>3483</v>
      </c>
      <c r="B742" s="3" t="s">
        <v>1222</v>
      </c>
      <c r="C742" s="3" t="s">
        <v>1910</v>
      </c>
      <c r="D742" s="3" t="s">
        <v>1971</v>
      </c>
      <c r="E742" s="3" t="s">
        <v>3484</v>
      </c>
      <c r="F742" s="3" t="s">
        <v>1695</v>
      </c>
      <c r="G742" s="3" t="s">
        <v>1913</v>
      </c>
      <c r="H742" s="5">
        <f t="shared" si="149"/>
        <v>46042</v>
      </c>
      <c r="I742" t="str">
        <f t="shared" si="150"/>
        <v>АРТ-351</v>
      </c>
      <c r="J742" s="6">
        <f t="shared" si="151"/>
        <v>3</v>
      </c>
      <c r="K742" s="4">
        <f>VALUE(SUBSTITUTE(SUBSTITUTE(SUBSTITUTE(SUBSTITUTE(D742,"$",""),"€",""),"₽","")," ",""))*IF(ISNUMBER(FIND("$",D742)),Справочники!$H$3,IF(ISNUMBER(FIND("€",D742)),Справочники!$H$4,1))</f>
        <v>7000</v>
      </c>
      <c r="L742" t="str">
        <f>IFERROR(VLOOKUP(TRIM(G742),Справочники!$D$3:$E$13,2,0),"Нет в справочнике")</f>
        <v>Завершен</v>
      </c>
      <c r="M742" t="str">
        <f t="shared" si="152"/>
        <v/>
      </c>
      <c r="N742" t="str">
        <f>IFERROR(VLOOKUP(I742,Товары_очищенные!$H$2:$J$502,3,0),"Нет в каталоге")</f>
        <v>Мониторы</v>
      </c>
      <c r="O742" s="4">
        <f>IFERROR(VLOOKUP(I742,Товары_очищенные!$H$2:$M$502,6,0),"")</f>
        <v>57000</v>
      </c>
      <c r="P742" t="str">
        <f t="shared" si="153"/>
        <v xml:space="preserve">Цена отличается от каталога</v>
      </c>
    </row>
    <row r="743">
      <c r="A743" s="3" t="s">
        <v>3483</v>
      </c>
      <c r="B743" s="3" t="s">
        <v>3485</v>
      </c>
      <c r="C743" s="3" t="s">
        <v>1942</v>
      </c>
      <c r="D743" s="3" t="s">
        <v>1943</v>
      </c>
      <c r="E743" s="3" t="s">
        <v>3486</v>
      </c>
      <c r="F743" s="3" t="s">
        <v>1573</v>
      </c>
      <c r="G743" s="3" t="s">
        <v>1918</v>
      </c>
      <c r="H743" s="5">
        <f t="shared" si="149"/>
        <v>46042</v>
      </c>
      <c r="I743" t="str">
        <f t="shared" si="150"/>
        <v>АРТ-351</v>
      </c>
      <c r="J743" s="6">
        <f t="shared" si="151"/>
        <v>-2</v>
      </c>
      <c r="K743" s="4">
        <f>VALUE(SUBSTITUTE(SUBSTITUTE(SUBSTITUTE(SUBSTITUTE(D743,"$",""),"€",""),"₽","")," ",""))*IF(ISNUMBER(FIND("$",D743)),Справочники!$H$3,IF(ISNUMBER(FIND("€",D743)),Справочники!$H$4,1))</f>
        <v>10925</v>
      </c>
      <c r="L743" t="str">
        <f>IFERROR(VLOOKUP(TRIM(G743),Справочники!$D$3:$E$13,2,0),"Нет в справочнике")</f>
        <v>Отменен</v>
      </c>
      <c r="M743" t="str">
        <f t="shared" si="152"/>
        <v/>
      </c>
      <c r="N743" t="str">
        <f>IFERROR(VLOOKUP(I743,Товары_очищенные!$H$2:$J$502,3,0),"Нет в каталоге")</f>
        <v>Мониторы</v>
      </c>
      <c r="O743" s="4">
        <f>IFERROR(VLOOKUP(I743,Товары_очищенные!$H$2:$M$502,6,0),"")</f>
        <v>57000</v>
      </c>
      <c r="P743" t="str">
        <f t="shared" si="153"/>
        <v xml:space="preserve">Цена отличается от каталога</v>
      </c>
    </row>
    <row r="744">
      <c r="A744" s="3" t="s">
        <v>3487</v>
      </c>
      <c r="B744" s="3" t="s">
        <v>3488</v>
      </c>
      <c r="C744" s="3" t="s">
        <v>1905</v>
      </c>
      <c r="D744" s="3" t="s">
        <v>1934</v>
      </c>
      <c r="E744" s="3" t="s">
        <v>3489</v>
      </c>
      <c r="F744" s="3" t="s">
        <v>1808</v>
      </c>
      <c r="G744" s="3" t="s">
        <v>1924</v>
      </c>
      <c r="H744" s="5">
        <f t="shared" si="149"/>
        <v>46043</v>
      </c>
      <c r="I744" t="str">
        <f t="shared" si="150"/>
        <v>АРТ-324</v>
      </c>
      <c r="J744" s="6">
        <f t="shared" si="151"/>
        <v>1</v>
      </c>
      <c r="K744" s="4">
        <f>VALUE(SUBSTITUTE(SUBSTITUTE(SUBSTITUTE(SUBSTITUTE(D744,"$",""),"€",""),"₽","")," ",""))*IF(ISNUMBER(FIND("$",D744)),Справочники!$H$3,IF(ISNUMBER(FIND("€",D744)),Справочники!$H$4,1))</f>
        <v>9500</v>
      </c>
      <c r="L744" t="str">
        <f>IFERROR(VLOOKUP(TRIM(G744),Справочники!$D$3:$E$13,2,0),"Нет в справочнике")</f>
        <v>Отменен</v>
      </c>
      <c r="M744" t="str">
        <f t="shared" si="152"/>
        <v/>
      </c>
      <c r="N744" t="str">
        <f>IFERROR(VLOOKUP(I744,Товары_очищенные!$H$2:$J$502,3,0),"Нет в каталоге")</f>
        <v>Наушники</v>
      </c>
      <c r="O744" s="4">
        <f>IFERROR(VLOOKUP(I744,Товары_очищенные!$H$2:$M$502,6,0),"")</f>
        <v>13800</v>
      </c>
      <c r="P744" t="str">
        <f t="shared" si="153"/>
        <v xml:space="preserve">Цена отличается от каталога</v>
      </c>
    </row>
    <row r="745">
      <c r="A745" s="3" t="s">
        <v>3487</v>
      </c>
      <c r="B745" s="3" t="s">
        <v>3490</v>
      </c>
      <c r="C745" s="3" t="s">
        <v>1900</v>
      </c>
      <c r="D745" s="3" t="s">
        <v>1951</v>
      </c>
      <c r="E745" s="3" t="s">
        <v>3491</v>
      </c>
      <c r="F745" s="3" t="s">
        <v>1670</v>
      </c>
      <c r="G745" s="3" t="s">
        <v>1903</v>
      </c>
      <c r="H745" s="5">
        <f t="shared" si="149"/>
        <v>46043</v>
      </c>
      <c r="I745" t="str">
        <f t="shared" si="150"/>
        <v>АРТ-196</v>
      </c>
      <c r="J745" s="6">
        <f t="shared" si="151"/>
        <v>2</v>
      </c>
      <c r="K745" s="4">
        <f>VALUE(SUBSTITUTE(SUBSTITUTE(SUBSTITUTE(SUBSTITUTE(D745,"$",""),"€",""),"₽","")," ",""))*IF(ISNUMBER(FIND("$",D745)),Справочники!$H$3,IF(ISNUMBER(FIND("€",D745)),Справочники!$H$4,1))</f>
        <v>8500</v>
      </c>
      <c r="L745" t="str">
        <f>IFERROR(VLOOKUP(TRIM(G745),Справочники!$D$3:$E$13,2,0),"Нет в справочнике")</f>
        <v>Завершен</v>
      </c>
      <c r="M745" t="str">
        <f t="shared" si="152"/>
        <v/>
      </c>
      <c r="N745" t="str">
        <f>IFERROR(VLOOKUP(I745,Товары_очищенные!$H$2:$J$502,3,0),"Нет в каталоге")</f>
        <v>Смартфоны</v>
      </c>
      <c r="O745" s="4">
        <f>IFERROR(VLOOKUP(I745,Товары_очищенные!$H$2:$M$502,6,0),"")</f>
        <v>53990</v>
      </c>
      <c r="P745" t="str">
        <f t="shared" si="153"/>
        <v xml:space="preserve">Цена отличается от каталога</v>
      </c>
    </row>
    <row r="746">
      <c r="A746" s="3" t="s">
        <v>3492</v>
      </c>
      <c r="B746" s="3" t="s">
        <v>3493</v>
      </c>
      <c r="C746" s="3" t="s">
        <v>1930</v>
      </c>
      <c r="D746" s="3" t="s">
        <v>1931</v>
      </c>
      <c r="E746" s="3" t="s">
        <v>3494</v>
      </c>
      <c r="F746" s="3" t="s">
        <v>1752</v>
      </c>
      <c r="G746" s="3" t="s">
        <v>1927</v>
      </c>
      <c r="H746" s="5">
        <f t="shared" si="149"/>
        <v>46044</v>
      </c>
      <c r="I746" t="str">
        <f t="shared" si="150"/>
        <v>АРТ-083</v>
      </c>
      <c r="J746" s="6">
        <f t="shared" si="151"/>
        <v>3</v>
      </c>
      <c r="K746" s="4">
        <f>VALUE(SUBSTITUTE(SUBSTITUTE(SUBSTITUTE(SUBSTITUTE(D746,"$",""),"€",""),"₽","")," ",""))*IF(ISNUMBER(FIND("$",D746)),Справочники!$H$3,IF(ISNUMBER(FIND("€",D746)),Справочники!$H$4,1))</f>
        <v>9975</v>
      </c>
      <c r="L746" t="str">
        <f>IFERROR(VLOOKUP(TRIM(G746),Справочники!$D$3:$E$13,2,0),"Нет в справочнике")</f>
        <v>Возврат</v>
      </c>
      <c r="M746" t="str">
        <f t="shared" si="152"/>
        <v/>
      </c>
      <c r="N746" t="str">
        <f>IFERROR(VLOOKUP(I746,Товары_очищенные!$H$2:$J$502,3,0),"Нет в каталоге")</f>
        <v>Часы</v>
      </c>
      <c r="O746" s="4">
        <f>IFERROR(VLOOKUP(I746,Товары_очищенные!$H$2:$M$502,6,0),"")</f>
        <v>38500</v>
      </c>
      <c r="P746" t="str">
        <f t="shared" si="153"/>
        <v xml:space="preserve">Цена отличается от каталога</v>
      </c>
    </row>
    <row r="747">
      <c r="A747" s="3" t="s">
        <v>3492</v>
      </c>
      <c r="B747" s="3" t="s">
        <v>1392</v>
      </c>
      <c r="C747" s="3" t="s">
        <v>1900</v>
      </c>
      <c r="D747" s="3" t="s">
        <v>1906</v>
      </c>
      <c r="E747" s="3" t="s">
        <v>3495</v>
      </c>
      <c r="F747" s="3" t="s">
        <v>1790</v>
      </c>
      <c r="G747" s="3" t="s">
        <v>1908</v>
      </c>
      <c r="H747" s="5">
        <f t="shared" si="149"/>
        <v>46044</v>
      </c>
      <c r="I747" t="str">
        <f t="shared" si="150"/>
        <v>АРТ-428</v>
      </c>
      <c r="J747" s="6">
        <f t="shared" si="151"/>
        <v>2</v>
      </c>
      <c r="K747" s="4">
        <f>VALUE(SUBSTITUTE(SUBSTITUTE(SUBSTITUTE(SUBSTITUTE(D747,"$",""),"€",""),"₽","")," ",""))*IF(ISNUMBER(FIND("$",D747)),Справочники!$H$3,IF(ISNUMBER(FIND("€",D747)),Справочники!$H$4,1))</f>
        <v>8500</v>
      </c>
      <c r="L747" t="str">
        <f>IFERROR(VLOOKUP(TRIM(G747),Справочники!$D$3:$E$13,2,0),"Нет в справочнике")</f>
        <v>Завершен</v>
      </c>
      <c r="M747" t="str">
        <f t="shared" si="152"/>
        <v/>
      </c>
      <c r="N747" t="str">
        <f>IFERROR(VLOOKUP(I747,Товары_очищенные!$H$2:$J$502,3,0),"Нет в каталоге")</f>
        <v>Телевизоры</v>
      </c>
      <c r="O747" s="4">
        <f>IFERROR(VLOOKUP(I747,Товары_очищенные!$H$2:$M$502,6,0),"")</f>
        <v>48000</v>
      </c>
      <c r="P747" t="str">
        <f t="shared" si="153"/>
        <v xml:space="preserve">Цена отличается от каталога</v>
      </c>
    </row>
    <row r="748">
      <c r="A748" s="3" t="s">
        <v>3496</v>
      </c>
      <c r="B748" s="3" t="s">
        <v>1185</v>
      </c>
      <c r="C748" s="3" t="s">
        <v>1938</v>
      </c>
      <c r="D748" s="3" t="s">
        <v>2166</v>
      </c>
      <c r="E748" s="3" t="s">
        <v>3497</v>
      </c>
      <c r="F748" s="3" t="s">
        <v>1856</v>
      </c>
      <c r="G748" s="3" t="s">
        <v>1913</v>
      </c>
      <c r="H748" s="5">
        <f t="shared" si="149"/>
        <v>46045</v>
      </c>
      <c r="I748" t="str">
        <f t="shared" si="150"/>
        <v>АРТ-333</v>
      </c>
      <c r="J748" s="6">
        <f t="shared" si="151"/>
        <v>1</v>
      </c>
      <c r="K748" s="4">
        <f>VALUE(SUBSTITUTE(SUBSTITUTE(SUBSTITUTE(SUBSTITUTE(D748,"$",""),"€",""),"₽","")," ",""))*IF(ISNUMBER(FIND("$",D748)),Справочники!$H$3,IF(ISNUMBER(FIND("€",D748)),Справочники!$H$4,1))</f>
        <v>7800</v>
      </c>
      <c r="L748" t="str">
        <f>IFERROR(VLOOKUP(TRIM(G748),Справочники!$D$3:$E$13,2,0),"Нет в справочнике")</f>
        <v>Завершен</v>
      </c>
      <c r="M748" t="str">
        <f t="shared" si="152"/>
        <v/>
      </c>
      <c r="N748" t="str">
        <f>IFERROR(VLOOKUP(I748,Товары_очищенные!$H$2:$J$502,3,0),"Нет в каталоге")</f>
        <v>Часы</v>
      </c>
      <c r="O748" s="4">
        <f>IFERROR(VLOOKUP(I748,Товары_очищенные!$H$2:$M$502,6,0),"")</f>
        <v>72000</v>
      </c>
      <c r="P748" t="str">
        <f t="shared" si="153"/>
        <v xml:space="preserve">Цена отличается от каталога</v>
      </c>
    </row>
    <row r="749">
      <c r="A749" s="3" t="s">
        <v>3496</v>
      </c>
      <c r="B749" s="3" t="s">
        <v>3498</v>
      </c>
      <c r="C749" s="3" t="s">
        <v>1985</v>
      </c>
      <c r="D749" s="3" t="s">
        <v>2044</v>
      </c>
      <c r="E749" s="3" t="s">
        <v>3499</v>
      </c>
      <c r="F749" s="3" t="s">
        <v>1708</v>
      </c>
      <c r="G749" s="3" t="s">
        <v>1903</v>
      </c>
      <c r="H749" s="5">
        <f t="shared" si="149"/>
        <v>46045</v>
      </c>
      <c r="I749" t="str">
        <f t="shared" si="150"/>
        <v>АРТ-326</v>
      </c>
      <c r="J749" s="6">
        <f t="shared" si="151"/>
        <v>-3</v>
      </c>
      <c r="K749" s="4">
        <f>VALUE(SUBSTITUTE(SUBSTITUTE(SUBSTITUTE(SUBSTITUTE(D749,"$",""),"€",""),"₽","")," ",""))*IF(ISNUMBER(FIND("$",D749)),Справочники!$H$3,IF(ISNUMBER(FIND("€",D749)),Справочники!$H$4,1))</f>
        <v>11400</v>
      </c>
      <c r="L749" t="str">
        <f>IFERROR(VLOOKUP(TRIM(G749),Справочники!$D$3:$E$13,2,0),"Нет в справочнике")</f>
        <v>Завершен</v>
      </c>
      <c r="M749" t="str">
        <f t="shared" si="152"/>
        <v/>
      </c>
      <c r="N749" t="str">
        <f>IFERROR(VLOOKUP(I749,Товары_очищенные!$H$2:$J$502,3,0),"Нет в каталоге")</f>
        <v>Мониторы</v>
      </c>
      <c r="O749" s="4">
        <f>IFERROR(VLOOKUP(I749,Товары_очищенные!$H$2:$M$502,6,0),"")</f>
        <v>64500</v>
      </c>
      <c r="P749" t="str">
        <f t="shared" si="153"/>
        <v xml:space="preserve">Цена отличается от каталога</v>
      </c>
    </row>
    <row r="750">
      <c r="A750" s="3" t="s">
        <v>3500</v>
      </c>
      <c r="B750" s="3" t="s">
        <v>3501</v>
      </c>
      <c r="C750" s="3" t="s">
        <v>1900</v>
      </c>
      <c r="D750" s="3" t="s">
        <v>2046</v>
      </c>
      <c r="E750" s="3" t="s">
        <v>3502</v>
      </c>
      <c r="F750" s="3" t="s">
        <v>1838</v>
      </c>
      <c r="G750" s="3" t="s">
        <v>1924</v>
      </c>
      <c r="H750" s="5">
        <f t="shared" si="149"/>
        <v>46046</v>
      </c>
      <c r="I750" t="str">
        <f t="shared" si="150"/>
        <v>АРТ-315</v>
      </c>
      <c r="J750" s="6">
        <f t="shared" si="151"/>
        <v>2</v>
      </c>
      <c r="K750" s="4">
        <f>VALUE(SUBSTITUTE(SUBSTITUTE(SUBSTITUTE(SUBSTITUTE(D750,"$",""),"€",""),"₽","")," ",""))*IF(ISNUMBER(FIND("$",D750)),Справочники!$H$3,IF(ISNUMBER(FIND("€",D750)),Справочники!$H$4,1))</f>
        <v>10000</v>
      </c>
      <c r="L750" t="str">
        <f>IFERROR(VLOOKUP(TRIM(G750),Справочники!$D$3:$E$13,2,0),"Нет в справочнике")</f>
        <v>Отменен</v>
      </c>
      <c r="M750" t="str">
        <f t="shared" si="152"/>
        <v/>
      </c>
      <c r="N750" t="str">
        <f>IFERROR(VLOOKUP(I750,Товары_очищенные!$H$2:$J$502,3,0),"Нет в каталоге")</f>
        <v>Смартфоны</v>
      </c>
      <c r="O750" s="4">
        <f>IFERROR(VLOOKUP(I750,Товары_очищенные!$H$2:$M$502,6,0),"")</f>
        <v>72000</v>
      </c>
      <c r="P750" t="str">
        <f t="shared" si="153"/>
        <v xml:space="preserve">Цена отличается от каталога</v>
      </c>
    </row>
    <row r="751">
      <c r="A751" s="3" t="s">
        <v>3500</v>
      </c>
      <c r="B751" s="3" t="s">
        <v>3503</v>
      </c>
      <c r="C751" s="3" t="s">
        <v>1905</v>
      </c>
      <c r="D751" s="3" t="s">
        <v>2087</v>
      </c>
      <c r="E751" s="3" t="s">
        <v>3504</v>
      </c>
      <c r="F751" s="3" t="s">
        <v>1759</v>
      </c>
      <c r="G751" s="3" t="s">
        <v>1918</v>
      </c>
      <c r="H751" s="5">
        <f t="shared" si="149"/>
        <v>46046</v>
      </c>
      <c r="I751" t="str">
        <f t="shared" si="150"/>
        <v>АРТ-221</v>
      </c>
      <c r="J751" s="6">
        <f t="shared" si="151"/>
        <v>1</v>
      </c>
      <c r="K751" s="4">
        <f>VALUE(SUBSTITUTE(SUBSTITUTE(SUBSTITUTE(SUBSTITUTE(D751,"$",""),"€",""),"₽","")," ",""))*IF(ISNUMBER(FIND("$",D751)),Справочники!$H$3,IF(ISNUMBER(FIND("€",D751)),Справочники!$H$4,1))</f>
        <v>9200</v>
      </c>
      <c r="L751" t="str">
        <f>IFERROR(VLOOKUP(TRIM(G751),Справочники!$D$3:$E$13,2,0),"Нет в справочнике")</f>
        <v>Отменен</v>
      </c>
      <c r="M751" t="str">
        <f t="shared" si="152"/>
        <v/>
      </c>
      <c r="N751" t="str">
        <f>IFERROR(VLOOKUP(I751,Товары_очищенные!$H$2:$J$502,3,0),"Нет в каталоге")</f>
        <v>Наушники</v>
      </c>
      <c r="O751" s="4">
        <f>IFERROR(VLOOKUP(I751,Товары_очищенные!$H$2:$M$502,6,0),"")</f>
        <v>24000</v>
      </c>
      <c r="P751" t="str">
        <f t="shared" si="153"/>
        <v xml:space="preserve">Цена отличается от каталога</v>
      </c>
    </row>
    <row r="752">
      <c r="A752" s="3" t="s">
        <v>3505</v>
      </c>
      <c r="B752" s="3" t="s">
        <v>222</v>
      </c>
      <c r="C752" s="3" t="s">
        <v>1930</v>
      </c>
      <c r="D752" s="3" t="s">
        <v>1986</v>
      </c>
      <c r="E752" s="3" t="s">
        <v>3506</v>
      </c>
      <c r="F752" s="3" t="s">
        <v>1642</v>
      </c>
      <c r="G752" s="3" t="s">
        <v>1927</v>
      </c>
      <c r="H752" s="5">
        <f t="shared" si="149"/>
        <v>46047</v>
      </c>
      <c r="I752" t="str">
        <f t="shared" si="150"/>
        <v>АРТ-043</v>
      </c>
      <c r="J752" s="6">
        <f t="shared" si="151"/>
        <v>3</v>
      </c>
      <c r="K752" s="4">
        <f>VALUE(SUBSTITUTE(SUBSTITUTE(SUBSTITUTE(SUBSTITUTE(D752,"$",""),"€",""),"₽","")," ",""))*IF(ISNUMBER(FIND("$",D752)),Справочники!$H$3,IF(ISNUMBER(FIND("€",D752)),Справочники!$H$4,1))</f>
        <v>8550</v>
      </c>
      <c r="L752" t="str">
        <f>IFERROR(VLOOKUP(TRIM(G752),Справочники!$D$3:$E$13,2,0),"Нет в справочнике")</f>
        <v>Возврат</v>
      </c>
      <c r="M752" t="str">
        <f t="shared" si="152"/>
        <v/>
      </c>
      <c r="N752" t="str">
        <f>IFERROR(VLOOKUP(I752,Товары_очищенные!$H$2:$J$502,3,0),"Нет в каталоге")</f>
        <v>Телевизоры</v>
      </c>
      <c r="O752" s="4">
        <f>IFERROR(VLOOKUP(I752,Товары_очищенные!$H$2:$M$502,6,0),"")</f>
        <v>134990</v>
      </c>
      <c r="P752" t="str">
        <f t="shared" si="153"/>
        <v xml:space="preserve">Цена отличается от каталога</v>
      </c>
    </row>
    <row r="753">
      <c r="A753" s="3" t="s">
        <v>3505</v>
      </c>
      <c r="B753" s="3" t="s">
        <v>2767</v>
      </c>
      <c r="C753" s="3" t="s">
        <v>1900</v>
      </c>
      <c r="D753" s="3" t="s">
        <v>1989</v>
      </c>
      <c r="E753" s="3" t="s">
        <v>3507</v>
      </c>
      <c r="F753" s="3" t="s">
        <v>1608</v>
      </c>
      <c r="G753" s="3" t="s">
        <v>1903</v>
      </c>
      <c r="H753" s="5">
        <f t="shared" si="149"/>
        <v>46047</v>
      </c>
      <c r="I753" t="str">
        <f t="shared" si="150"/>
        <v>АРТ-448</v>
      </c>
      <c r="J753" s="6">
        <f t="shared" si="151"/>
        <v>2</v>
      </c>
      <c r="K753" s="4">
        <f>VALUE(SUBSTITUTE(SUBSTITUTE(SUBSTITUTE(SUBSTITUTE(D753,"$",""),"€",""),"₽","")," ",""))*IF(ISNUMBER(FIND("$",D753)),Справочники!$H$3,IF(ISNUMBER(FIND("€",D753)),Справочники!$H$4,1))</f>
        <v>7000</v>
      </c>
      <c r="L753" t="str">
        <f>IFERROR(VLOOKUP(TRIM(G753),Справочники!$D$3:$E$13,2,0),"Нет в справочнике")</f>
        <v>Завершен</v>
      </c>
      <c r="M753" t="str">
        <f t="shared" si="152"/>
        <v/>
      </c>
      <c r="N753" t="str">
        <f>IFERROR(VLOOKUP(I753,Товары_очищенные!$H$2:$J$502,3,0),"Нет в каталоге")</f>
        <v>Телевизоры</v>
      </c>
      <c r="O753" s="4">
        <f>IFERROR(VLOOKUP(I753,Товары_очищенные!$H$2:$M$502,6,0),"")</f>
        <v>73990</v>
      </c>
      <c r="P753" t="str">
        <f t="shared" si="153"/>
        <v xml:space="preserve">Цена отличается от каталога</v>
      </c>
    </row>
    <row r="754">
      <c r="A754" s="3" t="s">
        <v>3508</v>
      </c>
      <c r="B754" s="3" t="s">
        <v>2783</v>
      </c>
      <c r="C754" s="3" t="s">
        <v>1938</v>
      </c>
      <c r="D754" s="3" t="s">
        <v>1939</v>
      </c>
      <c r="E754" s="3" t="s">
        <v>3509</v>
      </c>
      <c r="F754" s="3" t="s">
        <v>1715</v>
      </c>
      <c r="G754" s="3" t="s">
        <v>1908</v>
      </c>
      <c r="H754" s="5">
        <f t="shared" si="149"/>
        <v>46048</v>
      </c>
      <c r="I754" t="str">
        <f t="shared" si="150"/>
        <v>АРТ-342</v>
      </c>
      <c r="J754" s="6">
        <f t="shared" si="151"/>
        <v>1</v>
      </c>
      <c r="K754" s="4">
        <f>VALUE(SUBSTITUTE(SUBSTITUTE(SUBSTITUTE(SUBSTITUTE(D754,"$",""),"€",""),"₽","")," ",""))*IF(ISNUMBER(FIND("$",D754)),Справочники!$H$3,IF(ISNUMBER(FIND("€",D754)),Справочники!$H$4,1))</f>
        <v>6500</v>
      </c>
      <c r="L754" t="str">
        <f>IFERROR(VLOOKUP(TRIM(G754),Справочники!$D$3:$E$13,2,0),"Нет в справочнике")</f>
        <v>Завершен</v>
      </c>
      <c r="M754" t="str">
        <f t="shared" si="152"/>
        <v/>
      </c>
      <c r="N754" t="str">
        <f>IFERROR(VLOOKUP(I754,Товары_очищенные!$H$2:$J$502,3,0),"Нет в каталоге")</f>
        <v>Ноутбуки</v>
      </c>
      <c r="O754" s="4">
        <f>IFERROR(VLOOKUP(I754,Товары_очищенные!$H$2:$M$502,6,0),"")</f>
        <v>137500</v>
      </c>
      <c r="P754" t="str">
        <f t="shared" si="153"/>
        <v xml:space="preserve">Цена отличается от каталога</v>
      </c>
    </row>
    <row r="755">
      <c r="A755" s="3" t="s">
        <v>3508</v>
      </c>
      <c r="B755" s="3" t="s">
        <v>2422</v>
      </c>
      <c r="C755" s="3" t="s">
        <v>1915</v>
      </c>
      <c r="D755" s="3" t="s">
        <v>1916</v>
      </c>
      <c r="E755" s="3" t="s">
        <v>3510</v>
      </c>
      <c r="F755" s="3" t="s">
        <v>1850</v>
      </c>
      <c r="G755" s="3" t="s">
        <v>1913</v>
      </c>
      <c r="H755" s="5">
        <f t="shared" si="149"/>
        <v>46048</v>
      </c>
      <c r="I755" t="str">
        <f t="shared" si="150"/>
        <v>АРТ-383</v>
      </c>
      <c r="J755" s="6">
        <f t="shared" si="151"/>
        <v>-1</v>
      </c>
      <c r="K755" s="4">
        <f>VALUE(SUBSTITUTE(SUBSTITUTE(SUBSTITUTE(SUBSTITUTE(D755,"$",""),"€",""),"₽","")," ",""))*IF(ISNUMBER(FIND("$",D755)),Справочники!$H$3,IF(ISNUMBER(FIND("€",D755)),Справочники!$H$4,1))</f>
        <v>10450</v>
      </c>
      <c r="L755" t="str">
        <f>IFERROR(VLOOKUP(TRIM(G755),Справочники!$D$3:$E$13,2,0),"Нет в справочнике")</f>
        <v>Завершен</v>
      </c>
      <c r="M755" t="str">
        <f t="shared" si="152"/>
        <v/>
      </c>
      <c r="N755" t="str">
        <f>IFERROR(VLOOKUP(I755,Товары_очищенные!$H$2:$J$502,3,0),"Нет в каталоге")</f>
        <v>Смартфоны</v>
      </c>
      <c r="O755" s="4">
        <f>IFERROR(VLOOKUP(I755,Товары_очищенные!$H$2:$M$502,6,0),"")</f>
        <v>41500</v>
      </c>
      <c r="P755" t="str">
        <f t="shared" si="153"/>
        <v xml:space="preserve">Цена отличается от каталога</v>
      </c>
    </row>
    <row r="756">
      <c r="A756" s="3" t="s">
        <v>3511</v>
      </c>
      <c r="B756" s="3" t="s">
        <v>1086</v>
      </c>
      <c r="C756" s="3" t="s">
        <v>1930</v>
      </c>
      <c r="D756" s="3" t="s">
        <v>1922</v>
      </c>
      <c r="E756" s="3" t="s">
        <v>3512</v>
      </c>
      <c r="F756" s="3" t="s">
        <v>1615</v>
      </c>
      <c r="G756" s="3" t="s">
        <v>1918</v>
      </c>
      <c r="H756" s="5">
        <f t="shared" si="149"/>
        <v>46049</v>
      </c>
      <c r="I756" t="str">
        <f t="shared" si="150"/>
        <v>АРТ-296</v>
      </c>
      <c r="J756" s="6">
        <f t="shared" si="151"/>
        <v>3</v>
      </c>
      <c r="K756" s="4">
        <f>VALUE(SUBSTITUTE(SUBSTITUTE(SUBSTITUTE(SUBSTITUTE(D756,"$",""),"€",""),"₽","")," ",""))*IF(ISNUMBER(FIND("$",D756)),Справочники!$H$3,IF(ISNUMBER(FIND("€",D756)),Справочники!$H$4,1))</f>
        <v>9000</v>
      </c>
      <c r="L756" t="str">
        <f>IFERROR(VLOOKUP(TRIM(G756),Справочники!$D$3:$E$13,2,0),"Нет в справочнике")</f>
        <v>Отменен</v>
      </c>
      <c r="M756" t="str">
        <f t="shared" si="152"/>
        <v/>
      </c>
      <c r="N756" t="str">
        <f>IFERROR(VLOOKUP(I756,Товары_очищенные!$H$2:$J$502,3,0),"Нет в каталоге")</f>
        <v>Смартфоны</v>
      </c>
      <c r="O756" s="4">
        <f>IFERROR(VLOOKUP(I756,Товары_очищенные!$H$2:$M$502,6,0),"")</f>
        <v>33500</v>
      </c>
      <c r="P756" t="str">
        <f t="shared" si="153"/>
        <v xml:space="preserve">Цена отличается от каталога</v>
      </c>
    </row>
    <row r="757">
      <c r="A757" s="3" t="s">
        <v>3511</v>
      </c>
      <c r="B757" s="3" t="s">
        <v>3513</v>
      </c>
      <c r="C757" s="3" t="s">
        <v>1900</v>
      </c>
      <c r="D757" s="3" t="s">
        <v>1925</v>
      </c>
      <c r="E757" s="3" t="s">
        <v>3514</v>
      </c>
      <c r="F757" s="3" t="s">
        <v>1765</v>
      </c>
      <c r="G757" s="3" t="s">
        <v>1924</v>
      </c>
      <c r="H757" s="5">
        <f t="shared" si="149"/>
        <v>46049</v>
      </c>
      <c r="I757" t="str">
        <f t="shared" si="150"/>
        <v>АРТ-124</v>
      </c>
      <c r="J757" s="6">
        <f t="shared" si="151"/>
        <v>2</v>
      </c>
      <c r="K757" s="4">
        <f>VALUE(SUBSTITUTE(SUBSTITUTE(SUBSTITUTE(SUBSTITUTE(D757,"$",""),"€",""),"₽","")," ",""))*IF(ISNUMBER(FIND("$",D757)),Справочники!$H$3,IF(ISNUMBER(FIND("€",D757)),Справочники!$H$4,1))</f>
        <v>8000</v>
      </c>
      <c r="L757" t="str">
        <f>IFERROR(VLOOKUP(TRIM(G757),Справочники!$D$3:$E$13,2,0),"Нет в справочнике")</f>
        <v>Отменен</v>
      </c>
      <c r="M757" t="str">
        <f t="shared" si="152"/>
        <v/>
      </c>
      <c r="N757" t="str">
        <f>IFERROR(VLOOKUP(I757,Товары_очищенные!$H$2:$J$502,3,0),"Нет в каталоге")</f>
        <v>Ноутбуки</v>
      </c>
      <c r="O757" s="4">
        <f>IFERROR(VLOOKUP(I757,Товары_очищенные!$H$2:$M$502,6,0),"")</f>
        <v>169990</v>
      </c>
      <c r="P757" t="str">
        <f t="shared" si="153"/>
        <v xml:space="preserve">Цена отличается от каталога</v>
      </c>
    </row>
    <row r="758">
      <c r="A758" s="3" t="s">
        <v>3515</v>
      </c>
      <c r="B758" s="3" t="s">
        <v>3516</v>
      </c>
      <c r="C758" s="3" t="s">
        <v>1905</v>
      </c>
      <c r="D758" s="3" t="s">
        <v>1964</v>
      </c>
      <c r="E758" s="3" t="s">
        <v>3517</v>
      </c>
      <c r="F758" s="3" t="s">
        <v>1688</v>
      </c>
      <c r="G758" s="3" t="s">
        <v>1903</v>
      </c>
      <c r="H758" s="5">
        <f t="shared" si="149"/>
        <v>46050</v>
      </c>
      <c r="I758" t="str">
        <f t="shared" si="150"/>
        <v>АРТ-158</v>
      </c>
      <c r="J758" s="6">
        <f t="shared" si="151"/>
        <v>1</v>
      </c>
      <c r="K758" s="4">
        <f>VALUE(SUBSTITUTE(SUBSTITUTE(SUBSTITUTE(SUBSTITUTE(D758,"$",""),"€",""),"₽","")," ",""))*IF(ISNUMBER(FIND("$",D758)),Справочники!$H$3,IF(ISNUMBER(FIND("€",D758)),Справочники!$H$4,1))</f>
        <v>9025</v>
      </c>
      <c r="L758" t="str">
        <f>IFERROR(VLOOKUP(TRIM(G758),Справочники!$D$3:$E$13,2,0),"Нет в справочнике")</f>
        <v>Завершен</v>
      </c>
      <c r="M758" t="str">
        <f t="shared" si="152"/>
        <v/>
      </c>
      <c r="N758" t="str">
        <f>IFERROR(VLOOKUP(I758,Товары_очищенные!$H$2:$J$502,3,0),"Нет в каталоге")</f>
        <v>Мониторы</v>
      </c>
      <c r="O758" s="4">
        <f>IFERROR(VLOOKUP(I758,Товары_очищенные!$H$2:$M$502,6,0),"")</f>
        <v>90000</v>
      </c>
      <c r="P758" t="str">
        <f t="shared" si="153"/>
        <v xml:space="preserve">Цена отличается от каталога</v>
      </c>
    </row>
    <row r="759">
      <c r="A759" s="3" t="s">
        <v>3515</v>
      </c>
      <c r="B759" s="3" t="s">
        <v>1372</v>
      </c>
      <c r="C759" s="3" t="s">
        <v>1900</v>
      </c>
      <c r="D759" s="3" t="s">
        <v>1968</v>
      </c>
      <c r="E759" s="3" t="s">
        <v>3518</v>
      </c>
      <c r="F759" s="3" t="s">
        <v>1832</v>
      </c>
      <c r="G759" s="3" t="s">
        <v>1927</v>
      </c>
      <c r="H759" s="5">
        <f t="shared" si="149"/>
        <v>46050</v>
      </c>
      <c r="I759" t="str">
        <f t="shared" si="150"/>
        <v>АРТ-419</v>
      </c>
      <c r="J759" s="6">
        <f t="shared" si="151"/>
        <v>2</v>
      </c>
      <c r="K759" s="4">
        <f>VALUE(SUBSTITUTE(SUBSTITUTE(SUBSTITUTE(SUBSTITUTE(D759,"$",""),"€",""),"₽","")," ",""))*IF(ISNUMBER(FIND("$",D759)),Справочники!$H$3,IF(ISNUMBER(FIND("€",D759)),Справочники!$H$4,1))</f>
        <v>7500</v>
      </c>
      <c r="L759" t="str">
        <f>IFERROR(VLOOKUP(TRIM(G759),Справочники!$D$3:$E$13,2,0),"Нет в справочнике")</f>
        <v>Возврат</v>
      </c>
      <c r="M759" t="str">
        <f t="shared" si="152"/>
        <v/>
      </c>
      <c r="N759" t="str">
        <f>IFERROR(VLOOKUP(I759,Товары_очищенные!$H$2:$J$502,3,0),"Нет в каталоге")</f>
        <v>Часы</v>
      </c>
      <c r="O759" s="4">
        <f>IFERROR(VLOOKUP(I759,Товары_очищенные!$H$2:$M$502,6,0),"")</f>
        <v>28500</v>
      </c>
      <c r="P759" t="str">
        <f t="shared" si="153"/>
        <v xml:space="preserve">Цена отличается от каталога</v>
      </c>
    </row>
    <row r="760">
      <c r="A760" s="3" t="s">
        <v>3519</v>
      </c>
      <c r="B760" s="3" t="s">
        <v>3520</v>
      </c>
      <c r="C760" s="3" t="s">
        <v>1910</v>
      </c>
      <c r="D760" s="3" t="s">
        <v>1971</v>
      </c>
      <c r="E760" s="3" t="s">
        <v>3521</v>
      </c>
      <c r="F760" s="3" t="s">
        <v>1594</v>
      </c>
      <c r="G760" s="3" t="s">
        <v>1908</v>
      </c>
      <c r="H760" s="5">
        <f t="shared" si="149"/>
        <v>46051</v>
      </c>
      <c r="I760" t="str">
        <f t="shared" si="150"/>
        <v>АРТ-326</v>
      </c>
      <c r="J760" s="6">
        <f t="shared" si="151"/>
        <v>3</v>
      </c>
      <c r="K760" s="4">
        <f>VALUE(SUBSTITUTE(SUBSTITUTE(SUBSTITUTE(SUBSTITUTE(D760,"$",""),"€",""),"₽","")," ",""))*IF(ISNUMBER(FIND("$",D760)),Справочники!$H$3,IF(ISNUMBER(FIND("€",D760)),Справочники!$H$4,1))</f>
        <v>7000</v>
      </c>
      <c r="L760" t="str">
        <f>IFERROR(VLOOKUP(TRIM(G760),Справочники!$D$3:$E$13,2,0),"Нет в справочнике")</f>
        <v>Завершен</v>
      </c>
      <c r="M760" t="str">
        <f t="shared" si="152"/>
        <v/>
      </c>
      <c r="N760" t="str">
        <f>IFERROR(VLOOKUP(I760,Товары_очищенные!$H$2:$J$502,3,0),"Нет в каталоге")</f>
        <v>Мониторы</v>
      </c>
      <c r="O760" s="4">
        <f>IFERROR(VLOOKUP(I760,Товары_очищенные!$H$2:$M$502,6,0),"")</f>
        <v>64500</v>
      </c>
      <c r="P760" t="str">
        <f t="shared" si="153"/>
        <v xml:space="preserve">Цена отличается от каталога</v>
      </c>
    </row>
    <row r="761">
      <c r="A761" s="3" t="s">
        <v>3519</v>
      </c>
      <c r="B761" s="3" t="s">
        <v>949</v>
      </c>
      <c r="C761" s="3" t="s">
        <v>1942</v>
      </c>
      <c r="D761" s="3" t="s">
        <v>1943</v>
      </c>
      <c r="E761" s="3" t="s">
        <v>3522</v>
      </c>
      <c r="F761" s="3" t="s">
        <v>1796</v>
      </c>
      <c r="G761" s="3" t="s">
        <v>1913</v>
      </c>
      <c r="H761" s="5">
        <f t="shared" si="149"/>
        <v>46051</v>
      </c>
      <c r="I761" t="str">
        <f t="shared" si="150"/>
        <v>АРТ-250</v>
      </c>
      <c r="J761" s="6">
        <f t="shared" si="151"/>
        <v>-2</v>
      </c>
      <c r="K761" s="4">
        <f>VALUE(SUBSTITUTE(SUBSTITUTE(SUBSTITUTE(SUBSTITUTE(D761,"$",""),"€",""),"₽","")," ",""))*IF(ISNUMBER(FIND("$",D761)),Справочники!$H$3,IF(ISNUMBER(FIND("€",D761)),Справочники!$H$4,1))</f>
        <v>10925</v>
      </c>
      <c r="L761" t="str">
        <f>IFERROR(VLOOKUP(TRIM(G761),Справочники!$D$3:$E$13,2,0),"Нет в справочнике")</f>
        <v>Завершен</v>
      </c>
      <c r="M761" t="str">
        <f t="shared" si="152"/>
        <v/>
      </c>
      <c r="N761" t="str">
        <f>IFERROR(VLOOKUP(I761,Товары_очищенные!$H$2:$J$502,3,0),"Нет в каталоге")</f>
        <v>Часы</v>
      </c>
      <c r="O761" s="4">
        <f>IFERROR(VLOOKUP(I761,Товары_очищенные!$H$2:$M$502,6,0),"")</f>
        <v>54990</v>
      </c>
      <c r="P761" t="str">
        <f t="shared" si="153"/>
        <v xml:space="preserve">Цена отличается от каталога</v>
      </c>
    </row>
    <row r="762">
      <c r="A762" s="3" t="s">
        <v>3523</v>
      </c>
      <c r="B762" s="3" t="s">
        <v>1196</v>
      </c>
      <c r="C762" s="3" t="s">
        <v>1905</v>
      </c>
      <c r="D762" s="3" t="s">
        <v>1934</v>
      </c>
      <c r="E762" s="3" t="s">
        <v>3524</v>
      </c>
      <c r="F762" s="3" t="s">
        <v>1656</v>
      </c>
      <c r="G762" s="3" t="s">
        <v>1903</v>
      </c>
      <c r="H762" s="5">
        <f t="shared" si="149"/>
        <v>46052</v>
      </c>
      <c r="I762" t="str">
        <f t="shared" si="150"/>
        <v>АРТ-338</v>
      </c>
      <c r="J762" s="6">
        <f t="shared" si="151"/>
        <v>1</v>
      </c>
      <c r="K762" s="4">
        <f>VALUE(SUBSTITUTE(SUBSTITUTE(SUBSTITUTE(SUBSTITUTE(D762,"$",""),"€",""),"₽","")," ",""))*IF(ISNUMBER(FIND("$",D762)),Справочники!$H$3,IF(ISNUMBER(FIND("€",D762)),Справочники!$H$4,1))</f>
        <v>9500</v>
      </c>
      <c r="L762" t="str">
        <f>IFERROR(VLOOKUP(TRIM(G762),Справочники!$D$3:$E$13,2,0),"Нет в справочнике")</f>
        <v>Завершен</v>
      </c>
      <c r="M762" t="str">
        <f t="shared" si="152"/>
        <v/>
      </c>
      <c r="N762" t="str">
        <f>IFERROR(VLOOKUP(I762,Товары_очищенные!$H$2:$J$502,3,0),"Нет в каталоге")</f>
        <v>Смартфоны</v>
      </c>
      <c r="O762" s="4">
        <f>IFERROR(VLOOKUP(I762,Товары_очищенные!$H$2:$M$502,6,0),"")</f>
        <v>62500</v>
      </c>
      <c r="P762" t="str">
        <f t="shared" si="153"/>
        <v xml:space="preserve">Цена отличается от каталога</v>
      </c>
    </row>
    <row r="763">
      <c r="A763" s="3" t="s">
        <v>3523</v>
      </c>
      <c r="B763" s="3" t="s">
        <v>3525</v>
      </c>
      <c r="C763" s="3" t="s">
        <v>1900</v>
      </c>
      <c r="D763" s="3" t="s">
        <v>1951</v>
      </c>
      <c r="E763" s="3" t="s">
        <v>3526</v>
      </c>
      <c r="F763" s="3" t="s">
        <v>1746</v>
      </c>
      <c r="G763" s="3" t="s">
        <v>1924</v>
      </c>
      <c r="H763" s="5">
        <f t="shared" si="149"/>
        <v>46052</v>
      </c>
      <c r="I763" t="str">
        <f t="shared" si="150"/>
        <v>АРТ-277</v>
      </c>
      <c r="J763" s="6">
        <f t="shared" si="151"/>
        <v>2</v>
      </c>
      <c r="K763" s="4">
        <f>VALUE(SUBSTITUTE(SUBSTITUTE(SUBSTITUTE(SUBSTITUTE(D763,"$",""),"€",""),"₽","")," ",""))*IF(ISNUMBER(FIND("$",D763)),Справочники!$H$3,IF(ISNUMBER(FIND("€",D763)),Справочники!$H$4,1))</f>
        <v>8500</v>
      </c>
      <c r="L763" t="str">
        <f>IFERROR(VLOOKUP(TRIM(G763),Справочники!$D$3:$E$13,2,0),"Нет в справочнике")</f>
        <v>Отменен</v>
      </c>
      <c r="M763" t="str">
        <f t="shared" si="152"/>
        <v/>
      </c>
      <c r="N763" t="str">
        <f>IFERROR(VLOOKUP(I763,Товары_очищенные!$H$2:$J$502,3,0),"Нет в каталоге")</f>
        <v>Телевизоры</v>
      </c>
      <c r="O763" s="4">
        <f>IFERROR(VLOOKUP(I763,Товары_очищенные!$H$2:$M$502,6,0),"")</f>
        <v>114990</v>
      </c>
      <c r="P763" t="str">
        <f t="shared" si="153"/>
        <v xml:space="preserve">Цена отличается от каталога</v>
      </c>
    </row>
    <row r="764">
      <c r="A764" s="3" t="s">
        <v>3527</v>
      </c>
      <c r="B764" s="3" t="s">
        <v>3528</v>
      </c>
      <c r="C764" s="3" t="s">
        <v>1930</v>
      </c>
      <c r="D764" s="3" t="s">
        <v>1931</v>
      </c>
      <c r="E764" s="3" t="s">
        <v>3529</v>
      </c>
      <c r="F764" s="3" t="s">
        <v>1622</v>
      </c>
      <c r="G764" s="3" t="s">
        <v>1918</v>
      </c>
      <c r="H764" s="5">
        <f t="shared" si="149"/>
        <v>46053</v>
      </c>
      <c r="I764" t="str">
        <f t="shared" si="150"/>
        <v>АРТ-069</v>
      </c>
      <c r="J764" s="6">
        <f t="shared" si="151"/>
        <v>3</v>
      </c>
      <c r="K764" s="4">
        <f>VALUE(SUBSTITUTE(SUBSTITUTE(SUBSTITUTE(SUBSTITUTE(D764,"$",""),"€",""),"₽","")," ",""))*IF(ISNUMBER(FIND("$",D764)),Справочники!$H$3,IF(ISNUMBER(FIND("€",D764)),Справочники!$H$4,1))</f>
        <v>9975</v>
      </c>
      <c r="L764" t="str">
        <f>IFERROR(VLOOKUP(TRIM(G764),Справочники!$D$3:$E$13,2,0),"Нет в справочнике")</f>
        <v>Отменен</v>
      </c>
      <c r="M764" t="str">
        <f t="shared" si="152"/>
        <v/>
      </c>
      <c r="N764" t="str">
        <f>IFERROR(VLOOKUP(I764,Товары_очищенные!$H$2:$J$502,3,0),"Нет в каталоге")</f>
        <v>Телевизоры</v>
      </c>
      <c r="O764" s="4">
        <f>IFERROR(VLOOKUP(I764,Товары_очищенные!$H$2:$M$502,6,0),"")</f>
        <v>112000</v>
      </c>
      <c r="P764" t="str">
        <f t="shared" si="153"/>
        <v xml:space="preserve">Цена отличается от каталога</v>
      </c>
    </row>
    <row r="765">
      <c r="A765" s="3" t="s">
        <v>3527</v>
      </c>
      <c r="B765" s="3" t="s">
        <v>2893</v>
      </c>
      <c r="C765" s="3" t="s">
        <v>1900</v>
      </c>
      <c r="D765" s="3" t="s">
        <v>1906</v>
      </c>
      <c r="E765" s="3" t="s">
        <v>3530</v>
      </c>
      <c r="F765" s="3" t="s">
        <v>1826</v>
      </c>
      <c r="G765" s="3" t="s">
        <v>1927</v>
      </c>
      <c r="H765" s="5">
        <f t="shared" si="149"/>
        <v>46053</v>
      </c>
      <c r="I765" t="str">
        <f t="shared" si="150"/>
        <v>АРТ-442</v>
      </c>
      <c r="J765" s="6">
        <f t="shared" si="151"/>
        <v>2</v>
      </c>
      <c r="K765" s="4">
        <f>VALUE(SUBSTITUTE(SUBSTITUTE(SUBSTITUTE(SUBSTITUTE(D765,"$",""),"€",""),"₽","")," ",""))*IF(ISNUMBER(FIND("$",D765)),Справочники!$H$3,IF(ISNUMBER(FIND("€",D765)),Справочники!$H$4,1))</f>
        <v>8500</v>
      </c>
      <c r="L765" t="str">
        <f>IFERROR(VLOOKUP(TRIM(G765),Справочники!$D$3:$E$13,2,0),"Нет в справочнике")</f>
        <v>Возврат</v>
      </c>
      <c r="M765" t="str">
        <f t="shared" si="152"/>
        <v/>
      </c>
      <c r="N765" t="str">
        <f>IFERROR(VLOOKUP(I765,Товары_очищенные!$H$2:$J$502,3,0),"Нет в каталоге")</f>
        <v>Смартфоны</v>
      </c>
      <c r="O765" s="4">
        <f>IFERROR(VLOOKUP(I765,Товары_очищенные!$H$2:$M$502,6,0),"")</f>
        <v>24990</v>
      </c>
      <c r="P765" t="str">
        <f t="shared" si="153"/>
        <v xml:space="preserve">Цена отличается от каталога</v>
      </c>
    </row>
    <row r="766">
      <c r="A766" s="3" t="s">
        <v>3531</v>
      </c>
      <c r="B766" s="3" t="s">
        <v>3532</v>
      </c>
      <c r="C766" s="3" t="s">
        <v>1938</v>
      </c>
      <c r="D766" s="3" t="s">
        <v>2166</v>
      </c>
      <c r="E766" s="3" t="s">
        <v>3533</v>
      </c>
      <c r="F766" s="3" t="s">
        <v>1676</v>
      </c>
      <c r="G766" s="3" t="s">
        <v>1903</v>
      </c>
      <c r="H766" s="5">
        <f t="shared" si="149"/>
        <v>46054</v>
      </c>
      <c r="I766" t="str">
        <f t="shared" si="150"/>
        <v>АРТ-349</v>
      </c>
      <c r="J766" s="6">
        <f t="shared" si="151"/>
        <v>1</v>
      </c>
      <c r="K766" s="4">
        <f>VALUE(SUBSTITUTE(SUBSTITUTE(SUBSTITUTE(SUBSTITUTE(D766,"$",""),"€",""),"₽","")," ",""))*IF(ISNUMBER(FIND("$",D766)),Справочники!$H$3,IF(ISNUMBER(FIND("€",D766)),Справочники!$H$4,1))</f>
        <v>7800</v>
      </c>
      <c r="L766" t="str">
        <f>IFERROR(VLOOKUP(TRIM(G766),Справочники!$D$3:$E$13,2,0),"Нет в справочнике")</f>
        <v>Завершен</v>
      </c>
      <c r="M766" t="str">
        <f t="shared" si="152"/>
        <v/>
      </c>
      <c r="N766" t="str">
        <f>IFERROR(VLOOKUP(I766,Товары_очищенные!$H$2:$J$502,3,0),"Нет в каталоге")</f>
        <v>Мониторы</v>
      </c>
      <c r="O766" s="4">
        <f>IFERROR(VLOOKUP(I766,Товары_очищенные!$H$2:$M$502,6,0),"")</f>
        <v>54990</v>
      </c>
      <c r="P766" t="str">
        <f t="shared" si="153"/>
        <v xml:space="preserve">Цена отличается от каталога</v>
      </c>
    </row>
    <row r="767">
      <c r="A767" s="3" t="s">
        <v>3531</v>
      </c>
      <c r="B767" s="3" t="s">
        <v>783</v>
      </c>
      <c r="C767" s="3" t="s">
        <v>1985</v>
      </c>
      <c r="D767" s="3" t="s">
        <v>2044</v>
      </c>
      <c r="E767" s="3" t="s">
        <v>3534</v>
      </c>
      <c r="F767" s="3" t="s">
        <v>1772</v>
      </c>
      <c r="G767" s="3" t="s">
        <v>1908</v>
      </c>
      <c r="H767" s="5">
        <f t="shared" si="149"/>
        <v>46054</v>
      </c>
      <c r="I767" t="str">
        <f t="shared" si="150"/>
        <v>АРТ-193</v>
      </c>
      <c r="J767" s="6">
        <f t="shared" si="151"/>
        <v>-3</v>
      </c>
      <c r="K767" s="4">
        <f>VALUE(SUBSTITUTE(SUBSTITUTE(SUBSTITUTE(SUBSTITUTE(D767,"$",""),"€",""),"₽","")," ",""))*IF(ISNUMBER(FIND("$",D767)),Справочники!$H$3,IF(ISNUMBER(FIND("€",D767)),Справочники!$H$4,1))</f>
        <v>11400</v>
      </c>
      <c r="L767" t="str">
        <f>IFERROR(VLOOKUP(TRIM(G767),Справочники!$D$3:$E$13,2,0),"Нет в справочнике")</f>
        <v>Завершен</v>
      </c>
      <c r="M767" t="str">
        <f t="shared" si="152"/>
        <v/>
      </c>
      <c r="N767" t="str">
        <f>IFERROR(VLOOKUP(I767,Товары_очищенные!$H$2:$J$502,3,0),"Нет в каталоге")</f>
        <v>Ноутбуки</v>
      </c>
      <c r="O767" s="4">
        <f>IFERROR(VLOOKUP(I767,Товары_очищенные!$H$2:$M$502,6,0),"")</f>
        <v>129990</v>
      </c>
      <c r="P767" t="str">
        <f t="shared" si="153"/>
        <v xml:space="preserve">Цена отличается от каталога</v>
      </c>
    </row>
    <row r="768">
      <c r="A768" s="3" t="s">
        <v>3535</v>
      </c>
      <c r="B768" s="3" t="s">
        <v>3536</v>
      </c>
      <c r="C768" s="3" t="s">
        <v>1900</v>
      </c>
      <c r="D768" s="3" t="s">
        <v>2046</v>
      </c>
      <c r="E768" s="3" t="s">
        <v>3537</v>
      </c>
      <c r="F768" s="3" t="s">
        <v>1874</v>
      </c>
      <c r="G768" s="3" t="s">
        <v>1913</v>
      </c>
      <c r="H768" s="5">
        <f t="shared" si="149"/>
        <v>46055</v>
      </c>
      <c r="I768" t="str">
        <f t="shared" si="150"/>
        <v>АРТ-394</v>
      </c>
      <c r="J768" s="6">
        <f t="shared" si="151"/>
        <v>2</v>
      </c>
      <c r="K768" s="4">
        <f>VALUE(SUBSTITUTE(SUBSTITUTE(SUBSTITUTE(SUBSTITUTE(D768,"$",""),"€",""),"₽","")," ",""))*IF(ISNUMBER(FIND("$",D768)),Справочники!$H$3,IF(ISNUMBER(FIND("€",D768)),Справочники!$H$4,1))</f>
        <v>10000</v>
      </c>
      <c r="L768" t="str">
        <f>IFERROR(VLOOKUP(TRIM(G768),Справочники!$D$3:$E$13,2,0),"Нет в справочнике")</f>
        <v>Завершен</v>
      </c>
      <c r="M768" t="str">
        <f t="shared" si="152"/>
        <v/>
      </c>
      <c r="N768" t="str">
        <f>IFERROR(VLOOKUP(I768,Товары_очищенные!$H$2:$J$502,3,0),"Нет в каталоге")</f>
        <v>Мониторы</v>
      </c>
      <c r="O768" s="4">
        <f>IFERROR(VLOOKUP(I768,Товары_очищенные!$H$2:$M$502,6,0),"")</f>
        <v>64990</v>
      </c>
      <c r="P768" t="str">
        <f t="shared" si="153"/>
        <v xml:space="preserve">Цена отличается от каталога</v>
      </c>
    </row>
    <row r="769">
      <c r="A769" s="3" t="s">
        <v>3535</v>
      </c>
      <c r="B769" s="3" t="s">
        <v>2266</v>
      </c>
      <c r="C769" s="3" t="s">
        <v>1905</v>
      </c>
      <c r="D769" s="3" t="s">
        <v>2087</v>
      </c>
      <c r="E769" s="3" t="s">
        <v>3538</v>
      </c>
      <c r="F769" s="3" t="s">
        <v>1601</v>
      </c>
      <c r="G769" s="3" t="s">
        <v>1918</v>
      </c>
      <c r="H769" s="5">
        <f t="shared" si="149"/>
        <v>46055</v>
      </c>
      <c r="I769" t="str">
        <f t="shared" si="150"/>
        <v>АРТ-256</v>
      </c>
      <c r="J769" s="6">
        <f t="shared" si="151"/>
        <v>1</v>
      </c>
      <c r="K769" s="4">
        <f>VALUE(SUBSTITUTE(SUBSTITUTE(SUBSTITUTE(SUBSTITUTE(D769,"$",""),"€",""),"₽","")," ",""))*IF(ISNUMBER(FIND("$",D769)),Справочники!$H$3,IF(ISNUMBER(FIND("€",D769)),Справочники!$H$4,1))</f>
        <v>9200</v>
      </c>
      <c r="L769" t="str">
        <f>IFERROR(VLOOKUP(TRIM(G769),Справочники!$D$3:$E$13,2,0),"Нет в справочнике")</f>
        <v>Отменен</v>
      </c>
      <c r="M769" t="str">
        <f t="shared" si="152"/>
        <v/>
      </c>
      <c r="N769" t="str">
        <f>IFERROR(VLOOKUP(I769,Товары_очищенные!$H$2:$J$502,3,0),"Нет в каталоге")</f>
        <v>Смартфоны</v>
      </c>
      <c r="O769" s="4">
        <f>IFERROR(VLOOKUP(I769,Товары_очищенные!$H$2:$M$502,6,0),"")</f>
        <v>37990</v>
      </c>
      <c r="P769" t="str">
        <f t="shared" si="153"/>
        <v xml:space="preserve">Цена отличается от каталога</v>
      </c>
    </row>
    <row r="770">
      <c r="A770" s="3" t="s">
        <v>3539</v>
      </c>
      <c r="B770" s="3" t="s">
        <v>3206</v>
      </c>
      <c r="C770" s="3" t="s">
        <v>1930</v>
      </c>
      <c r="D770" s="3" t="s">
        <v>1986</v>
      </c>
      <c r="E770" s="3" t="s">
        <v>3540</v>
      </c>
      <c r="F770" s="3" t="s">
        <v>1721</v>
      </c>
      <c r="G770" s="3" t="s">
        <v>1924</v>
      </c>
      <c r="H770" s="5">
        <f t="shared" si="149"/>
        <v>46056</v>
      </c>
      <c r="I770" t="str">
        <f t="shared" si="150"/>
        <v>АРТ-128</v>
      </c>
      <c r="J770" s="6">
        <f t="shared" si="151"/>
        <v>3</v>
      </c>
      <c r="K770" s="4">
        <f>VALUE(SUBSTITUTE(SUBSTITUTE(SUBSTITUTE(SUBSTITUTE(D770,"$",""),"€",""),"₽","")," ",""))*IF(ISNUMBER(FIND("$",D770)),Справочники!$H$3,IF(ISNUMBER(FIND("€",D770)),Справочники!$H$4,1))</f>
        <v>8550</v>
      </c>
      <c r="L770" t="str">
        <f>IFERROR(VLOOKUP(TRIM(G770),Справочники!$D$3:$E$13,2,0),"Нет в справочнике")</f>
        <v>Отменен</v>
      </c>
      <c r="M770" t="str">
        <f t="shared" si="152"/>
        <v/>
      </c>
      <c r="N770" t="str">
        <f>IFERROR(VLOOKUP(I770,Товары_очищенные!$H$2:$J$502,3,0),"Нет в каталоге")</f>
        <v>Смартфоны</v>
      </c>
      <c r="O770" s="4">
        <f>IFERROR(VLOOKUP(I770,Товары_очищенные!$H$2:$M$502,6,0),"")</f>
        <v>50500</v>
      </c>
      <c r="P770" t="str">
        <f t="shared" si="153"/>
        <v xml:space="preserve">Цена отличается от каталога</v>
      </c>
    </row>
    <row r="771">
      <c r="A771" s="3" t="s">
        <v>3539</v>
      </c>
      <c r="B771" s="3" t="s">
        <v>3276</v>
      </c>
      <c r="C771" s="3" t="s">
        <v>1900</v>
      </c>
      <c r="D771" s="3" t="s">
        <v>1989</v>
      </c>
      <c r="E771" s="3" t="s">
        <v>3541</v>
      </c>
      <c r="F771" s="3" t="s">
        <v>1663</v>
      </c>
      <c r="G771" s="3" t="s">
        <v>1903</v>
      </c>
      <c r="H771" s="5">
        <f t="shared" si="149"/>
        <v>46056</v>
      </c>
      <c r="I771" t="str">
        <f t="shared" si="150"/>
        <v>АРТ-465</v>
      </c>
      <c r="J771" s="6">
        <f t="shared" si="151"/>
        <v>2</v>
      </c>
      <c r="K771" s="4">
        <f>VALUE(SUBSTITUTE(SUBSTITUTE(SUBSTITUTE(SUBSTITUTE(D771,"$",""),"€",""),"₽","")," ",""))*IF(ISNUMBER(FIND("$",D771)),Справочники!$H$3,IF(ISNUMBER(FIND("€",D771)),Справочники!$H$4,1))</f>
        <v>7000</v>
      </c>
      <c r="L771" t="str">
        <f>IFERROR(VLOOKUP(TRIM(G771),Справочники!$D$3:$E$13,2,0),"Нет в справочнике")</f>
        <v>Завершен</v>
      </c>
      <c r="M771" t="str">
        <f t="shared" si="152"/>
        <v/>
      </c>
      <c r="N771" t="str">
        <f>IFERROR(VLOOKUP(I771,Товары_очищенные!$H$2:$J$502,3,0),"Нет в каталоге")</f>
        <v>Планшеты</v>
      </c>
      <c r="O771" s="4">
        <f>IFERROR(VLOOKUP(I771,Товары_очищенные!$H$2:$M$502,6,0),"")</f>
        <v>31500</v>
      </c>
      <c r="P771" t="str">
        <f t="shared" si="153"/>
        <v xml:space="preserve">Цена отличается от каталога</v>
      </c>
    </row>
    <row r="772">
      <c r="A772" s="3" t="s">
        <v>3542</v>
      </c>
      <c r="B772" s="3" t="s">
        <v>3543</v>
      </c>
      <c r="C772" s="3" t="s">
        <v>1938</v>
      </c>
      <c r="D772" s="3" t="s">
        <v>1939</v>
      </c>
      <c r="E772" s="3" t="s">
        <v>3544</v>
      </c>
      <c r="F772" s="3" t="s">
        <v>1802</v>
      </c>
      <c r="G772" s="3" t="s">
        <v>1927</v>
      </c>
      <c r="H772" s="5">
        <f t="shared" si="149"/>
        <v>46057</v>
      </c>
      <c r="I772" t="str">
        <f t="shared" si="150"/>
        <v>АРТ-319</v>
      </c>
      <c r="J772" s="6">
        <f t="shared" si="151"/>
        <v>1</v>
      </c>
      <c r="K772" s="4">
        <f>VALUE(SUBSTITUTE(SUBSTITUTE(SUBSTITUTE(SUBSTITUTE(D772,"$",""),"€",""),"₽","")," ",""))*IF(ISNUMBER(FIND("$",D772)),Справочники!$H$3,IF(ISNUMBER(FIND("€",D772)),Справочники!$H$4,1))</f>
        <v>6500</v>
      </c>
      <c r="L772" t="str">
        <f>IFERROR(VLOOKUP(TRIM(G772),Справочники!$D$3:$E$13,2,0),"Нет в справочнике")</f>
        <v>Возврат</v>
      </c>
      <c r="M772" t="str">
        <f t="shared" si="152"/>
        <v/>
      </c>
      <c r="N772" t="str">
        <f>IFERROR(VLOOKUP(I772,Товары_очищенные!$H$2:$J$502,3,0),"Нет в каталоге")</f>
        <v>Телевизоры</v>
      </c>
      <c r="O772" s="4">
        <f>IFERROR(VLOOKUP(I772,Товары_очищенные!$H$2:$M$502,6,0),"")</f>
        <v>184990</v>
      </c>
      <c r="P772" t="str">
        <f t="shared" si="153"/>
        <v xml:space="preserve">Цена отличается от каталога</v>
      </c>
    </row>
    <row r="773">
      <c r="A773" s="3" t="s">
        <v>3542</v>
      </c>
      <c r="B773" s="3" t="s">
        <v>983</v>
      </c>
      <c r="C773" s="3" t="s">
        <v>1915</v>
      </c>
      <c r="D773" s="3" t="s">
        <v>1916</v>
      </c>
      <c r="E773" s="3" t="s">
        <v>3545</v>
      </c>
      <c r="F773" s="3" t="s">
        <v>1868</v>
      </c>
      <c r="G773" s="3" t="s">
        <v>1908</v>
      </c>
      <c r="H773" s="5">
        <f t="shared" si="149"/>
        <v>46057</v>
      </c>
      <c r="I773" t="str">
        <f t="shared" si="150"/>
        <v>АРТ-262</v>
      </c>
      <c r="J773" s="6">
        <f t="shared" si="151"/>
        <v>-1</v>
      </c>
      <c r="K773" s="4">
        <f>VALUE(SUBSTITUTE(SUBSTITUTE(SUBSTITUTE(SUBSTITUTE(D773,"$",""),"€",""),"₽","")," ",""))*IF(ISNUMBER(FIND("$",D773)),Справочники!$H$3,IF(ISNUMBER(FIND("€",D773)),Справочники!$H$4,1))</f>
        <v>10450</v>
      </c>
      <c r="L773" t="str">
        <f>IFERROR(VLOOKUP(TRIM(G773),Справочники!$D$3:$E$13,2,0),"Нет в справочнике")</f>
        <v>Завершен</v>
      </c>
      <c r="M773" t="str">
        <f t="shared" si="152"/>
        <v/>
      </c>
      <c r="N773" t="str">
        <f>IFERROR(VLOOKUP(I773,Товары_очищенные!$H$2:$J$502,3,0),"Нет в каталоге")</f>
        <v>Наушники</v>
      </c>
      <c r="O773" s="4">
        <f>IFERROR(VLOOKUP(I773,Товары_очищенные!$H$2:$M$502,6,0),"")</f>
        <v>11990</v>
      </c>
      <c r="P773" t="str">
        <f t="shared" si="153"/>
        <v>ОК</v>
      </c>
    </row>
    <row r="774">
      <c r="A774" s="3" t="s">
        <v>3546</v>
      </c>
      <c r="B774" s="3" t="s">
        <v>1113</v>
      </c>
      <c r="C774" s="3" t="s">
        <v>1930</v>
      </c>
      <c r="D774" s="3" t="s">
        <v>1922</v>
      </c>
      <c r="E774" s="3" t="s">
        <v>3547</v>
      </c>
      <c r="F774" s="3" t="s">
        <v>1587</v>
      </c>
      <c r="G774" s="3" t="s">
        <v>1913</v>
      </c>
      <c r="H774" s="5">
        <f t="shared" si="149"/>
        <v>46058</v>
      </c>
      <c r="I774" t="str">
        <f t="shared" si="150"/>
        <v>АРТ-305</v>
      </c>
      <c r="J774" s="6">
        <f t="shared" si="151"/>
        <v>3</v>
      </c>
      <c r="K774" s="4">
        <f>VALUE(SUBSTITUTE(SUBSTITUTE(SUBSTITUTE(SUBSTITUTE(D774,"$",""),"€",""),"₽","")," ",""))*IF(ISNUMBER(FIND("$",D774)),Справочники!$H$3,IF(ISNUMBER(FIND("€",D774)),Справочники!$H$4,1))</f>
        <v>9000</v>
      </c>
      <c r="L774" t="str">
        <f>IFERROR(VLOOKUP(TRIM(G774),Справочники!$D$3:$E$13,2,0),"Нет в справочнике")</f>
        <v>Завершен</v>
      </c>
      <c r="M774" t="str">
        <f t="shared" si="152"/>
        <v/>
      </c>
      <c r="N774" t="str">
        <f>IFERROR(VLOOKUP(I774,Товары_очищенные!$H$2:$J$502,3,0),"Нет в каталоге")</f>
        <v>Мониторы</v>
      </c>
      <c r="O774" s="4">
        <f>IFERROR(VLOOKUP(I774,Товары_очищенные!$H$2:$M$502,6,0),"")</f>
        <v>57500</v>
      </c>
      <c r="P774" t="str">
        <f t="shared" si="153"/>
        <v xml:space="preserve">Цена отличается от каталога</v>
      </c>
    </row>
    <row r="775">
      <c r="A775" s="3" t="s">
        <v>3546</v>
      </c>
      <c r="B775" s="3" t="s">
        <v>3548</v>
      </c>
      <c r="C775" s="3" t="s">
        <v>1900</v>
      </c>
      <c r="D775" s="3" t="s">
        <v>1925</v>
      </c>
      <c r="E775" s="3" t="s">
        <v>3549</v>
      </c>
      <c r="F775" s="3" t="s">
        <v>1734</v>
      </c>
      <c r="G775" s="3" t="s">
        <v>1903</v>
      </c>
      <c r="H775" s="5">
        <f t="shared" si="149"/>
        <v>46058</v>
      </c>
      <c r="I775" t="str">
        <f t="shared" si="150"/>
        <v>АРТ-115</v>
      </c>
      <c r="J775" s="6">
        <f t="shared" si="151"/>
        <v>2</v>
      </c>
      <c r="K775" s="4">
        <f>VALUE(SUBSTITUTE(SUBSTITUTE(SUBSTITUTE(SUBSTITUTE(D775,"$",""),"€",""),"₽","")," ",""))*IF(ISNUMBER(FIND("$",D775)),Справочники!$H$3,IF(ISNUMBER(FIND("€",D775)),Справочники!$H$4,1))</f>
        <v>8000</v>
      </c>
      <c r="L775" t="str">
        <f>IFERROR(VLOOKUP(TRIM(G775),Справочники!$D$3:$E$13,2,0),"Нет в справочнике")</f>
        <v>Завершен</v>
      </c>
      <c r="M775" t="str">
        <f t="shared" si="152"/>
        <v/>
      </c>
      <c r="N775" t="str">
        <f>IFERROR(VLOOKUP(I775,Товары_очищенные!$H$2:$J$502,3,0),"Нет в каталоге")</f>
        <v>Мониторы</v>
      </c>
      <c r="O775" s="4">
        <f>IFERROR(VLOOKUP(I775,Товары_очищенные!$H$2:$M$502,6,0),"")</f>
        <v>74900</v>
      </c>
      <c r="P775" t="str">
        <f t="shared" si="153"/>
        <v xml:space="preserve">Цена отличается от каталога</v>
      </c>
    </row>
    <row r="776">
      <c r="A776" s="3" t="s">
        <v>3550</v>
      </c>
      <c r="B776" s="3" t="s">
        <v>627</v>
      </c>
      <c r="C776" s="3" t="s">
        <v>1905</v>
      </c>
      <c r="D776" s="3" t="s">
        <v>1964</v>
      </c>
      <c r="E776" s="3" t="s">
        <v>3551</v>
      </c>
      <c r="F776" s="3" t="s">
        <v>1649</v>
      </c>
      <c r="G776" s="3" t="s">
        <v>1924</v>
      </c>
      <c r="H776" s="5">
        <f t="shared" si="149"/>
        <v>46059</v>
      </c>
      <c r="I776" t="str">
        <f t="shared" si="150"/>
        <v>АРТ-148</v>
      </c>
      <c r="J776" s="6">
        <f t="shared" si="151"/>
        <v>1</v>
      </c>
      <c r="K776" s="4">
        <f>VALUE(SUBSTITUTE(SUBSTITUTE(SUBSTITUTE(SUBSTITUTE(D776,"$",""),"€",""),"₽","")," ",""))*IF(ISNUMBER(FIND("$",D776)),Справочники!$H$3,IF(ISNUMBER(FIND("€",D776)),Справочники!$H$4,1))</f>
        <v>9025</v>
      </c>
      <c r="L776" t="str">
        <f>IFERROR(VLOOKUP(TRIM(G776),Справочники!$D$3:$E$13,2,0),"Нет в справочнике")</f>
        <v>Отменен</v>
      </c>
      <c r="M776" t="str">
        <f t="shared" si="152"/>
        <v/>
      </c>
      <c r="N776" t="str">
        <f>IFERROR(VLOOKUP(I776,Товары_очищенные!$H$2:$J$502,3,0),"Нет в каталоге")</f>
        <v>Ноутбуки</v>
      </c>
      <c r="O776" s="4">
        <f>IFERROR(VLOOKUP(I776,Товары_очищенные!$H$2:$M$502,6,0),"")</f>
        <v>139990</v>
      </c>
      <c r="P776" t="str">
        <f t="shared" si="153"/>
        <v xml:space="preserve">Цена отличается от каталога</v>
      </c>
    </row>
    <row r="777">
      <c r="A777" s="3" t="s">
        <v>3550</v>
      </c>
      <c r="B777" s="3" t="s">
        <v>2716</v>
      </c>
      <c r="C777" s="3" t="s">
        <v>1900</v>
      </c>
      <c r="D777" s="3" t="s">
        <v>1968</v>
      </c>
      <c r="E777" s="3" t="s">
        <v>3552</v>
      </c>
      <c r="F777" s="3" t="s">
        <v>1784</v>
      </c>
      <c r="G777" s="3" t="s">
        <v>1918</v>
      </c>
      <c r="H777" s="5">
        <f t="shared" si="149"/>
        <v>46059</v>
      </c>
      <c r="I777" t="str">
        <f t="shared" si="150"/>
        <v>АРТ-493</v>
      </c>
      <c r="J777" s="6">
        <f t="shared" si="151"/>
        <v>2</v>
      </c>
      <c r="K777" s="4">
        <f>VALUE(SUBSTITUTE(SUBSTITUTE(SUBSTITUTE(SUBSTITUTE(D777,"$",""),"€",""),"₽","")," ",""))*IF(ISNUMBER(FIND("$",D777)),Справочники!$H$3,IF(ISNUMBER(FIND("€",D777)),Справочники!$H$4,1))</f>
        <v>7500</v>
      </c>
      <c r="L777" t="str">
        <f>IFERROR(VLOOKUP(TRIM(G777),Справочники!$D$3:$E$13,2,0),"Нет в справочнике")</f>
        <v>Отменен</v>
      </c>
      <c r="M777" t="str">
        <f t="shared" si="152"/>
        <v/>
      </c>
      <c r="N777" t="str">
        <f>IFERROR(VLOOKUP(I777,Товары_очищенные!$H$2:$J$502,3,0),"Нет в каталоге")</f>
        <v>Наушники</v>
      </c>
      <c r="O777" s="4">
        <f>IFERROR(VLOOKUP(I777,Товары_очищенные!$H$2:$M$502,6,0),"")</f>
        <v>14990</v>
      </c>
      <c r="P777" t="str">
        <f t="shared" si="153"/>
        <v xml:space="preserve">Цена отличается от каталога</v>
      </c>
    </row>
    <row r="778">
      <c r="A778" s="3" t="s">
        <v>3553</v>
      </c>
      <c r="B778" s="3" t="s">
        <v>3279</v>
      </c>
      <c r="C778" s="3" t="s">
        <v>1910</v>
      </c>
      <c r="D778" s="3" t="s">
        <v>1971</v>
      </c>
      <c r="E778" s="3" t="s">
        <v>3554</v>
      </c>
      <c r="F778" s="3" t="s">
        <v>1844</v>
      </c>
      <c r="G778" s="3" t="s">
        <v>1927</v>
      </c>
      <c r="H778" s="5">
        <f t="shared" si="149"/>
        <v>46060</v>
      </c>
      <c r="I778" t="str">
        <f t="shared" si="150"/>
        <v>АРТ-365</v>
      </c>
      <c r="J778" s="6">
        <f t="shared" si="151"/>
        <v>3</v>
      </c>
      <c r="K778" s="4">
        <f>VALUE(SUBSTITUTE(SUBSTITUTE(SUBSTITUTE(SUBSTITUTE(D778,"$",""),"€",""),"₽","")," ",""))*IF(ISNUMBER(FIND("$",D778)),Справочники!$H$3,IF(ISNUMBER(FIND("€",D778)),Справочники!$H$4,1))</f>
        <v>7000</v>
      </c>
      <c r="L778" t="str">
        <f>IFERROR(VLOOKUP(TRIM(G778),Справочники!$D$3:$E$13,2,0),"Нет в справочнике")</f>
        <v>Возврат</v>
      </c>
      <c r="M778" t="str">
        <f t="shared" si="152"/>
        <v/>
      </c>
      <c r="N778" t="str">
        <f>IFERROR(VLOOKUP(I778,Товары_очищенные!$H$2:$J$502,3,0),"Нет в каталоге")</f>
        <v>Телевизоры</v>
      </c>
      <c r="O778" s="4">
        <f>IFERROR(VLOOKUP(I778,Товары_очищенные!$H$2:$M$502,6,0),"")</f>
        <v>137000</v>
      </c>
      <c r="P778" t="str">
        <f t="shared" si="153"/>
        <v xml:space="preserve">Цена отличается от каталога</v>
      </c>
    </row>
    <row r="779">
      <c r="A779" s="3" t="s">
        <v>3553</v>
      </c>
      <c r="B779" s="3" t="s">
        <v>3555</v>
      </c>
      <c r="C779" s="3" t="s">
        <v>1942</v>
      </c>
      <c r="D779" s="3" t="s">
        <v>1943</v>
      </c>
      <c r="E779" s="3" t="s">
        <v>3556</v>
      </c>
      <c r="F779" s="3" t="s">
        <v>1566</v>
      </c>
      <c r="G779" s="3" t="s">
        <v>1903</v>
      </c>
      <c r="H779" s="5">
        <f t="shared" si="149"/>
        <v>46060</v>
      </c>
      <c r="I779" t="str">
        <f t="shared" si="150"/>
        <v>АРТ-167</v>
      </c>
      <c r="J779" s="6">
        <f t="shared" si="151"/>
        <v>-2</v>
      </c>
      <c r="K779" s="4">
        <f>VALUE(SUBSTITUTE(SUBSTITUTE(SUBSTITUTE(SUBSTITUTE(D779,"$",""),"€",""),"₽","")," ",""))*IF(ISNUMBER(FIND("$",D779)),Справочники!$H$3,IF(ISNUMBER(FIND("€",D779)),Справочники!$H$4,1))</f>
        <v>10925</v>
      </c>
      <c r="L779" t="str">
        <f>IFERROR(VLOOKUP(TRIM(G779),Справочники!$D$3:$E$13,2,0),"Нет в справочнике")</f>
        <v>Завершен</v>
      </c>
      <c r="M779" t="str">
        <f t="shared" si="152"/>
        <v/>
      </c>
      <c r="N779" t="str">
        <f>IFERROR(VLOOKUP(I779,Товары_очищенные!$H$2:$J$502,3,0),"Нет в каталоге")</f>
        <v>Планшеты</v>
      </c>
      <c r="O779" s="4">
        <f>IFERROR(VLOOKUP(I779,Товары_очищенные!$H$2:$M$502,6,0),"")</f>
        <v>80000</v>
      </c>
      <c r="P779" t="str">
        <f t="shared" si="153"/>
        <v xml:space="preserve">Цена отличается от каталога</v>
      </c>
    </row>
    <row r="780">
      <c r="A780" s="3" t="s">
        <v>3557</v>
      </c>
      <c r="B780" s="3" t="s">
        <v>1078</v>
      </c>
      <c r="C780" s="3" t="s">
        <v>1905</v>
      </c>
      <c r="D780" s="3" t="s">
        <v>1934</v>
      </c>
      <c r="E780" s="3" t="s">
        <v>3558</v>
      </c>
      <c r="F780" s="3" t="s">
        <v>1701</v>
      </c>
      <c r="G780" s="3" t="s">
        <v>1908</v>
      </c>
      <c r="H780" s="5">
        <f t="shared" si="149"/>
        <v>46061</v>
      </c>
      <c r="I780" t="str">
        <f t="shared" si="150"/>
        <v>АРТ-293</v>
      </c>
      <c r="J780" s="6">
        <f t="shared" si="151"/>
        <v>1</v>
      </c>
      <c r="K780" s="4">
        <f>VALUE(SUBSTITUTE(SUBSTITUTE(SUBSTITUTE(SUBSTITUTE(D780,"$",""),"€",""),"₽","")," ",""))*IF(ISNUMBER(FIND("$",D780)),Справочники!$H$3,IF(ISNUMBER(FIND("€",D780)),Справочники!$H$4,1))</f>
        <v>9500</v>
      </c>
      <c r="L780" t="str">
        <f>IFERROR(VLOOKUP(TRIM(G780),Справочники!$D$3:$E$13,2,0),"Нет в справочнике")</f>
        <v>Завершен</v>
      </c>
      <c r="M780" t="str">
        <f t="shared" si="152"/>
        <v/>
      </c>
      <c r="N780" t="str">
        <f>IFERROR(VLOOKUP(I780,Товары_очищенные!$H$2:$J$502,3,0),"Нет в каталоге")</f>
        <v>Ноутбуки</v>
      </c>
      <c r="O780" s="4">
        <f>IFERROR(VLOOKUP(I780,Товары_очищенные!$H$2:$M$502,6,0),"")</f>
        <v>132000</v>
      </c>
      <c r="P780" t="str">
        <f t="shared" si="153"/>
        <v xml:space="preserve">Цена отличается от каталога</v>
      </c>
    </row>
    <row r="781">
      <c r="A781" s="3" t="s">
        <v>3557</v>
      </c>
      <c r="B781" s="3" t="s">
        <v>3559</v>
      </c>
      <c r="C781" s="3" t="s">
        <v>1900</v>
      </c>
      <c r="D781" s="3" t="s">
        <v>1951</v>
      </c>
      <c r="E781" s="3" t="s">
        <v>3560</v>
      </c>
      <c r="F781" s="3" t="s">
        <v>1814</v>
      </c>
      <c r="G781" s="3" t="s">
        <v>1913</v>
      </c>
      <c r="H781" s="5">
        <f t="shared" si="149"/>
        <v>46061</v>
      </c>
      <c r="I781" t="str">
        <f t="shared" si="150"/>
        <v>АРТ-193</v>
      </c>
      <c r="J781" s="6">
        <f t="shared" si="151"/>
        <v>2</v>
      </c>
      <c r="K781" s="4">
        <f>VALUE(SUBSTITUTE(SUBSTITUTE(SUBSTITUTE(SUBSTITUTE(D781,"$",""),"€",""),"₽","")," ",""))*IF(ISNUMBER(FIND("$",D781)),Справочники!$H$3,IF(ISNUMBER(FIND("€",D781)),Справочники!$H$4,1))</f>
        <v>8500</v>
      </c>
      <c r="L781" t="str">
        <f>IFERROR(VLOOKUP(TRIM(G781),Справочники!$D$3:$E$13,2,0),"Нет в справочнике")</f>
        <v>Завершен</v>
      </c>
      <c r="M781" t="str">
        <f t="shared" si="152"/>
        <v/>
      </c>
      <c r="N781" t="str">
        <f>IFERROR(VLOOKUP(I781,Товары_очищенные!$H$2:$J$502,3,0),"Нет в каталоге")</f>
        <v>Ноутбуки</v>
      </c>
      <c r="O781" s="4">
        <f>IFERROR(VLOOKUP(I781,Товары_очищенные!$H$2:$M$502,6,0),"")</f>
        <v>129990</v>
      </c>
      <c r="P781" t="str">
        <f t="shared" si="153"/>
        <v xml:space="preserve">Цена отличается от каталога</v>
      </c>
    </row>
    <row r="782">
      <c r="A782" s="3" t="s">
        <v>3561</v>
      </c>
      <c r="B782" s="3" t="s">
        <v>2636</v>
      </c>
      <c r="C782" s="3" t="s">
        <v>1930</v>
      </c>
      <c r="D782" s="3" t="s">
        <v>1931</v>
      </c>
      <c r="E782" s="3" t="s">
        <v>3562</v>
      </c>
      <c r="F782" s="3" t="s">
        <v>1880</v>
      </c>
      <c r="G782" s="3" t="s">
        <v>1918</v>
      </c>
      <c r="H782" s="5">
        <f t="shared" si="149"/>
        <v>46062</v>
      </c>
      <c r="I782" t="str">
        <f t="shared" si="150"/>
        <v>АРТ-101</v>
      </c>
      <c r="J782" s="6">
        <f t="shared" si="151"/>
        <v>3</v>
      </c>
      <c r="K782" s="4">
        <f>VALUE(SUBSTITUTE(SUBSTITUTE(SUBSTITUTE(SUBSTITUTE(D782,"$",""),"€",""),"₽","")," ",""))*IF(ISNUMBER(FIND("$",D782)),Справочники!$H$3,IF(ISNUMBER(FIND("€",D782)),Справочники!$H$4,1))</f>
        <v>9975</v>
      </c>
      <c r="L782" t="str">
        <f>IFERROR(VLOOKUP(TRIM(G782),Справочники!$D$3:$E$13,2,0),"Нет в справочнике")</f>
        <v>Отменен</v>
      </c>
      <c r="M782" t="str">
        <f t="shared" si="152"/>
        <v/>
      </c>
      <c r="N782" t="str">
        <f>IFERROR(VLOOKUP(I782,Товары_очищенные!$H$2:$J$502,3,0),"Нет в каталоге")</f>
        <v>Планшеты</v>
      </c>
      <c r="O782" s="4">
        <f>IFERROR(VLOOKUP(I782,Товары_очищенные!$H$2:$M$502,6,0),"")</f>
        <v>55500</v>
      </c>
      <c r="P782" t="str">
        <f t="shared" si="153"/>
        <v xml:space="preserve">Цена отличается от каталога</v>
      </c>
    </row>
    <row r="783">
      <c r="A783" s="3" t="s">
        <v>3561</v>
      </c>
      <c r="B783" s="3" t="s">
        <v>3196</v>
      </c>
      <c r="C783" s="3" t="s">
        <v>1900</v>
      </c>
      <c r="D783" s="3" t="s">
        <v>1906</v>
      </c>
      <c r="E783" s="3" t="s">
        <v>3563</v>
      </c>
      <c r="F783" s="3" t="s">
        <v>1636</v>
      </c>
      <c r="G783" s="3" t="s">
        <v>1924</v>
      </c>
      <c r="H783" s="5">
        <f t="shared" si="149"/>
        <v>46062</v>
      </c>
      <c r="I783" t="str">
        <f t="shared" si="150"/>
        <v>АРТ-447</v>
      </c>
      <c r="J783" s="6">
        <f t="shared" si="151"/>
        <v>2</v>
      </c>
      <c r="K783" s="4">
        <f>VALUE(SUBSTITUTE(SUBSTITUTE(SUBSTITUTE(SUBSTITUTE(D783,"$",""),"€",""),"₽","")," ",""))*IF(ISNUMBER(FIND("$",D783)),Справочники!$H$3,IF(ISNUMBER(FIND("€",D783)),Справочники!$H$4,1))</f>
        <v>8500</v>
      </c>
      <c r="L783" t="str">
        <f>IFERROR(VLOOKUP(TRIM(G783),Справочники!$D$3:$E$13,2,0),"Нет в справочнике")</f>
        <v>Отменен</v>
      </c>
      <c r="M783" t="str">
        <f t="shared" si="152"/>
        <v/>
      </c>
      <c r="N783" t="str">
        <f>IFERROR(VLOOKUP(I783,Товары_очищенные!$H$2:$J$502,3,0),"Нет в каталоге")</f>
        <v>Ноутбуки</v>
      </c>
      <c r="O783" s="4">
        <f>IFERROR(VLOOKUP(I783,Товары_очищенные!$H$2:$M$502,6,0),"")</f>
        <v>144500</v>
      </c>
      <c r="P783" t="str">
        <f t="shared" si="153"/>
        <v xml:space="preserve">Цена отличается от каталога</v>
      </c>
    </row>
    <row r="784">
      <c r="A784" s="3" t="s">
        <v>3564</v>
      </c>
      <c r="B784" s="3" t="s">
        <v>3565</v>
      </c>
      <c r="C784" s="3" t="s">
        <v>1938</v>
      </c>
      <c r="D784" s="3" t="s">
        <v>2166</v>
      </c>
      <c r="E784" s="3" t="s">
        <v>3566</v>
      </c>
      <c r="F784" s="3" t="s">
        <v>1740</v>
      </c>
      <c r="G784" s="3" t="s">
        <v>1903</v>
      </c>
      <c r="H784" s="5">
        <f t="shared" si="149"/>
        <v>46063</v>
      </c>
      <c r="I784" t="str">
        <f t="shared" si="150"/>
        <v>АРТ-320</v>
      </c>
      <c r="J784" s="6">
        <f t="shared" si="151"/>
        <v>1</v>
      </c>
      <c r="K784" s="4">
        <f>VALUE(SUBSTITUTE(SUBSTITUTE(SUBSTITUTE(SUBSTITUTE(D784,"$",""),"€",""),"₽","")," ",""))*IF(ISNUMBER(FIND("$",D784)),Справочники!$H$3,IF(ISNUMBER(FIND("€",D784)),Справочники!$H$4,1))</f>
        <v>7800</v>
      </c>
      <c r="L784" t="str">
        <f>IFERROR(VLOOKUP(TRIM(G784),Справочники!$D$3:$E$13,2,0),"Нет в справочнике")</f>
        <v>Завершен</v>
      </c>
      <c r="M784" t="str">
        <f t="shared" si="152"/>
        <v/>
      </c>
      <c r="N784" t="str">
        <f>IFERROR(VLOOKUP(I784,Товары_очищенные!$H$2:$J$502,3,0),"Нет в каталоге")</f>
        <v>Телевизоры</v>
      </c>
      <c r="O784" s="4">
        <f>IFERROR(VLOOKUP(I784,Товары_очищенные!$H$2:$M$502,6,0),"")</f>
        <v>181500</v>
      </c>
      <c r="P784" t="str">
        <f t="shared" si="153"/>
        <v xml:space="preserve">Цена отличается от каталога</v>
      </c>
    </row>
    <row r="785">
      <c r="A785" s="3" t="s">
        <v>3564</v>
      </c>
      <c r="B785" s="3" t="s">
        <v>2346</v>
      </c>
      <c r="C785" s="3" t="s">
        <v>1985</v>
      </c>
      <c r="D785" s="3" t="s">
        <v>2044</v>
      </c>
      <c r="E785" s="3" t="s">
        <v>3567</v>
      </c>
      <c r="F785" s="3" t="s">
        <v>1682</v>
      </c>
      <c r="G785" s="3" t="s">
        <v>1927</v>
      </c>
      <c r="H785" s="5">
        <f t="shared" si="149"/>
        <v>46063</v>
      </c>
      <c r="I785" t="str">
        <f t="shared" si="150"/>
        <v>АРТ-396</v>
      </c>
      <c r="J785" s="6">
        <f t="shared" si="151"/>
        <v>-3</v>
      </c>
      <c r="K785" s="4">
        <f>VALUE(SUBSTITUTE(SUBSTITUTE(SUBSTITUTE(SUBSTITUTE(D785,"$",""),"€",""),"₽","")," ",""))*IF(ISNUMBER(FIND("$",D785)),Справочники!$H$3,IF(ISNUMBER(FIND("€",D785)),Справочники!$H$4,1))</f>
        <v>11400</v>
      </c>
      <c r="L785" t="str">
        <f>IFERROR(VLOOKUP(TRIM(G785),Справочники!$D$3:$E$13,2,0),"Нет в справочнике")</f>
        <v>Возврат</v>
      </c>
      <c r="M785" t="str">
        <f t="shared" si="152"/>
        <v/>
      </c>
      <c r="N785" t="str">
        <f>IFERROR(VLOOKUP(I785,Товары_очищенные!$H$2:$J$502,3,0),"Нет в каталоге")</f>
        <v>Мониторы</v>
      </c>
      <c r="O785" s="4">
        <f>IFERROR(VLOOKUP(I785,Товары_очищенные!$H$2:$M$502,6,0),"")</f>
        <v>67000</v>
      </c>
      <c r="P785" t="str">
        <f t="shared" si="153"/>
        <v xml:space="preserve">Цена отличается от каталога</v>
      </c>
    </row>
    <row r="786">
      <c r="A786" s="3" t="s">
        <v>3568</v>
      </c>
      <c r="B786" s="3" t="s">
        <v>3569</v>
      </c>
      <c r="C786" s="3" t="s">
        <v>1900</v>
      </c>
      <c r="D786" s="3" t="s">
        <v>2046</v>
      </c>
      <c r="E786" s="3" t="s">
        <v>3570</v>
      </c>
      <c r="F786" s="3" t="s">
        <v>1820</v>
      </c>
      <c r="G786" s="3" t="s">
        <v>1908</v>
      </c>
      <c r="H786" s="5">
        <f t="shared" si="149"/>
        <v>46064</v>
      </c>
      <c r="I786" t="str">
        <f t="shared" si="150"/>
        <v>АРТ-325</v>
      </c>
      <c r="J786" s="6">
        <f t="shared" si="151"/>
        <v>2</v>
      </c>
      <c r="K786" s="4">
        <f>VALUE(SUBSTITUTE(SUBSTITUTE(SUBSTITUTE(SUBSTITUTE(D786,"$",""),"€",""),"₽","")," ",""))*IF(ISNUMBER(FIND("$",D786)),Справочники!$H$3,IF(ISNUMBER(FIND("€",D786)),Справочники!$H$4,1))</f>
        <v>10000</v>
      </c>
      <c r="L786" t="str">
        <f>IFERROR(VLOOKUP(TRIM(G786),Справочники!$D$3:$E$13,2,0),"Нет в справочнике")</f>
        <v>Завершен</v>
      </c>
      <c r="M786" t="str">
        <f t="shared" si="152"/>
        <v/>
      </c>
      <c r="N786" t="str">
        <f>IFERROR(VLOOKUP(I786,Товары_очищенные!$H$2:$J$502,3,0),"Нет в каталоге")</f>
        <v>Мониторы</v>
      </c>
      <c r="O786" s="4">
        <f>IFERROR(VLOOKUP(I786,Товары_очищенные!$H$2:$M$502,6,0),"")</f>
        <v>66990</v>
      </c>
      <c r="P786" t="str">
        <f t="shared" si="153"/>
        <v xml:space="preserve">Цена отличается от каталога</v>
      </c>
    </row>
    <row r="787">
      <c r="A787" s="3" t="s">
        <v>3568</v>
      </c>
      <c r="B787" s="3" t="s">
        <v>3161</v>
      </c>
      <c r="C787" s="3" t="s">
        <v>1905</v>
      </c>
      <c r="D787" s="3" t="s">
        <v>2087</v>
      </c>
      <c r="E787" s="3" t="s">
        <v>3571</v>
      </c>
      <c r="F787" s="3" t="s">
        <v>1580</v>
      </c>
      <c r="G787" s="3" t="s">
        <v>1913</v>
      </c>
      <c r="H787" s="5">
        <f t="shared" si="149"/>
        <v>46064</v>
      </c>
      <c r="I787" t="str">
        <f t="shared" si="150"/>
        <v>АРТ-253</v>
      </c>
      <c r="J787" s="6">
        <f t="shared" si="151"/>
        <v>1</v>
      </c>
      <c r="K787" s="4">
        <f>VALUE(SUBSTITUTE(SUBSTITUTE(SUBSTITUTE(SUBSTITUTE(D787,"$",""),"€",""),"₽","")," ",""))*IF(ISNUMBER(FIND("$",D787)),Справочники!$H$3,IF(ISNUMBER(FIND("€",D787)),Справочники!$H$4,1))</f>
        <v>9200</v>
      </c>
      <c r="L787" t="str">
        <f>IFERROR(VLOOKUP(TRIM(G787),Справочники!$D$3:$E$13,2,0),"Нет в справочнике")</f>
        <v>Завершен</v>
      </c>
      <c r="M787" t="str">
        <f t="shared" si="152"/>
        <v/>
      </c>
      <c r="N787" t="str">
        <f>IFERROR(VLOOKUP(I787,Товары_очищенные!$H$2:$J$502,3,0),"Нет в каталоге")</f>
        <v>Ноутбуки</v>
      </c>
      <c r="O787" s="4">
        <f>IFERROR(VLOOKUP(I787,Товары_очищенные!$H$2:$M$502,6,0),"")</f>
        <v>159990</v>
      </c>
      <c r="P787" t="str">
        <f t="shared" si="153"/>
        <v xml:space="preserve">Цена отличается от каталога</v>
      </c>
    </row>
    <row r="788">
      <c r="A788" s="3" t="s">
        <v>3572</v>
      </c>
      <c r="B788" s="3" t="s">
        <v>2573</v>
      </c>
      <c r="C788" s="3" t="s">
        <v>1930</v>
      </c>
      <c r="D788" s="3" t="s">
        <v>1986</v>
      </c>
      <c r="E788" s="3" t="s">
        <v>3573</v>
      </c>
      <c r="F788" s="3" t="s">
        <v>1727</v>
      </c>
      <c r="G788" s="3" t="s">
        <v>1903</v>
      </c>
      <c r="H788" s="5">
        <f t="shared" si="149"/>
        <v>46065</v>
      </c>
      <c r="I788" t="str">
        <f t="shared" si="150"/>
        <v>АРТ-062</v>
      </c>
      <c r="J788" s="6">
        <f t="shared" si="151"/>
        <v>3</v>
      </c>
      <c r="K788" s="4">
        <f>VALUE(SUBSTITUTE(SUBSTITUTE(SUBSTITUTE(SUBSTITUTE(D788,"$",""),"€",""),"₽","")," ",""))*IF(ISNUMBER(FIND("$",D788)),Справочники!$H$3,IF(ISNUMBER(FIND("€",D788)),Справочники!$H$4,1))</f>
        <v>8550</v>
      </c>
      <c r="L788" t="str">
        <f>IFERROR(VLOOKUP(TRIM(G788),Справочники!$D$3:$E$13,2,0),"Нет в справочнике")</f>
        <v>Завершен</v>
      </c>
      <c r="M788" t="str">
        <f t="shared" si="152"/>
        <v/>
      </c>
      <c r="N788" t="str">
        <f>IFERROR(VLOOKUP(I788,Товары_очищенные!$H$2:$J$502,3,0),"Нет в каталоге")</f>
        <v>Ноутбуки</v>
      </c>
      <c r="O788" s="4">
        <f>IFERROR(VLOOKUP(I788,Товары_очищенные!$H$2:$M$502,6,0),"")</f>
        <v>122500</v>
      </c>
      <c r="P788" t="str">
        <f t="shared" si="153"/>
        <v xml:space="preserve">Цена отличается от каталога</v>
      </c>
    </row>
    <row r="789">
      <c r="A789" s="3" t="s">
        <v>3572</v>
      </c>
      <c r="B789" s="3" t="s">
        <v>2456</v>
      </c>
      <c r="C789" s="3" t="s">
        <v>1900</v>
      </c>
      <c r="D789" s="3" t="s">
        <v>1989</v>
      </c>
      <c r="E789" s="3" t="s">
        <v>3574</v>
      </c>
      <c r="F789" s="3" t="s">
        <v>1629</v>
      </c>
      <c r="G789" s="3" t="s">
        <v>1924</v>
      </c>
      <c r="H789" s="5">
        <f t="shared" si="149"/>
        <v>46065</v>
      </c>
      <c r="I789" t="str">
        <f t="shared" si="150"/>
        <v>АРТ-418</v>
      </c>
      <c r="J789" s="6">
        <f t="shared" si="151"/>
        <v>2</v>
      </c>
      <c r="K789" s="4">
        <f>VALUE(SUBSTITUTE(SUBSTITUTE(SUBSTITUTE(SUBSTITUTE(D789,"$",""),"€",""),"₽","")," ",""))*IF(ISNUMBER(FIND("$",D789)),Справочники!$H$3,IF(ISNUMBER(FIND("€",D789)),Справочники!$H$4,1))</f>
        <v>7000</v>
      </c>
      <c r="L789" t="str">
        <f>IFERROR(VLOOKUP(TRIM(G789),Справочники!$D$3:$E$13,2,0),"Нет в справочнике")</f>
        <v>Отменен</v>
      </c>
      <c r="M789" t="str">
        <f t="shared" si="152"/>
        <v/>
      </c>
      <c r="N789" t="str">
        <f>IFERROR(VLOOKUP(I789,Товары_очищенные!$H$2:$J$502,3,0),"Нет в каталоге")</f>
        <v>Часы</v>
      </c>
      <c r="O789" s="4">
        <f>IFERROR(VLOOKUP(I789,Товары_очищенные!$H$2:$M$502,6,0),"")</f>
        <v>29990</v>
      </c>
      <c r="P789" t="str">
        <f t="shared" si="153"/>
        <v xml:space="preserve">Цена отличается от каталога</v>
      </c>
    </row>
    <row r="790">
      <c r="A790" s="3" t="s">
        <v>3575</v>
      </c>
      <c r="B790" s="3" t="s">
        <v>2395</v>
      </c>
      <c r="C790" s="3" t="s">
        <v>1938</v>
      </c>
      <c r="D790" s="3" t="s">
        <v>1939</v>
      </c>
      <c r="E790" s="3" t="s">
        <v>3576</v>
      </c>
      <c r="F790" s="3" t="s">
        <v>1778</v>
      </c>
      <c r="G790" s="3" t="s">
        <v>1918</v>
      </c>
      <c r="H790" s="5">
        <f t="shared" si="149"/>
        <v>46066</v>
      </c>
      <c r="I790" t="str">
        <f t="shared" si="150"/>
        <v>АРТ-371</v>
      </c>
      <c r="J790" s="6">
        <f t="shared" si="151"/>
        <v>1</v>
      </c>
      <c r="K790" s="4">
        <f>VALUE(SUBSTITUTE(SUBSTITUTE(SUBSTITUTE(SUBSTITUTE(D790,"$",""),"€",""),"₽","")," ",""))*IF(ISNUMBER(FIND("$",D790)),Справочники!$H$3,IF(ISNUMBER(FIND("€",D790)),Справочники!$H$4,1))</f>
        <v>6500</v>
      </c>
      <c r="L790" t="str">
        <f>IFERROR(VLOOKUP(TRIM(G790),Справочники!$D$3:$E$13,2,0),"Нет в справочнике")</f>
        <v>Отменен</v>
      </c>
      <c r="M790" t="str">
        <f t="shared" si="152"/>
        <v/>
      </c>
      <c r="N790" t="str">
        <f>IFERROR(VLOOKUP(I790,Товары_очищенные!$H$2:$J$502,3,0),"Нет в каталоге")</f>
        <v>Мониторы</v>
      </c>
      <c r="O790" s="4">
        <f>IFERROR(VLOOKUP(I790,Товары_очищенные!$H$2:$M$502,6,0),"")</f>
        <v>48000</v>
      </c>
      <c r="P790" t="str">
        <f t="shared" si="153"/>
        <v xml:space="preserve">Цена отличается от каталога</v>
      </c>
    </row>
    <row r="791">
      <c r="A791" s="3" t="s">
        <v>3575</v>
      </c>
      <c r="B791" s="3" t="s">
        <v>1306</v>
      </c>
      <c r="C791" s="3" t="s">
        <v>1915</v>
      </c>
      <c r="D791" s="3" t="s">
        <v>1916</v>
      </c>
      <c r="E791" s="3" t="s">
        <v>3577</v>
      </c>
      <c r="F791" s="3" t="s">
        <v>1862</v>
      </c>
      <c r="G791" s="3" t="s">
        <v>1927</v>
      </c>
      <c r="H791" s="5">
        <f t="shared" si="149"/>
        <v>46066</v>
      </c>
      <c r="I791" t="str">
        <f t="shared" si="150"/>
        <v>АРТ-388</v>
      </c>
      <c r="J791" s="6">
        <f t="shared" si="151"/>
        <v>-1</v>
      </c>
      <c r="K791" s="4">
        <f>VALUE(SUBSTITUTE(SUBSTITUTE(SUBSTITUTE(SUBSTITUTE(D791,"$",""),"€",""),"₽","")," ",""))*IF(ISNUMBER(FIND("$",D791)),Справочники!$H$3,IF(ISNUMBER(FIND("€",D791)),Справочники!$H$4,1))</f>
        <v>10450</v>
      </c>
      <c r="L791" t="str">
        <f>IFERROR(VLOOKUP(TRIM(G791),Справочники!$D$3:$E$13,2,0),"Нет в справочнике")</f>
        <v>Возврат</v>
      </c>
      <c r="M791" t="str">
        <f t="shared" si="152"/>
        <v/>
      </c>
      <c r="N791" t="str">
        <f>IFERROR(VLOOKUP(I791,Товары_очищенные!$H$2:$J$502,3,0),"Нет в каталоге")</f>
        <v>Телевизоры</v>
      </c>
      <c r="O791" s="4">
        <f>IFERROR(VLOOKUP(I791,Товары_очищенные!$H$2:$M$502,6,0),"")</f>
        <v>77990</v>
      </c>
      <c r="P791" t="str">
        <f t="shared" si="153"/>
        <v xml:space="preserve">Цена отличается от каталога</v>
      </c>
    </row>
    <row r="792">
      <c r="A792" s="3" t="s">
        <v>3578</v>
      </c>
      <c r="B792" s="3" t="s">
        <v>2709</v>
      </c>
      <c r="C792" s="3" t="s">
        <v>1930</v>
      </c>
      <c r="D792" s="3" t="s">
        <v>1922</v>
      </c>
      <c r="E792" s="3" t="s">
        <v>3579</v>
      </c>
      <c r="F792" s="3" t="s">
        <v>1695</v>
      </c>
      <c r="G792" s="3" t="s">
        <v>1903</v>
      </c>
      <c r="H792" s="5">
        <f t="shared" si="149"/>
        <v>46067</v>
      </c>
      <c r="I792" t="str">
        <f t="shared" si="150"/>
        <v>АРТ-267</v>
      </c>
      <c r="J792" s="6">
        <f t="shared" si="151"/>
        <v>3</v>
      </c>
      <c r="K792" s="4">
        <f>VALUE(SUBSTITUTE(SUBSTITUTE(SUBSTITUTE(SUBSTITUTE(D792,"$",""),"€",""),"₽","")," ",""))*IF(ISNUMBER(FIND("$",D792)),Справочники!$H$3,IF(ISNUMBER(FIND("€",D792)),Справочники!$H$4,1))</f>
        <v>9000</v>
      </c>
      <c r="L792" t="str">
        <f>IFERROR(VLOOKUP(TRIM(G792),Справочники!$D$3:$E$13,2,0),"Нет в справочнике")</f>
        <v>Завершен</v>
      </c>
      <c r="M792" t="str">
        <f t="shared" si="152"/>
        <v/>
      </c>
      <c r="N792" t="str">
        <f>IFERROR(VLOOKUP(I792,Товары_очищенные!$H$2:$J$502,3,0),"Нет в каталоге")</f>
        <v>Мониторы</v>
      </c>
      <c r="O792" s="4">
        <f>IFERROR(VLOOKUP(I792,Товары_очищенные!$H$2:$M$502,6,0),"")</f>
        <v>70000</v>
      </c>
      <c r="P792" t="str">
        <f t="shared" si="153"/>
        <v xml:space="preserve">Цена отличается от каталога</v>
      </c>
    </row>
    <row r="793">
      <c r="A793" s="3" t="s">
        <v>3578</v>
      </c>
      <c r="B793" s="3" t="s">
        <v>529</v>
      </c>
      <c r="C793" s="3" t="s">
        <v>1900</v>
      </c>
      <c r="D793" s="3" t="s">
        <v>1925</v>
      </c>
      <c r="E793" s="3" t="s">
        <v>3580</v>
      </c>
      <c r="F793" s="3" t="s">
        <v>1573</v>
      </c>
      <c r="G793" s="3" t="s">
        <v>1908</v>
      </c>
      <c r="H793" s="5">
        <f t="shared" si="149"/>
        <v>46067</v>
      </c>
      <c r="I793" t="str">
        <f t="shared" si="150"/>
        <v>АРТ-120</v>
      </c>
      <c r="J793" s="6">
        <f t="shared" si="151"/>
        <v>2</v>
      </c>
      <c r="K793" s="4">
        <f>VALUE(SUBSTITUTE(SUBSTITUTE(SUBSTITUTE(SUBSTITUTE(D793,"$",""),"€",""),"₽","")," ",""))*IF(ISNUMBER(FIND("$",D793)),Справочники!$H$3,IF(ISNUMBER(FIND("€",D793)),Справочники!$H$4,1))</f>
        <v>8000</v>
      </c>
      <c r="L793" t="str">
        <f>IFERROR(VLOOKUP(TRIM(G793),Справочники!$D$3:$E$13,2,0),"Нет в справочнике")</f>
        <v>Завершен</v>
      </c>
      <c r="M793" t="str">
        <f t="shared" si="152"/>
        <v/>
      </c>
      <c r="N793" t="str">
        <f>IFERROR(VLOOKUP(I793,Товары_очищенные!$H$2:$J$502,3,0),"Нет в каталоге")</f>
        <v>Аксессуары</v>
      </c>
      <c r="O793" s="4">
        <f>IFERROR(VLOOKUP(I793,Товары_очищенные!$H$2:$M$502,6,0),"")</f>
        <v>8500</v>
      </c>
      <c r="P793" t="str">
        <f t="shared" si="153"/>
        <v>ОК</v>
      </c>
    </row>
    <row r="794">
      <c r="A794" s="3" t="s">
        <v>3581</v>
      </c>
      <c r="B794" s="3" t="s">
        <v>3008</v>
      </c>
      <c r="C794" s="3" t="s">
        <v>1905</v>
      </c>
      <c r="D794" s="3" t="s">
        <v>1964</v>
      </c>
      <c r="E794" s="3" t="s">
        <v>3582</v>
      </c>
      <c r="F794" s="3" t="s">
        <v>1808</v>
      </c>
      <c r="G794" s="3" t="s">
        <v>1913</v>
      </c>
      <c r="H794" s="5">
        <f t="shared" si="149"/>
        <v>46068</v>
      </c>
      <c r="I794" t="str">
        <f t="shared" si="150"/>
        <v>АРТ-047</v>
      </c>
      <c r="J794" s="6">
        <f t="shared" si="151"/>
        <v>1</v>
      </c>
      <c r="K794" s="4">
        <f>VALUE(SUBSTITUTE(SUBSTITUTE(SUBSTITUTE(SUBSTITUTE(D794,"$",""),"€",""),"₽","")," ",""))*IF(ISNUMBER(FIND("$",D794)),Справочники!$H$3,IF(ISNUMBER(FIND("€",D794)),Справочники!$H$4,1))</f>
        <v>9025</v>
      </c>
      <c r="L794" t="str">
        <f>IFERROR(VLOOKUP(TRIM(G794),Справочники!$D$3:$E$13,2,0),"Нет в справочнике")</f>
        <v>Завершен</v>
      </c>
      <c r="M794" t="str">
        <f t="shared" si="152"/>
        <v/>
      </c>
      <c r="N794" t="str">
        <f>IFERROR(VLOOKUP(I794,Товары_очищенные!$H$2:$J$502,3,0),"Нет в каталоге")</f>
        <v>Наушники</v>
      </c>
      <c r="O794" s="4">
        <f>IFERROR(VLOOKUP(I794,Товары_очищенные!$H$2:$M$502,6,0),"")</f>
        <v>23900</v>
      </c>
      <c r="P794" t="str">
        <f t="shared" si="153"/>
        <v xml:space="preserve">Цена отличается от каталога</v>
      </c>
    </row>
    <row r="795">
      <c r="A795" s="3" t="s">
        <v>3581</v>
      </c>
      <c r="B795" s="3" t="s">
        <v>2832</v>
      </c>
      <c r="C795" s="3" t="s">
        <v>1900</v>
      </c>
      <c r="D795" s="3" t="s">
        <v>1968</v>
      </c>
      <c r="E795" s="3" t="s">
        <v>3583</v>
      </c>
      <c r="F795" s="3" t="s">
        <v>1670</v>
      </c>
      <c r="G795" s="3" t="s">
        <v>1918</v>
      </c>
      <c r="H795" s="5">
        <f t="shared" si="149"/>
        <v>46068</v>
      </c>
      <c r="I795" t="str">
        <f t="shared" si="150"/>
        <v>АРТ-495</v>
      </c>
      <c r="J795" s="6">
        <f t="shared" si="151"/>
        <v>2</v>
      </c>
      <c r="K795" s="4">
        <f>VALUE(SUBSTITUTE(SUBSTITUTE(SUBSTITUTE(SUBSTITUTE(D795,"$",""),"€",""),"₽","")," ",""))*IF(ISNUMBER(FIND("$",D795)),Справочники!$H$3,IF(ISNUMBER(FIND("€",D795)),Справочники!$H$4,1))</f>
        <v>7500</v>
      </c>
      <c r="L795" t="str">
        <f>IFERROR(VLOOKUP(TRIM(G795),Справочники!$D$3:$E$13,2,0),"Нет в справочнике")</f>
        <v>Отменен</v>
      </c>
      <c r="M795" t="str">
        <f t="shared" si="152"/>
        <v/>
      </c>
      <c r="N795" t="str">
        <f>IFERROR(VLOOKUP(I795,Товары_очищенные!$H$2:$J$502,3,0),"Нет в каталоге")</f>
        <v>Наушники</v>
      </c>
      <c r="O795" s="4">
        <f>IFERROR(VLOOKUP(I795,Товары_очищенные!$H$2:$M$502,6,0),"")</f>
        <v>15800</v>
      </c>
      <c r="P795" t="str">
        <f t="shared" si="153"/>
        <v xml:space="preserve">Цена отличается от каталога</v>
      </c>
    </row>
    <row r="796">
      <c r="A796" s="3" t="s">
        <v>3584</v>
      </c>
      <c r="B796" s="3" t="s">
        <v>3314</v>
      </c>
      <c r="C796" s="3" t="s">
        <v>1910</v>
      </c>
      <c r="D796" s="3" t="s">
        <v>1971</v>
      </c>
      <c r="E796" s="3" t="s">
        <v>3585</v>
      </c>
      <c r="F796" s="3" t="s">
        <v>1752</v>
      </c>
      <c r="G796" s="3" t="s">
        <v>1924</v>
      </c>
      <c r="H796" s="5">
        <f t="shared" si="149"/>
        <v>46069</v>
      </c>
      <c r="I796" t="str">
        <f t="shared" si="150"/>
        <v>АРТ-367</v>
      </c>
      <c r="J796" s="6">
        <f t="shared" si="151"/>
        <v>3</v>
      </c>
      <c r="K796" s="4">
        <f>VALUE(SUBSTITUTE(SUBSTITUTE(SUBSTITUTE(SUBSTITUTE(D796,"$",""),"€",""),"₽","")," ",""))*IF(ISNUMBER(FIND("$",D796)),Справочники!$H$3,IF(ISNUMBER(FIND("€",D796)),Справочники!$H$4,1))</f>
        <v>7000</v>
      </c>
      <c r="L796" t="str">
        <f>IFERROR(VLOOKUP(TRIM(G796),Справочники!$D$3:$E$13,2,0),"Нет в справочнике")</f>
        <v>Отменен</v>
      </c>
      <c r="M796" t="str">
        <f t="shared" si="152"/>
        <v/>
      </c>
      <c r="N796" t="str">
        <f>IFERROR(VLOOKUP(I796,Товары_очищенные!$H$2:$J$502,3,0),"Нет в каталоге")</f>
        <v>Наушники</v>
      </c>
      <c r="O796" s="4">
        <f>IFERROR(VLOOKUP(I796,Товары_очищенные!$H$2:$M$502,6,0),"")</f>
        <v>19990</v>
      </c>
      <c r="P796" t="str">
        <f t="shared" si="153"/>
        <v xml:space="preserve">Цена отличается от каталога</v>
      </c>
    </row>
    <row r="797">
      <c r="A797" s="3" t="s">
        <v>3584</v>
      </c>
      <c r="B797" s="3" t="s">
        <v>3586</v>
      </c>
      <c r="C797" s="3" t="s">
        <v>1942</v>
      </c>
      <c r="D797" s="3" t="s">
        <v>1943</v>
      </c>
      <c r="E797" s="3" t="s">
        <v>3587</v>
      </c>
      <c r="F797" s="3" t="s">
        <v>1790</v>
      </c>
      <c r="G797" s="3" t="s">
        <v>1903</v>
      </c>
      <c r="H797" s="5">
        <f t="shared" si="149"/>
        <v>46069</v>
      </c>
      <c r="I797" t="str">
        <f t="shared" si="150"/>
        <v>АРТ-264</v>
      </c>
      <c r="J797" s="6">
        <f t="shared" si="151"/>
        <v>-2</v>
      </c>
      <c r="K797" s="4">
        <f>VALUE(SUBSTITUTE(SUBSTITUTE(SUBSTITUTE(SUBSTITUTE(D797,"$",""),"€",""),"₽","")," ",""))*IF(ISNUMBER(FIND("$",D797)),Справочники!$H$3,IF(ISNUMBER(FIND("€",D797)),Справочники!$H$4,1))</f>
        <v>10925</v>
      </c>
      <c r="L797" t="str">
        <f>IFERROR(VLOOKUP(TRIM(G797),Справочники!$D$3:$E$13,2,0),"Нет в справочнике")</f>
        <v>Завершен</v>
      </c>
      <c r="M797" t="str">
        <f t="shared" si="152"/>
        <v/>
      </c>
      <c r="N797" t="str">
        <f>IFERROR(VLOOKUP(I797,Товары_очищенные!$H$2:$J$502,3,0),"Нет в каталоге")</f>
        <v>Наушники</v>
      </c>
      <c r="O797" s="4">
        <f>IFERROR(VLOOKUP(I797,Товары_очищенные!$H$2:$M$502,6,0),"")</f>
        <v>12800</v>
      </c>
      <c r="P797" t="str">
        <f t="shared" si="153"/>
        <v>ОК</v>
      </c>
    </row>
    <row r="798">
      <c r="A798" s="3" t="s">
        <v>3588</v>
      </c>
      <c r="B798" s="3" t="s">
        <v>1050</v>
      </c>
      <c r="C798" s="3" t="s">
        <v>1905</v>
      </c>
      <c r="D798" s="3" t="s">
        <v>1934</v>
      </c>
      <c r="E798" s="3" t="s">
        <v>3589</v>
      </c>
      <c r="F798" s="3" t="s">
        <v>1856</v>
      </c>
      <c r="G798" s="3" t="s">
        <v>1927</v>
      </c>
      <c r="H798" s="5">
        <f t="shared" si="149"/>
        <v>46070</v>
      </c>
      <c r="I798" t="str">
        <f t="shared" si="150"/>
        <v>АРТ-284</v>
      </c>
      <c r="J798" s="6">
        <f t="shared" si="151"/>
        <v>1</v>
      </c>
      <c r="K798" s="4">
        <f>VALUE(SUBSTITUTE(SUBSTITUTE(SUBSTITUTE(SUBSTITUTE(D798,"$",""),"€",""),"₽","")," ",""))*IF(ISNUMBER(FIND("$",D798)),Справочники!$H$3,IF(ISNUMBER(FIND("€",D798)),Справочники!$H$4,1))</f>
        <v>9500</v>
      </c>
      <c r="L798" t="str">
        <f>IFERROR(VLOOKUP(TRIM(G798),Справочники!$D$3:$E$13,2,0),"Нет в справочнике")</f>
        <v>Возврат</v>
      </c>
      <c r="M798" t="str">
        <f t="shared" si="152"/>
        <v/>
      </c>
      <c r="N798" t="str">
        <f>IFERROR(VLOOKUP(I798,Товары_очищенные!$H$2:$J$502,3,0),"Нет в каталоге")</f>
        <v>Мониторы</v>
      </c>
      <c r="O798" s="4">
        <f>IFERROR(VLOOKUP(I798,Товары_очищенные!$H$2:$M$502,6,0),"")</f>
        <v>82000</v>
      </c>
      <c r="P798" t="str">
        <f t="shared" si="153"/>
        <v xml:space="preserve">Цена отличается от каталога</v>
      </c>
    </row>
    <row r="799">
      <c r="A799" s="3" t="s">
        <v>3588</v>
      </c>
      <c r="B799" s="3" t="s">
        <v>3590</v>
      </c>
      <c r="C799" s="3" t="s">
        <v>1900</v>
      </c>
      <c r="D799" s="3" t="s">
        <v>1951</v>
      </c>
      <c r="E799" s="3" t="s">
        <v>3591</v>
      </c>
      <c r="F799" s="3" t="s">
        <v>1708</v>
      </c>
      <c r="G799" s="3" t="s">
        <v>1908</v>
      </c>
      <c r="H799" s="5">
        <f t="shared" si="149"/>
        <v>46070</v>
      </c>
      <c r="I799" t="str">
        <f t="shared" si="150"/>
        <v>АРТ-191</v>
      </c>
      <c r="J799" s="6">
        <f t="shared" si="151"/>
        <v>2</v>
      </c>
      <c r="K799" s="4">
        <f>VALUE(SUBSTITUTE(SUBSTITUTE(SUBSTITUTE(SUBSTITUTE(D799,"$",""),"€",""),"₽","")," ",""))*IF(ISNUMBER(FIND("$",D799)),Справочники!$H$3,IF(ISNUMBER(FIND("€",D799)),Справочники!$H$4,1))</f>
        <v>8500</v>
      </c>
      <c r="L799" t="str">
        <f>IFERROR(VLOOKUP(TRIM(G799),Справочники!$D$3:$E$13,2,0),"Нет в справочнике")</f>
        <v>Завершен</v>
      </c>
      <c r="M799" t="str">
        <f t="shared" si="152"/>
        <v/>
      </c>
      <c r="N799" t="str">
        <f>IFERROR(VLOOKUP(I799,Товары_очищенные!$H$2:$J$502,3,0),"Нет в каталоге")</f>
        <v>Планшеты</v>
      </c>
      <c r="O799" s="4">
        <f>IFERROR(VLOOKUP(I799,Товары_очищенные!$H$2:$M$502,6,0),"")</f>
        <v>23500</v>
      </c>
      <c r="P799" t="str">
        <f t="shared" si="153"/>
        <v xml:space="preserve">Цена отличается от каталога</v>
      </c>
    </row>
    <row r="800">
      <c r="A800" s="3" t="s">
        <v>3592</v>
      </c>
      <c r="B800" s="3" t="s">
        <v>3593</v>
      </c>
      <c r="C800" s="3" t="s">
        <v>1930</v>
      </c>
      <c r="D800" s="3" t="s">
        <v>1931</v>
      </c>
      <c r="E800" s="3" t="s">
        <v>3594</v>
      </c>
      <c r="F800" s="3" t="s">
        <v>1838</v>
      </c>
      <c r="G800" s="3" t="s">
        <v>1913</v>
      </c>
      <c r="H800" s="5">
        <f t="shared" si="149"/>
        <v>46071</v>
      </c>
      <c r="I800" t="str">
        <f t="shared" si="150"/>
        <v>АРТ-153</v>
      </c>
      <c r="J800" s="6">
        <f t="shared" si="151"/>
        <v>3</v>
      </c>
      <c r="K800" s="4">
        <f>VALUE(SUBSTITUTE(SUBSTITUTE(SUBSTITUTE(SUBSTITUTE(D800,"$",""),"€",""),"₽","")," ",""))*IF(ISNUMBER(FIND("$",D800)),Справочники!$H$3,IF(ISNUMBER(FIND("€",D800)),Справочники!$H$4,1))</f>
        <v>9975</v>
      </c>
      <c r="L800" t="str">
        <f>IFERROR(VLOOKUP(TRIM(G800),Справочники!$D$3:$E$13,2,0),"Нет в справочнике")</f>
        <v>Завершен</v>
      </c>
      <c r="M800" t="str">
        <f t="shared" si="152"/>
        <v/>
      </c>
      <c r="N800" t="str">
        <f>IFERROR(VLOOKUP(I800,Товары_очищенные!$H$2:$J$502,3,0),"Нет в каталоге")</f>
        <v>Телевизоры</v>
      </c>
      <c r="O800" s="4">
        <f>IFERROR(VLOOKUP(I800,Товары_очищенные!$H$2:$M$502,6,0),"")</f>
        <v>158000</v>
      </c>
      <c r="P800" t="str">
        <f t="shared" si="153"/>
        <v xml:space="preserve">Цена отличается от каталога</v>
      </c>
    </row>
    <row r="801">
      <c r="A801" s="3" t="s">
        <v>3592</v>
      </c>
      <c r="B801" s="3" t="s">
        <v>1446</v>
      </c>
      <c r="C801" s="3" t="s">
        <v>1900</v>
      </c>
      <c r="D801" s="3" t="s">
        <v>1906</v>
      </c>
      <c r="E801" s="3" t="s">
        <v>3595</v>
      </c>
      <c r="F801" s="3" t="s">
        <v>1759</v>
      </c>
      <c r="G801" s="3" t="s">
        <v>1903</v>
      </c>
      <c r="H801" s="5">
        <f t="shared" si="149"/>
        <v>46071</v>
      </c>
      <c r="I801" t="str">
        <f t="shared" si="150"/>
        <v>АРТ-452</v>
      </c>
      <c r="J801" s="6">
        <f t="shared" si="151"/>
        <v>2</v>
      </c>
      <c r="K801" s="4">
        <f>VALUE(SUBSTITUTE(SUBSTITUTE(SUBSTITUTE(SUBSTITUTE(D801,"$",""),"€",""),"₽","")," ",""))*IF(ISNUMBER(FIND("$",D801)),Справочники!$H$3,IF(ISNUMBER(FIND("€",D801)),Справочники!$H$4,1))</f>
        <v>8500</v>
      </c>
      <c r="L801" t="str">
        <f>IFERROR(VLOOKUP(TRIM(G801),Справочники!$D$3:$E$13,2,0),"Нет в справочнике")</f>
        <v>Завершен</v>
      </c>
      <c r="M801" t="str">
        <f t="shared" si="152"/>
        <v/>
      </c>
      <c r="N801" t="str">
        <f>IFERROR(VLOOKUP(I801,Товары_очищенные!$H$2:$J$502,3,0),"Нет в каталоге")</f>
        <v>Наушники</v>
      </c>
      <c r="O801" s="4">
        <f>IFERROR(VLOOKUP(I801,Товары_очищенные!$H$2:$M$502,6,0),"")</f>
        <v>38500</v>
      </c>
      <c r="P801" t="str">
        <f t="shared" si="153"/>
        <v xml:space="preserve">Цена отличается от каталога</v>
      </c>
    </row>
    <row r="802">
      <c r="A802" s="3" t="s">
        <v>3596</v>
      </c>
      <c r="B802" s="3" t="s">
        <v>1222</v>
      </c>
      <c r="C802" s="3" t="s">
        <v>1938</v>
      </c>
      <c r="D802" s="3" t="s">
        <v>2166</v>
      </c>
      <c r="E802" s="3" t="s">
        <v>3597</v>
      </c>
      <c r="F802" s="3" t="s">
        <v>1642</v>
      </c>
      <c r="G802" s="3" t="s">
        <v>1924</v>
      </c>
      <c r="H802" s="5">
        <f t="shared" si="149"/>
        <v>46072</v>
      </c>
      <c r="I802" t="str">
        <f t="shared" si="150"/>
        <v>АРТ-351</v>
      </c>
      <c r="J802" s="6">
        <f t="shared" si="151"/>
        <v>1</v>
      </c>
      <c r="K802" s="4">
        <f>VALUE(SUBSTITUTE(SUBSTITUTE(SUBSTITUTE(SUBSTITUTE(D802,"$",""),"€",""),"₽","")," ",""))*IF(ISNUMBER(FIND("$",D802)),Справочники!$H$3,IF(ISNUMBER(FIND("€",D802)),Справочники!$H$4,1))</f>
        <v>7800</v>
      </c>
      <c r="L802" t="str">
        <f>IFERROR(VLOOKUP(TRIM(G802),Справочники!$D$3:$E$13,2,0),"Нет в справочнике")</f>
        <v>Отменен</v>
      </c>
      <c r="M802" t="str">
        <f t="shared" si="152"/>
        <v/>
      </c>
      <c r="N802" t="str">
        <f>IFERROR(VLOOKUP(I802,Товары_очищенные!$H$2:$J$502,3,0),"Нет в каталоге")</f>
        <v>Мониторы</v>
      </c>
      <c r="O802" s="4">
        <f>IFERROR(VLOOKUP(I802,Товары_очищенные!$H$2:$M$502,6,0),"")</f>
        <v>57000</v>
      </c>
      <c r="P802" t="str">
        <f t="shared" si="153"/>
        <v xml:space="preserve">Цена отличается от каталога</v>
      </c>
    </row>
    <row r="803">
      <c r="A803" s="3" t="s">
        <v>3596</v>
      </c>
      <c r="B803" s="3" t="s">
        <v>3598</v>
      </c>
      <c r="C803" s="3" t="s">
        <v>1985</v>
      </c>
      <c r="D803" s="3" t="s">
        <v>2044</v>
      </c>
      <c r="E803" s="3" t="s">
        <v>3599</v>
      </c>
      <c r="F803" s="3" t="s">
        <v>1608</v>
      </c>
      <c r="G803" s="3" t="s">
        <v>1918</v>
      </c>
      <c r="H803" s="5">
        <f t="shared" si="149"/>
        <v>46072</v>
      </c>
      <c r="I803" t="str">
        <f t="shared" si="150"/>
        <v>АРТ-393</v>
      </c>
      <c r="J803" s="6">
        <f t="shared" si="151"/>
        <v>-3</v>
      </c>
      <c r="K803" s="4">
        <f>VALUE(SUBSTITUTE(SUBSTITUTE(SUBSTITUTE(SUBSTITUTE(D803,"$",""),"€",""),"₽","")," ",""))*IF(ISNUMBER(FIND("$",D803)),Справочники!$H$3,IF(ISNUMBER(FIND("€",D803)),Справочники!$H$4,1))</f>
        <v>11400</v>
      </c>
      <c r="L803" t="str">
        <f>IFERROR(VLOOKUP(TRIM(G803),Справочники!$D$3:$E$13,2,0),"Нет в справочнике")</f>
        <v>Отменен</v>
      </c>
      <c r="M803" t="str">
        <f t="shared" si="152"/>
        <v/>
      </c>
      <c r="N803" t="str">
        <f>IFERROR(VLOOKUP(I803,Товары_очищенные!$H$2:$J$502,3,0),"Нет в каталоге")</f>
        <v>Наушники</v>
      </c>
      <c r="O803" s="4">
        <f>IFERROR(VLOOKUP(I803,Товары_очищенные!$H$2:$M$502,6,0),"")</f>
        <v>19800</v>
      </c>
      <c r="P803" t="str">
        <f t="shared" si="153"/>
        <v xml:space="preserve">Цена отличается от каталога</v>
      </c>
    </row>
    <row r="804">
      <c r="A804" s="3" t="s">
        <v>3600</v>
      </c>
      <c r="B804" s="3" t="s">
        <v>3601</v>
      </c>
      <c r="C804" s="3" t="s">
        <v>1900</v>
      </c>
      <c r="D804" s="3" t="s">
        <v>2046</v>
      </c>
      <c r="E804" s="3" t="s">
        <v>3602</v>
      </c>
      <c r="F804" s="3" t="s">
        <v>1715</v>
      </c>
      <c r="G804" s="3" t="s">
        <v>1927</v>
      </c>
      <c r="H804" s="5">
        <f t="shared" ref="H804:H867" si="154">DATE(VALUE(RIGHT(A804,4)),VALUE(LEFT(A804,2)),VALUE(MID(A804,4,2)))</f>
        <v>46073</v>
      </c>
      <c r="I804" t="str">
        <f t="shared" ref="I804:I867" si="155">"АРТ-"&amp;TEXT(VALUE(LEFT(SUBSTITUTE(SUBSTITUTE(SUBSTITUTE(SUBSTITUTE(TRIM(B804),"№",""),"АРТ-",""),"АРТ_",""),"АРТ",""),3)),"000")</f>
        <v>АРТ-307</v>
      </c>
      <c r="J804" s="6">
        <f t="shared" ref="J804:J867" si="156">VALUE(TRIM(SUBSTITUTE(SUBSTITUTE(TRIM(C804),"шт.",""),"шт","")))</f>
        <v>2</v>
      </c>
      <c r="K804" s="4">
        <f>VALUE(SUBSTITUTE(SUBSTITUTE(SUBSTITUTE(SUBSTITUTE(D804,"$",""),"€",""),"₽","")," ",""))*IF(ISNUMBER(FIND("$",D804)),Справочники!$H$3,IF(ISNUMBER(FIND("€",D804)),Справочники!$H$4,1))</f>
        <v>10000</v>
      </c>
      <c r="L804" t="str">
        <f>IFERROR(VLOOKUP(TRIM(G804),Справочники!$D$3:$E$13,2,0),"Нет в справочнике")</f>
        <v>Возврат</v>
      </c>
      <c r="M804" t="str">
        <f t="shared" ref="M804:M867" si="157">IF(COUNTIFS($H$2:H804,H804,$I$2:I804,I804,$E$2:E804,E804)&gt;1,"Дубликат","")</f>
        <v/>
      </c>
      <c r="N804" t="str">
        <f>IFERROR(VLOOKUP(I804,Товары_очищенные!$H$2:$J$502,3,0),"Нет в каталоге")</f>
        <v>Аксессуары</v>
      </c>
      <c r="O804" s="4">
        <f>IFERROR(VLOOKUP(I804,Товары_очищенные!$H$2:$M$502,6,0),"")</f>
        <v>8990</v>
      </c>
      <c r="P804" t="str">
        <f t="shared" ref="P804:P867" si="158">IF(O804="","Нет в каталоге",IF(ABS(K804/O804-1)&lt;=0.2,"ОК","Цена отличается от каталога"))</f>
        <v>ОК</v>
      </c>
    </row>
    <row r="805">
      <c r="A805" s="3" t="s">
        <v>3600</v>
      </c>
      <c r="B805" s="3" t="s">
        <v>661</v>
      </c>
      <c r="C805" s="3" t="s">
        <v>1905</v>
      </c>
      <c r="D805" s="3" t="s">
        <v>2087</v>
      </c>
      <c r="E805" s="3" t="s">
        <v>3603</v>
      </c>
      <c r="F805" s="3" t="s">
        <v>1850</v>
      </c>
      <c r="G805" s="3" t="s">
        <v>1903</v>
      </c>
      <c r="H805" s="5">
        <f t="shared" si="154"/>
        <v>46073</v>
      </c>
      <c r="I805" t="str">
        <f t="shared" si="155"/>
        <v>АРТ-156</v>
      </c>
      <c r="J805" s="6">
        <f t="shared" si="156"/>
        <v>1</v>
      </c>
      <c r="K805" s="4">
        <f>VALUE(SUBSTITUTE(SUBSTITUTE(SUBSTITUTE(SUBSTITUTE(D805,"$",""),"€",""),"₽","")," ",""))*IF(ISNUMBER(FIND("$",D805)),Справочники!$H$3,IF(ISNUMBER(FIND("€",D805)),Справочники!$H$4,1))</f>
        <v>9200</v>
      </c>
      <c r="L805" t="str">
        <f>IFERROR(VLOOKUP(TRIM(G805),Справочники!$D$3:$E$13,2,0),"Нет в справочнике")</f>
        <v>Завершен</v>
      </c>
      <c r="M805" t="str">
        <f t="shared" si="157"/>
        <v/>
      </c>
      <c r="N805" t="str">
        <f>IFERROR(VLOOKUP(I805,Товары_очищенные!$H$2:$J$502,3,0),"Нет в каталоге")</f>
        <v>Наушники</v>
      </c>
      <c r="O805" s="4">
        <f>IFERROR(VLOOKUP(I805,Товары_очищенные!$H$2:$M$502,6,0),"")</f>
        <v>17800</v>
      </c>
      <c r="P805" t="str">
        <f t="shared" si="158"/>
        <v xml:space="preserve">Цена отличается от каталога</v>
      </c>
    </row>
    <row r="806">
      <c r="A806" s="3" t="s">
        <v>3604</v>
      </c>
      <c r="B806" s="3" t="s">
        <v>2792</v>
      </c>
      <c r="C806" s="3" t="s">
        <v>1930</v>
      </c>
      <c r="D806" s="3" t="s">
        <v>1986</v>
      </c>
      <c r="E806" s="3" t="s">
        <v>3605</v>
      </c>
      <c r="F806" s="3" t="s">
        <v>1615</v>
      </c>
      <c r="G806" s="3" t="s">
        <v>1908</v>
      </c>
      <c r="H806" s="5">
        <f t="shared" si="154"/>
        <v>46074</v>
      </c>
      <c r="I806" t="str">
        <f t="shared" si="155"/>
        <v>АРТ-080</v>
      </c>
      <c r="J806" s="6">
        <f t="shared" si="156"/>
        <v>3</v>
      </c>
      <c r="K806" s="4">
        <f>VALUE(SUBSTITUTE(SUBSTITUTE(SUBSTITUTE(SUBSTITUTE(D806,"$",""),"€",""),"₽","")," ",""))*IF(ISNUMBER(FIND("$",D806)),Справочники!$H$3,IF(ISNUMBER(FIND("€",D806)),Справочники!$H$4,1))</f>
        <v>8550</v>
      </c>
      <c r="L806" t="str">
        <f>IFERROR(VLOOKUP(TRIM(G806),Справочники!$D$3:$E$13,2,0),"Нет в справочнике")</f>
        <v>Завершен</v>
      </c>
      <c r="M806" t="str">
        <f t="shared" si="157"/>
        <v/>
      </c>
      <c r="N806" t="str">
        <f>IFERROR(VLOOKUP(I806,Товары_очищенные!$H$2:$J$502,3,0),"Нет в каталоге")</f>
        <v>Планшеты</v>
      </c>
      <c r="O806" s="4">
        <f>IFERROR(VLOOKUP(I806,Товары_очищенные!$H$2:$M$502,6,0),"")</f>
        <v>44500</v>
      </c>
      <c r="P806" t="str">
        <f t="shared" si="158"/>
        <v xml:space="preserve">Цена отличается от каталога</v>
      </c>
    </row>
    <row r="807">
      <c r="A807" s="3" t="s">
        <v>3604</v>
      </c>
      <c r="B807" s="3" t="s">
        <v>2366</v>
      </c>
      <c r="C807" s="3" t="s">
        <v>1900</v>
      </c>
      <c r="D807" s="3" t="s">
        <v>1989</v>
      </c>
      <c r="E807" s="3" t="s">
        <v>3606</v>
      </c>
      <c r="F807" s="3" t="s">
        <v>1765</v>
      </c>
      <c r="G807" s="3" t="s">
        <v>1913</v>
      </c>
      <c r="H807" s="5">
        <f t="shared" si="154"/>
        <v>46074</v>
      </c>
      <c r="I807" t="str">
        <f t="shared" si="155"/>
        <v>АРТ-468</v>
      </c>
      <c r="J807" s="6">
        <f t="shared" si="156"/>
        <v>2</v>
      </c>
      <c r="K807" s="4">
        <f>VALUE(SUBSTITUTE(SUBSTITUTE(SUBSTITUTE(SUBSTITUTE(D807,"$",""),"€",""),"₽","")," ",""))*IF(ISNUMBER(FIND("$",D807)),Справочники!$H$3,IF(ISNUMBER(FIND("€",D807)),Справочники!$H$4,1))</f>
        <v>7000</v>
      </c>
      <c r="L807" t="str">
        <f>IFERROR(VLOOKUP(TRIM(G807),Справочники!$D$3:$E$13,2,0),"Нет в справочнике")</f>
        <v>Завершен</v>
      </c>
      <c r="M807" t="str">
        <f t="shared" si="157"/>
        <v/>
      </c>
      <c r="N807" t="str">
        <f>IFERROR(VLOOKUP(I807,Товары_очищенные!$H$2:$J$502,3,0),"Нет в каталоге")</f>
        <v>Смартфоны</v>
      </c>
      <c r="O807" s="4">
        <f>IFERROR(VLOOKUP(I807,Товары_очищенные!$H$2:$M$502,6,0),"")</f>
        <v>24500</v>
      </c>
      <c r="P807" t="str">
        <f t="shared" si="158"/>
        <v xml:space="preserve">Цена отличается от каталога</v>
      </c>
    </row>
    <row r="808">
      <c r="A808" s="3" t="s">
        <v>3607</v>
      </c>
      <c r="B808" s="3" t="s">
        <v>1261</v>
      </c>
      <c r="C808" s="3" t="s">
        <v>1938</v>
      </c>
      <c r="D808" s="3" t="s">
        <v>1939</v>
      </c>
      <c r="E808" s="3" t="s">
        <v>3608</v>
      </c>
      <c r="F808" s="3" t="s">
        <v>1688</v>
      </c>
      <c r="G808" s="3" t="s">
        <v>1918</v>
      </c>
      <c r="H808" s="5">
        <f t="shared" si="154"/>
        <v>46075</v>
      </c>
      <c r="I808" t="str">
        <f t="shared" si="155"/>
        <v>АРТ-369</v>
      </c>
      <c r="J808" s="6">
        <f t="shared" si="156"/>
        <v>1</v>
      </c>
      <c r="K808" s="4">
        <f>VALUE(SUBSTITUTE(SUBSTITUTE(SUBSTITUTE(SUBSTITUTE(D808,"$",""),"€",""),"₽","")," ",""))*IF(ISNUMBER(FIND("$",D808)),Справочники!$H$3,IF(ISNUMBER(FIND("€",D808)),Справочники!$H$4,1))</f>
        <v>6500</v>
      </c>
      <c r="L808" t="str">
        <f>IFERROR(VLOOKUP(TRIM(G808),Справочники!$D$3:$E$13,2,0),"Нет в справочнике")</f>
        <v>Отменен</v>
      </c>
      <c r="M808" t="str">
        <f t="shared" si="157"/>
        <v/>
      </c>
      <c r="N808" t="str">
        <f>IFERROR(VLOOKUP(I808,Товары_очищенные!$H$2:$J$502,3,0),"Нет в каталоге")</f>
        <v>Наушники</v>
      </c>
      <c r="O808" s="4">
        <f>IFERROR(VLOOKUP(I808,Товары_очищенные!$H$2:$M$502,6,0),"")</f>
        <v>20800</v>
      </c>
      <c r="P808" t="str">
        <f t="shared" si="158"/>
        <v xml:space="preserve">Цена отличается от каталога</v>
      </c>
    </row>
    <row r="809">
      <c r="A809" s="3" t="s">
        <v>3607</v>
      </c>
      <c r="B809" s="3" t="s">
        <v>886</v>
      </c>
      <c r="C809" s="3" t="s">
        <v>1915</v>
      </c>
      <c r="D809" s="3" t="s">
        <v>1916</v>
      </c>
      <c r="E809" s="3" t="s">
        <v>3609</v>
      </c>
      <c r="F809" s="3" t="s">
        <v>1832</v>
      </c>
      <c r="G809" s="3" t="s">
        <v>1924</v>
      </c>
      <c r="H809" s="5">
        <f t="shared" si="154"/>
        <v>46075</v>
      </c>
      <c r="I809" t="str">
        <f t="shared" si="155"/>
        <v>АРТ-226</v>
      </c>
      <c r="J809" s="6">
        <f t="shared" si="156"/>
        <v>-1</v>
      </c>
      <c r="K809" s="4">
        <f>VALUE(SUBSTITUTE(SUBSTITUTE(SUBSTITUTE(SUBSTITUTE(D809,"$",""),"€",""),"₽","")," ",""))*IF(ISNUMBER(FIND("$",D809)),Справочники!$H$3,IF(ISNUMBER(FIND("€",D809)),Справочники!$H$4,1))</f>
        <v>10450</v>
      </c>
      <c r="L809" t="str">
        <f>IFERROR(VLOOKUP(TRIM(G809),Справочники!$D$3:$E$13,2,0),"Нет в справочнике")</f>
        <v>Отменен</v>
      </c>
      <c r="M809" t="str">
        <f t="shared" si="157"/>
        <v/>
      </c>
      <c r="N809" t="str">
        <f>IFERROR(VLOOKUP(I809,Товары_очищенные!$H$2:$J$502,3,0),"Нет в каталоге")</f>
        <v>Аксессуары</v>
      </c>
      <c r="O809" s="4">
        <f>IFERROR(VLOOKUP(I809,Товары_очищенные!$H$2:$M$502,6,0),"")</f>
        <v>5990</v>
      </c>
      <c r="P809" t="str">
        <f t="shared" si="158"/>
        <v xml:space="preserve">Цена отличается от каталога</v>
      </c>
    </row>
    <row r="810">
      <c r="A810" s="3" t="s">
        <v>3610</v>
      </c>
      <c r="B810" s="3" t="s">
        <v>3488</v>
      </c>
      <c r="C810" s="3" t="s">
        <v>1930</v>
      </c>
      <c r="D810" s="3" t="s">
        <v>1922</v>
      </c>
      <c r="E810" s="3" t="s">
        <v>3611</v>
      </c>
      <c r="F810" s="3" t="s">
        <v>1594</v>
      </c>
      <c r="G810" s="3" t="s">
        <v>1903</v>
      </c>
      <c r="H810" s="5">
        <f t="shared" si="154"/>
        <v>46076</v>
      </c>
      <c r="I810" t="str">
        <f t="shared" si="155"/>
        <v>АРТ-324</v>
      </c>
      <c r="J810" s="6">
        <f t="shared" si="156"/>
        <v>3</v>
      </c>
      <c r="K810" s="4">
        <f>VALUE(SUBSTITUTE(SUBSTITUTE(SUBSTITUTE(SUBSTITUTE(D810,"$",""),"€",""),"₽","")," ",""))*IF(ISNUMBER(FIND("$",D810)),Справочники!$H$3,IF(ISNUMBER(FIND("€",D810)),Справочники!$H$4,1))</f>
        <v>9000</v>
      </c>
      <c r="L810" t="str">
        <f>IFERROR(VLOOKUP(TRIM(G810),Справочники!$D$3:$E$13,2,0),"Нет в справочнике")</f>
        <v>Завершен</v>
      </c>
      <c r="M810" t="str">
        <f t="shared" si="157"/>
        <v/>
      </c>
      <c r="N810" t="str">
        <f>IFERROR(VLOOKUP(I810,Товары_очищенные!$H$2:$J$502,3,0),"Нет в каталоге")</f>
        <v>Наушники</v>
      </c>
      <c r="O810" s="4">
        <f>IFERROR(VLOOKUP(I810,Товары_очищенные!$H$2:$M$502,6,0),"")</f>
        <v>13800</v>
      </c>
      <c r="P810" t="str">
        <f t="shared" si="158"/>
        <v xml:space="preserve">Цена отличается от каталога</v>
      </c>
    </row>
    <row r="811">
      <c r="A811" s="3" t="s">
        <v>3610</v>
      </c>
      <c r="B811" s="3" t="s">
        <v>2984</v>
      </c>
      <c r="C811" s="3" t="s">
        <v>1900</v>
      </c>
      <c r="D811" s="3" t="s">
        <v>1925</v>
      </c>
      <c r="E811" s="3" t="s">
        <v>3612</v>
      </c>
      <c r="F811" s="3" t="s">
        <v>1796</v>
      </c>
      <c r="G811" s="3" t="s">
        <v>1927</v>
      </c>
      <c r="H811" s="5">
        <f t="shared" si="154"/>
        <v>46076</v>
      </c>
      <c r="I811" t="str">
        <f t="shared" si="155"/>
        <v>АРТ-214</v>
      </c>
      <c r="J811" s="6">
        <f t="shared" si="156"/>
        <v>2</v>
      </c>
      <c r="K811" s="4">
        <f>VALUE(SUBSTITUTE(SUBSTITUTE(SUBSTITUTE(SUBSTITUTE(D811,"$",""),"€",""),"₽","")," ",""))*IF(ISNUMBER(FIND("$",D811)),Справочники!$H$3,IF(ISNUMBER(FIND("€",D811)),Справочники!$H$4,1))</f>
        <v>8000</v>
      </c>
      <c r="L811" t="str">
        <f>IFERROR(VLOOKUP(TRIM(G811),Справочники!$D$3:$E$13,2,0),"Нет в справочнике")</f>
        <v>Возврат</v>
      </c>
      <c r="M811" t="str">
        <f t="shared" si="157"/>
        <v/>
      </c>
      <c r="N811" t="str">
        <f>IFERROR(VLOOKUP(I811,Товары_очищенные!$H$2:$J$502,3,0),"Нет в каталоге")</f>
        <v>Планшеты</v>
      </c>
      <c r="O811" s="4">
        <f>IFERROR(VLOOKUP(I811,Товары_очищенные!$H$2:$M$502,6,0),"")</f>
        <v>26990</v>
      </c>
      <c r="P811" t="str">
        <f t="shared" si="158"/>
        <v xml:space="preserve">Цена отличается от каталога</v>
      </c>
    </row>
    <row r="812">
      <c r="A812" s="3" t="s">
        <v>3613</v>
      </c>
      <c r="B812" s="3" t="s">
        <v>2403</v>
      </c>
      <c r="C812" s="3" t="s">
        <v>1905</v>
      </c>
      <c r="D812" s="3" t="s">
        <v>1964</v>
      </c>
      <c r="E812" s="3" t="s">
        <v>3614</v>
      </c>
      <c r="F812" s="3" t="s">
        <v>1656</v>
      </c>
      <c r="G812" s="3" t="s">
        <v>1908</v>
      </c>
      <c r="H812" s="5">
        <f t="shared" si="154"/>
        <v>46077</v>
      </c>
      <c r="I812" t="str">
        <f t="shared" si="155"/>
        <v>АРТ-134</v>
      </c>
      <c r="J812" s="6">
        <f t="shared" si="156"/>
        <v>1</v>
      </c>
      <c r="K812" s="4">
        <f>VALUE(SUBSTITUTE(SUBSTITUTE(SUBSTITUTE(SUBSTITUTE(D812,"$",""),"€",""),"₽","")," ",""))*IF(ISNUMBER(FIND("$",D812)),Справочники!$H$3,IF(ISNUMBER(FIND("€",D812)),Справочники!$H$4,1))</f>
        <v>9025</v>
      </c>
      <c r="L812" t="str">
        <f>IFERROR(VLOOKUP(TRIM(G812),Справочники!$D$3:$E$13,2,0),"Нет в справочнике")</f>
        <v>Завершен</v>
      </c>
      <c r="M812" t="str">
        <f t="shared" si="157"/>
        <v/>
      </c>
      <c r="N812" t="str">
        <f>IFERROR(VLOOKUP(I812,Товары_очищенные!$H$2:$J$502,3,0),"Нет в каталоге")</f>
        <v>Телевизоры</v>
      </c>
      <c r="O812" s="4">
        <f>IFERROR(VLOOKUP(I812,Товары_очищенные!$H$2:$M$502,6,0),"")</f>
        <v>124000</v>
      </c>
      <c r="P812" t="str">
        <f t="shared" si="158"/>
        <v xml:space="preserve">Цена отличается от каталога</v>
      </c>
    </row>
    <row r="813">
      <c r="A813" s="3" t="s">
        <v>3613</v>
      </c>
      <c r="B813" s="3" t="s">
        <v>1446</v>
      </c>
      <c r="C813" s="3" t="s">
        <v>1900</v>
      </c>
      <c r="D813" s="3" t="s">
        <v>1968</v>
      </c>
      <c r="E813" s="3" t="s">
        <v>3615</v>
      </c>
      <c r="F813" s="3" t="s">
        <v>1746</v>
      </c>
      <c r="G813" s="3" t="s">
        <v>1913</v>
      </c>
      <c r="H813" s="5">
        <f t="shared" si="154"/>
        <v>46077</v>
      </c>
      <c r="I813" t="str">
        <f t="shared" si="155"/>
        <v>АРТ-452</v>
      </c>
      <c r="J813" s="6">
        <f t="shared" si="156"/>
        <v>2</v>
      </c>
      <c r="K813" s="4">
        <f>VALUE(SUBSTITUTE(SUBSTITUTE(SUBSTITUTE(SUBSTITUTE(D813,"$",""),"€",""),"₽","")," ",""))*IF(ISNUMBER(FIND("$",D813)),Справочники!$H$3,IF(ISNUMBER(FIND("€",D813)),Справочники!$H$4,1))</f>
        <v>7500</v>
      </c>
      <c r="L813" t="str">
        <f>IFERROR(VLOOKUP(TRIM(G813),Справочники!$D$3:$E$13,2,0),"Нет в справочнике")</f>
        <v>Завершен</v>
      </c>
      <c r="M813" t="str">
        <f t="shared" si="157"/>
        <v/>
      </c>
      <c r="N813" t="str">
        <f>IFERROR(VLOOKUP(I813,Товары_очищенные!$H$2:$J$502,3,0),"Нет в каталоге")</f>
        <v>Наушники</v>
      </c>
      <c r="O813" s="4">
        <f>IFERROR(VLOOKUP(I813,Товары_очищенные!$H$2:$M$502,6,0),"")</f>
        <v>38500</v>
      </c>
      <c r="P813" t="str">
        <f t="shared" si="158"/>
        <v xml:space="preserve">Цена отличается от каталога</v>
      </c>
    </row>
    <row r="814">
      <c r="A814" s="3" t="s">
        <v>3616</v>
      </c>
      <c r="B814" s="3" t="s">
        <v>3407</v>
      </c>
      <c r="C814" s="3" t="s">
        <v>1910</v>
      </c>
      <c r="D814" s="3" t="s">
        <v>1971</v>
      </c>
      <c r="E814" s="3" t="s">
        <v>3617</v>
      </c>
      <c r="F814" s="3" t="s">
        <v>1622</v>
      </c>
      <c r="G814" s="3" t="s">
        <v>1903</v>
      </c>
      <c r="H814" s="5">
        <f t="shared" si="154"/>
        <v>46078</v>
      </c>
      <c r="I814" t="str">
        <f t="shared" si="155"/>
        <v>АРТ-306</v>
      </c>
      <c r="J814" s="6">
        <f t="shared" si="156"/>
        <v>3</v>
      </c>
      <c r="K814" s="4">
        <f>VALUE(SUBSTITUTE(SUBSTITUTE(SUBSTITUTE(SUBSTITUTE(D814,"$",""),"€",""),"₽","")," ",""))*IF(ISNUMBER(FIND("$",D814)),Справочники!$H$3,IF(ISNUMBER(FIND("€",D814)),Справочники!$H$4,1))</f>
        <v>7000</v>
      </c>
      <c r="L814" t="str">
        <f>IFERROR(VLOOKUP(TRIM(G814),Справочники!$D$3:$E$13,2,0),"Нет в справочнике")</f>
        <v>Завершен</v>
      </c>
      <c r="M814" t="str">
        <f t="shared" si="157"/>
        <v/>
      </c>
      <c r="N814" t="str">
        <f>IFERROR(VLOOKUP(I814,Товары_очищенные!$H$2:$J$502,3,0),"Нет в каталоге")</f>
        <v>Мониторы</v>
      </c>
      <c r="O814" s="4">
        <f>IFERROR(VLOOKUP(I814,Товары_очищенные!$H$2:$M$502,6,0),"")</f>
        <v>62000</v>
      </c>
      <c r="P814" t="str">
        <f t="shared" si="158"/>
        <v xml:space="preserve">Цена отличается от каталога</v>
      </c>
    </row>
    <row r="815">
      <c r="A815" s="3" t="s">
        <v>3616</v>
      </c>
      <c r="B815" s="3" t="s">
        <v>2598</v>
      </c>
      <c r="C815" s="3" t="s">
        <v>1942</v>
      </c>
      <c r="D815" s="3" t="s">
        <v>1943</v>
      </c>
      <c r="E815" s="3" t="s">
        <v>3618</v>
      </c>
      <c r="F815" s="3" t="s">
        <v>1826</v>
      </c>
      <c r="G815" s="3" t="s">
        <v>1924</v>
      </c>
      <c r="H815" s="5">
        <f t="shared" si="154"/>
        <v>46078</v>
      </c>
      <c r="I815" t="str">
        <f t="shared" si="155"/>
        <v>АРТ-203</v>
      </c>
      <c r="J815" s="6">
        <f t="shared" si="156"/>
        <v>-2</v>
      </c>
      <c r="K815" s="4">
        <f>VALUE(SUBSTITUTE(SUBSTITUTE(SUBSTITUTE(SUBSTITUTE(D815,"$",""),"€",""),"₽","")," ",""))*IF(ISNUMBER(FIND("$",D815)),Справочники!$H$3,IF(ISNUMBER(FIND("€",D815)),Справочники!$H$4,1))</f>
        <v>10925</v>
      </c>
      <c r="L815" t="str">
        <f>IFERROR(VLOOKUP(TRIM(G815),Справочники!$D$3:$E$13,2,0),"Нет в справочнике")</f>
        <v>Отменен</v>
      </c>
      <c r="M815" t="str">
        <f t="shared" si="157"/>
        <v/>
      </c>
      <c r="N815" t="str">
        <f>IFERROR(VLOOKUP(I815,Товары_очищенные!$H$2:$J$502,3,0),"Нет в каталоге")</f>
        <v>Наушники</v>
      </c>
      <c r="O815" s="4">
        <f>IFERROR(VLOOKUP(I815,Товары_очищенные!$H$2:$M$502,6,0),"")</f>
        <v>9200</v>
      </c>
      <c r="P815" t="str">
        <f t="shared" si="158"/>
        <v>ОК</v>
      </c>
    </row>
    <row r="816">
      <c r="A816" s="3" t="s">
        <v>3619</v>
      </c>
      <c r="B816" s="3" t="s">
        <v>2544</v>
      </c>
      <c r="C816" s="3" t="s">
        <v>1905</v>
      </c>
      <c r="D816" s="3" t="s">
        <v>1934</v>
      </c>
      <c r="E816" s="3" t="s">
        <v>3620</v>
      </c>
      <c r="F816" s="3" t="s">
        <v>1676</v>
      </c>
      <c r="G816" s="3" t="s">
        <v>1918</v>
      </c>
      <c r="H816" s="5">
        <f t="shared" si="154"/>
        <v>46079</v>
      </c>
      <c r="I816" t="str">
        <f t="shared" si="155"/>
        <v>АРТ-283</v>
      </c>
      <c r="J816" s="6">
        <f t="shared" si="156"/>
        <v>1</v>
      </c>
      <c r="K816" s="4">
        <f>VALUE(SUBSTITUTE(SUBSTITUTE(SUBSTITUTE(SUBSTITUTE(D816,"$",""),"€",""),"₽","")," ",""))*IF(ISNUMBER(FIND("$",D816)),Справочники!$H$3,IF(ISNUMBER(FIND("€",D816)),Справочники!$H$4,1))</f>
        <v>9500</v>
      </c>
      <c r="L816" t="str">
        <f>IFERROR(VLOOKUP(TRIM(G816),Справочники!$D$3:$E$13,2,0),"Нет в справочнике")</f>
        <v>Отменен</v>
      </c>
      <c r="M816" t="str">
        <f t="shared" si="157"/>
        <v/>
      </c>
      <c r="N816" t="str">
        <f>IFERROR(VLOOKUP(I816,Товары_очищенные!$H$2:$J$502,3,0),"Нет в каталоге")</f>
        <v>Мониторы</v>
      </c>
      <c r="O816" s="4">
        <f>IFERROR(VLOOKUP(I816,Товары_очищенные!$H$2:$M$502,6,0),"")</f>
        <v>84990</v>
      </c>
      <c r="P816" t="str">
        <f t="shared" si="158"/>
        <v xml:space="preserve">Цена отличается от каталога</v>
      </c>
    </row>
    <row r="817">
      <c r="A817" s="3" t="s">
        <v>3619</v>
      </c>
      <c r="B817" s="3" t="s">
        <v>3621</v>
      </c>
      <c r="C817" s="3" t="s">
        <v>1900</v>
      </c>
      <c r="D817" s="3" t="s">
        <v>1951</v>
      </c>
      <c r="E817" s="3" t="s">
        <v>3622</v>
      </c>
      <c r="F817" s="3" t="s">
        <v>1772</v>
      </c>
      <c r="G817" s="3" t="s">
        <v>1927</v>
      </c>
      <c r="H817" s="5">
        <f t="shared" si="154"/>
        <v>46079</v>
      </c>
      <c r="I817" t="str">
        <f t="shared" si="155"/>
        <v>АРТ-136</v>
      </c>
      <c r="J817" s="6">
        <f t="shared" si="156"/>
        <v>2</v>
      </c>
      <c r="K817" s="4">
        <f>VALUE(SUBSTITUTE(SUBSTITUTE(SUBSTITUTE(SUBSTITUTE(D817,"$",""),"€",""),"₽","")," ",""))*IF(ISNUMBER(FIND("$",D817)),Справочники!$H$3,IF(ISNUMBER(FIND("€",D817)),Справочники!$H$4,1))</f>
        <v>8500</v>
      </c>
      <c r="L817" t="str">
        <f>IFERROR(VLOOKUP(TRIM(G817),Справочники!$D$3:$E$13,2,0),"Нет в справочнике")</f>
        <v>Возврат</v>
      </c>
      <c r="M817" t="str">
        <f t="shared" si="157"/>
        <v/>
      </c>
      <c r="N817" t="str">
        <f>IFERROR(VLOOKUP(I817,Товары_очищенные!$H$2:$J$502,3,0),"Нет в каталоге")</f>
        <v>Наушники</v>
      </c>
      <c r="O817" s="4">
        <f>IFERROR(VLOOKUP(I817,Товары_очищенные!$H$2:$M$502,6,0),"")</f>
        <v>22990</v>
      </c>
      <c r="P817" t="str">
        <f t="shared" si="158"/>
        <v xml:space="preserve">Цена отличается от каталога</v>
      </c>
    </row>
    <row r="818">
      <c r="A818" s="3" t="s">
        <v>3623</v>
      </c>
      <c r="B818" s="3" t="s">
        <v>3624</v>
      </c>
      <c r="C818" s="3" t="s">
        <v>1930</v>
      </c>
      <c r="D818" s="3" t="s">
        <v>1931</v>
      </c>
      <c r="E818" s="3" t="s">
        <v>3625</v>
      </c>
      <c r="F818" s="3" t="s">
        <v>1874</v>
      </c>
      <c r="G818" s="3" t="s">
        <v>1903</v>
      </c>
      <c r="H818" s="5">
        <f t="shared" si="154"/>
        <v>46080</v>
      </c>
      <c r="I818" t="str">
        <f t="shared" si="155"/>
        <v>АРТ-117</v>
      </c>
      <c r="J818" s="6">
        <f t="shared" si="156"/>
        <v>3</v>
      </c>
      <c r="K818" s="4">
        <f>VALUE(SUBSTITUTE(SUBSTITUTE(SUBSTITUTE(SUBSTITUTE(D818,"$",""),"€",""),"₽","")," ",""))*IF(ISNUMBER(FIND("$",D818)),Справочники!$H$3,IF(ISNUMBER(FIND("€",D818)),Справочники!$H$4,1))</f>
        <v>9975</v>
      </c>
      <c r="L818" t="str">
        <f>IFERROR(VLOOKUP(TRIM(G818),Справочники!$D$3:$E$13,2,0),"Нет в справочнике")</f>
        <v>Завершен</v>
      </c>
      <c r="M818" t="str">
        <f t="shared" si="157"/>
        <v/>
      </c>
      <c r="N818" t="str">
        <f>IFERROR(VLOOKUP(I818,Товары_очищенные!$H$2:$J$502,3,0),"Нет в каталоге")</f>
        <v>Мониторы</v>
      </c>
      <c r="O818" s="4">
        <f>IFERROR(VLOOKUP(I818,Товары_очищенные!$H$2:$M$502,6,0),"")</f>
        <v>77000</v>
      </c>
      <c r="P818" t="str">
        <f t="shared" si="158"/>
        <v xml:space="preserve">Цена отличается от каталога</v>
      </c>
    </row>
    <row r="819">
      <c r="A819" s="3" t="s">
        <v>3623</v>
      </c>
      <c r="B819" s="3" t="s">
        <v>2703</v>
      </c>
      <c r="C819" s="3" t="s">
        <v>1900</v>
      </c>
      <c r="D819" s="3" t="s">
        <v>1906</v>
      </c>
      <c r="E819" s="3" t="s">
        <v>3626</v>
      </c>
      <c r="F819" s="3" t="s">
        <v>1601</v>
      </c>
      <c r="G819" s="3" t="s">
        <v>1908</v>
      </c>
      <c r="H819" s="5">
        <f t="shared" si="154"/>
        <v>46080</v>
      </c>
      <c r="I819" t="str">
        <f t="shared" si="155"/>
        <v>АРТ-438</v>
      </c>
      <c r="J819" s="6">
        <f t="shared" si="156"/>
        <v>2</v>
      </c>
      <c r="K819" s="4">
        <f>VALUE(SUBSTITUTE(SUBSTITUTE(SUBSTITUTE(SUBSTITUTE(D819,"$",""),"€",""),"₽","")," ",""))*IF(ISNUMBER(FIND("$",D819)),Справочники!$H$3,IF(ISNUMBER(FIND("€",D819)),Справочники!$H$4,1))</f>
        <v>8500</v>
      </c>
      <c r="L819" t="str">
        <f>IFERROR(VLOOKUP(TRIM(G819),Справочники!$D$3:$E$13,2,0),"Нет в справочнике")</f>
        <v>Завершен</v>
      </c>
      <c r="M819" t="str">
        <f t="shared" si="157"/>
        <v/>
      </c>
      <c r="N819" t="str">
        <f>IFERROR(VLOOKUP(I819,Товары_очищенные!$H$2:$J$502,3,0),"Нет в каталоге")</f>
        <v>Аксессуары</v>
      </c>
      <c r="O819" s="4">
        <f>IFERROR(VLOOKUP(I819,Товары_очищенные!$H$2:$M$502,6,0),"")</f>
        <v>6800</v>
      </c>
      <c r="P819" t="str">
        <f t="shared" si="158"/>
        <v xml:space="preserve">Цена отличается от каталога</v>
      </c>
    </row>
    <row r="820">
      <c r="A820" s="3" t="s">
        <v>3627</v>
      </c>
      <c r="B820" s="3" t="s">
        <v>3628</v>
      </c>
      <c r="C820" s="3" t="s">
        <v>1938</v>
      </c>
      <c r="D820" s="3" t="s">
        <v>2166</v>
      </c>
      <c r="E820" s="3" t="s">
        <v>3629</v>
      </c>
      <c r="F820" s="3" t="s">
        <v>1721</v>
      </c>
      <c r="G820" s="3" t="s">
        <v>1913</v>
      </c>
      <c r="H820" s="5">
        <f t="shared" si="154"/>
        <v>46081</v>
      </c>
      <c r="I820" t="str">
        <f t="shared" si="155"/>
        <v>АРТ-384</v>
      </c>
      <c r="J820" s="6">
        <f t="shared" si="156"/>
        <v>1</v>
      </c>
      <c r="K820" s="4">
        <f>VALUE(SUBSTITUTE(SUBSTITUTE(SUBSTITUTE(SUBSTITUTE(D820,"$",""),"€",""),"₽","")," ",""))*IF(ISNUMBER(FIND("$",D820)),Справочники!$H$3,IF(ISNUMBER(FIND("€",D820)),Справочники!$H$4,1))</f>
        <v>7800</v>
      </c>
      <c r="L820" t="str">
        <f>IFERROR(VLOOKUP(TRIM(G820),Справочники!$D$3:$E$13,2,0),"Нет в справочнике")</f>
        <v>Завершен</v>
      </c>
      <c r="M820" t="str">
        <f t="shared" si="157"/>
        <v/>
      </c>
      <c r="N820" t="str">
        <f>IFERROR(VLOOKUP(I820,Товары_очищенные!$H$2:$J$502,3,0),"Нет в каталоге")</f>
        <v>Смартфоны</v>
      </c>
      <c r="O820" s="4">
        <f>IFERROR(VLOOKUP(I820,Товары_очищенные!$H$2:$M$502,6,0),"")</f>
        <v>44500</v>
      </c>
      <c r="P820" t="str">
        <f t="shared" si="158"/>
        <v xml:space="preserve">Цена отличается от каталога</v>
      </c>
    </row>
    <row r="821">
      <c r="A821" s="3" t="s">
        <v>3627</v>
      </c>
      <c r="B821" s="3" t="s">
        <v>3630</v>
      </c>
      <c r="C821" s="3" t="s">
        <v>1985</v>
      </c>
      <c r="D821" s="3" t="s">
        <v>2044</v>
      </c>
      <c r="E821" s="3" t="s">
        <v>3631</v>
      </c>
      <c r="F821" s="3" t="s">
        <v>1663</v>
      </c>
      <c r="G821" s="3" t="s">
        <v>1918</v>
      </c>
      <c r="H821" s="5">
        <f t="shared" si="154"/>
        <v>46081</v>
      </c>
      <c r="I821" t="str">
        <f t="shared" si="155"/>
        <v>АРТ-336</v>
      </c>
      <c r="J821" s="6">
        <f t="shared" si="156"/>
        <v>-3</v>
      </c>
      <c r="K821" s="4">
        <f>VALUE(SUBSTITUTE(SUBSTITUTE(SUBSTITUTE(SUBSTITUTE(D821,"$",""),"€",""),"₽","")," ",""))*IF(ISNUMBER(FIND("$",D821)),Справочники!$H$3,IF(ISNUMBER(FIND("€",D821)),Справочники!$H$4,1))</f>
        <v>11400</v>
      </c>
      <c r="L821" t="str">
        <f>IFERROR(VLOOKUP(TRIM(G821),Справочники!$D$3:$E$13,2,0),"Нет в справочнике")</f>
        <v>Отменен</v>
      </c>
      <c r="M821" t="str">
        <f t="shared" si="157"/>
        <v/>
      </c>
      <c r="N821" t="str">
        <f>IFERROR(VLOOKUP(I821,Товары_очищенные!$H$2:$J$502,3,0),"Нет в каталоге")</f>
        <v>Планшеты</v>
      </c>
      <c r="O821" s="4">
        <f>IFERROR(VLOOKUP(I821,Товары_очищенные!$H$2:$M$502,6,0),"")</f>
        <v>50500</v>
      </c>
      <c r="P821" t="str">
        <f t="shared" si="158"/>
        <v xml:space="preserve">Цена отличается от каталога</v>
      </c>
    </row>
    <row r="822">
      <c r="A822" s="3" t="s">
        <v>3632</v>
      </c>
      <c r="B822" s="3" t="s">
        <v>1086</v>
      </c>
      <c r="C822" s="3" t="s">
        <v>1900</v>
      </c>
      <c r="D822" s="3" t="s">
        <v>2046</v>
      </c>
      <c r="E822" s="3" t="s">
        <v>3633</v>
      </c>
      <c r="F822" s="3" t="s">
        <v>1802</v>
      </c>
      <c r="G822" s="3" t="s">
        <v>1924</v>
      </c>
      <c r="H822" s="5">
        <f t="shared" si="154"/>
        <v>46082</v>
      </c>
      <c r="I822" t="str">
        <f t="shared" si="155"/>
        <v>АРТ-296</v>
      </c>
      <c r="J822" s="6">
        <f t="shared" si="156"/>
        <v>2</v>
      </c>
      <c r="K822" s="4">
        <f>VALUE(SUBSTITUTE(SUBSTITUTE(SUBSTITUTE(SUBSTITUTE(D822,"$",""),"€",""),"₽","")," ",""))*IF(ISNUMBER(FIND("$",D822)),Справочники!$H$3,IF(ISNUMBER(FIND("€",D822)),Справочники!$H$4,1))</f>
        <v>10000</v>
      </c>
      <c r="L822" t="str">
        <f>IFERROR(VLOOKUP(TRIM(G822),Справочники!$D$3:$E$13,2,0),"Нет в справочнике")</f>
        <v>Отменен</v>
      </c>
      <c r="M822" t="str">
        <f t="shared" si="157"/>
        <v/>
      </c>
      <c r="N822" t="str">
        <f>IFERROR(VLOOKUP(I822,Товары_очищенные!$H$2:$J$502,3,0),"Нет в каталоге")</f>
        <v>Смартфоны</v>
      </c>
      <c r="O822" s="4">
        <f>IFERROR(VLOOKUP(I822,Товары_очищенные!$H$2:$M$502,6,0),"")</f>
        <v>33500</v>
      </c>
      <c r="P822" t="str">
        <f t="shared" si="158"/>
        <v xml:space="preserve">Цена отличается от каталога</v>
      </c>
    </row>
    <row r="823">
      <c r="A823" s="3" t="s">
        <v>3632</v>
      </c>
      <c r="B823" s="3" t="s">
        <v>2864</v>
      </c>
      <c r="C823" s="3" t="s">
        <v>1905</v>
      </c>
      <c r="D823" s="3" t="s">
        <v>2087</v>
      </c>
      <c r="E823" s="3" t="s">
        <v>3634</v>
      </c>
      <c r="F823" s="3" t="s">
        <v>1868</v>
      </c>
      <c r="G823" s="3" t="s">
        <v>1903</v>
      </c>
      <c r="H823" s="5">
        <f t="shared" si="154"/>
        <v>46082</v>
      </c>
      <c r="I823" t="str">
        <f t="shared" si="155"/>
        <v>АРТ-278</v>
      </c>
      <c r="J823" s="6">
        <f t="shared" si="156"/>
        <v>1</v>
      </c>
      <c r="K823" s="4">
        <f>VALUE(SUBSTITUTE(SUBSTITUTE(SUBSTITUTE(SUBSTITUTE(D823,"$",""),"€",""),"₽","")," ",""))*IF(ISNUMBER(FIND("$",D823)),Справочники!$H$3,IF(ISNUMBER(FIND("€",D823)),Справочники!$H$4,1))</f>
        <v>9200</v>
      </c>
      <c r="L823" t="str">
        <f>IFERROR(VLOOKUP(TRIM(G823),Справочники!$D$3:$E$13,2,0),"Нет в справочнике")</f>
        <v>Завершен</v>
      </c>
      <c r="M823" t="str">
        <f t="shared" si="157"/>
        <v/>
      </c>
      <c r="N823" t="str">
        <f>IFERROR(VLOOKUP(I823,Товары_очищенные!$H$2:$J$502,3,0),"Нет в каталоге")</f>
        <v>Телевизоры</v>
      </c>
      <c r="O823" s="4">
        <f>IFERROR(VLOOKUP(I823,Товары_очищенные!$H$2:$M$502,6,0),"")</f>
        <v>112000</v>
      </c>
      <c r="P823" t="str">
        <f t="shared" si="158"/>
        <v xml:space="preserve">Цена отличается от каталога</v>
      </c>
    </row>
    <row r="824">
      <c r="A824" s="3" t="s">
        <v>3635</v>
      </c>
      <c r="B824" s="3" t="s">
        <v>2284</v>
      </c>
      <c r="C824" s="3" t="s">
        <v>1930</v>
      </c>
      <c r="D824" s="3" t="s">
        <v>1986</v>
      </c>
      <c r="E824" s="3" t="s">
        <v>3636</v>
      </c>
      <c r="F824" s="3" t="s">
        <v>1587</v>
      </c>
      <c r="G824" s="3" t="s">
        <v>1927</v>
      </c>
      <c r="H824" s="5">
        <f t="shared" si="154"/>
        <v>46083</v>
      </c>
      <c r="I824" t="str">
        <f t="shared" si="155"/>
        <v>АРТ-099</v>
      </c>
      <c r="J824" s="6">
        <f t="shared" si="156"/>
        <v>3</v>
      </c>
      <c r="K824" s="4">
        <f>VALUE(SUBSTITUTE(SUBSTITUTE(SUBSTITUTE(SUBSTITUTE(D824,"$",""),"€",""),"₽","")," ",""))*IF(ISNUMBER(FIND("$",D824)),Справочники!$H$3,IF(ISNUMBER(FIND("€",D824)),Справочники!$H$4,1))</f>
        <v>8550</v>
      </c>
      <c r="L824" t="str">
        <f>IFERROR(VLOOKUP(TRIM(G824),Справочники!$D$3:$E$13,2,0),"Нет в справочнике")</f>
        <v>Возврат</v>
      </c>
      <c r="M824" t="str">
        <f t="shared" si="157"/>
        <v/>
      </c>
      <c r="N824" t="str">
        <f>IFERROR(VLOOKUP(I824,Товары_очищенные!$H$2:$J$502,3,0),"Нет в каталоге")</f>
        <v>Аксессуары</v>
      </c>
      <c r="O824" s="4">
        <f>IFERROR(VLOOKUP(I824,Товары_очищенные!$H$2:$M$502,6,0),"")</f>
        <v>7500</v>
      </c>
      <c r="P824" t="str">
        <f t="shared" si="158"/>
        <v>ОК</v>
      </c>
    </row>
    <row r="825">
      <c r="A825" s="3" t="s">
        <v>3635</v>
      </c>
      <c r="B825" s="3" t="s">
        <v>3637</v>
      </c>
      <c r="C825" s="3" t="s">
        <v>1900</v>
      </c>
      <c r="D825" s="3" t="s">
        <v>1989</v>
      </c>
      <c r="E825" s="3" t="s">
        <v>3638</v>
      </c>
      <c r="F825" s="3" t="s">
        <v>1734</v>
      </c>
      <c r="G825" s="3" t="s">
        <v>1908</v>
      </c>
      <c r="H825" s="5">
        <f t="shared" si="154"/>
        <v>46083</v>
      </c>
      <c r="I825" t="str">
        <f t="shared" si="155"/>
        <v>АРТ-421</v>
      </c>
      <c r="J825" s="6">
        <f t="shared" si="156"/>
        <v>2</v>
      </c>
      <c r="K825" s="4">
        <f>VALUE(SUBSTITUTE(SUBSTITUTE(SUBSTITUTE(SUBSTITUTE(D825,"$",""),"€",""),"₽","")," ",""))*IF(ISNUMBER(FIND("$",D825)),Справочники!$H$3,IF(ISNUMBER(FIND("€",D825)),Справочники!$H$4,1))</f>
        <v>7000</v>
      </c>
      <c r="L825" t="str">
        <f>IFERROR(VLOOKUP(TRIM(G825),Справочники!$D$3:$E$13,2,0),"Нет в справочнике")</f>
        <v>Завершен</v>
      </c>
      <c r="M825" t="str">
        <f t="shared" si="157"/>
        <v/>
      </c>
      <c r="N825" t="str">
        <f>IFERROR(VLOOKUP(I825,Товары_очищенные!$H$2:$J$502,3,0),"Нет в каталоге")</f>
        <v>Ноутбуки</v>
      </c>
      <c r="O825" s="4">
        <f>IFERROR(VLOOKUP(I825,Товары_очищенные!$H$2:$M$502,6,0),"")</f>
        <v>126990</v>
      </c>
      <c r="P825" t="str">
        <f t="shared" si="158"/>
        <v xml:space="preserve">Цена отличается от каталога</v>
      </c>
    </row>
    <row r="826">
      <c r="A826" s="3" t="s">
        <v>3639</v>
      </c>
      <c r="B826" s="3" t="s">
        <v>2783</v>
      </c>
      <c r="C826" s="3" t="s">
        <v>1938</v>
      </c>
      <c r="D826" s="3" t="s">
        <v>1939</v>
      </c>
      <c r="E826" s="3" t="s">
        <v>3640</v>
      </c>
      <c r="F826" s="3" t="s">
        <v>1649</v>
      </c>
      <c r="G826" s="3" t="s">
        <v>1913</v>
      </c>
      <c r="H826" s="5">
        <f t="shared" si="154"/>
        <v>46084</v>
      </c>
      <c r="I826" t="str">
        <f t="shared" si="155"/>
        <v>АРТ-342</v>
      </c>
      <c r="J826" s="6">
        <f t="shared" si="156"/>
        <v>1</v>
      </c>
      <c r="K826" s="4">
        <f>VALUE(SUBSTITUTE(SUBSTITUTE(SUBSTITUTE(SUBSTITUTE(D826,"$",""),"€",""),"₽","")," ",""))*IF(ISNUMBER(FIND("$",D826)),Справочники!$H$3,IF(ISNUMBER(FIND("€",D826)),Справочники!$H$4,1))</f>
        <v>6500</v>
      </c>
      <c r="L826" t="str">
        <f>IFERROR(VLOOKUP(TRIM(G826),Справочники!$D$3:$E$13,2,0),"Нет в справочнике")</f>
        <v>Завершен</v>
      </c>
      <c r="M826" t="str">
        <f t="shared" si="157"/>
        <v/>
      </c>
      <c r="N826" t="str">
        <f>IFERROR(VLOOKUP(I826,Товары_очищенные!$H$2:$J$502,3,0),"Нет в каталоге")</f>
        <v>Ноутбуки</v>
      </c>
      <c r="O826" s="4">
        <f>IFERROR(VLOOKUP(I826,Товары_очищенные!$H$2:$M$502,6,0),"")</f>
        <v>137500</v>
      </c>
      <c r="P826" t="str">
        <f t="shared" si="158"/>
        <v xml:space="preserve">Цена отличается от каталога</v>
      </c>
    </row>
    <row r="827">
      <c r="A827" s="3" t="s">
        <v>3639</v>
      </c>
      <c r="B827" s="3" t="s">
        <v>1206</v>
      </c>
      <c r="C827" s="3" t="s">
        <v>1915</v>
      </c>
      <c r="D827" s="3" t="s">
        <v>1916</v>
      </c>
      <c r="E827" s="3" t="s">
        <v>3641</v>
      </c>
      <c r="F827" s="3" t="s">
        <v>1784</v>
      </c>
      <c r="G827" s="3" t="s">
        <v>1903</v>
      </c>
      <c r="H827" s="5">
        <f t="shared" si="154"/>
        <v>46084</v>
      </c>
      <c r="I827" t="str">
        <f t="shared" si="155"/>
        <v>АРТ-343</v>
      </c>
      <c r="J827" s="6">
        <f t="shared" si="156"/>
        <v>-1</v>
      </c>
      <c r="K827" s="4">
        <f>VALUE(SUBSTITUTE(SUBSTITUTE(SUBSTITUTE(SUBSTITUTE(D827,"$",""),"€",""),"₽","")," ",""))*IF(ISNUMBER(FIND("$",D827)),Справочники!$H$3,IF(ISNUMBER(FIND("€",D827)),Справочники!$H$4,1))</f>
        <v>10450</v>
      </c>
      <c r="L827" t="str">
        <f>IFERROR(VLOOKUP(TRIM(G827),Справочники!$D$3:$E$13,2,0),"Нет в справочнике")</f>
        <v>Завершен</v>
      </c>
      <c r="M827" t="str">
        <f t="shared" si="157"/>
        <v/>
      </c>
      <c r="N827" t="str">
        <f>IFERROR(VLOOKUP(I827,Товары_очищенные!$H$2:$J$502,3,0),"Нет в каталоге")</f>
        <v>Телевизоры</v>
      </c>
      <c r="O827" s="4">
        <f>IFERROR(VLOOKUP(I827,Товары_очищенные!$H$2:$M$502,6,0),"")</f>
        <v>84990</v>
      </c>
      <c r="P827" t="str">
        <f t="shared" si="158"/>
        <v xml:space="preserve">Цена отличается от каталога</v>
      </c>
    </row>
    <row r="828">
      <c r="A828" s="3" t="s">
        <v>3642</v>
      </c>
      <c r="B828" s="3" t="s">
        <v>1044</v>
      </c>
      <c r="C828" s="3" t="s">
        <v>1930</v>
      </c>
      <c r="D828" s="3" t="s">
        <v>1922</v>
      </c>
      <c r="E828" s="3" t="s">
        <v>3643</v>
      </c>
      <c r="F828" s="3" t="s">
        <v>1844</v>
      </c>
      <c r="G828" s="3" t="s">
        <v>1924</v>
      </c>
      <c r="H828" s="5">
        <f t="shared" si="154"/>
        <v>46085</v>
      </c>
      <c r="I828" t="str">
        <f t="shared" si="155"/>
        <v>АРТ-281</v>
      </c>
      <c r="J828" s="6">
        <f t="shared" si="156"/>
        <v>3</v>
      </c>
      <c r="K828" s="4">
        <f>VALUE(SUBSTITUTE(SUBSTITUTE(SUBSTITUTE(SUBSTITUTE(D828,"$",""),"€",""),"₽","")," ",""))*IF(ISNUMBER(FIND("$",D828)),Справочники!$H$3,IF(ISNUMBER(FIND("€",D828)),Справочники!$H$4,1))</f>
        <v>9000</v>
      </c>
      <c r="L828" t="str">
        <f>IFERROR(VLOOKUP(TRIM(G828),Справочники!$D$3:$E$13,2,0),"Нет в справочнике")</f>
        <v>Отменен</v>
      </c>
      <c r="M828" t="str">
        <f t="shared" si="157"/>
        <v/>
      </c>
      <c r="N828" t="str">
        <f>IFERROR(VLOOKUP(I828,Товары_очищенные!$H$2:$J$502,3,0),"Нет в каталоге")</f>
        <v>Наушники</v>
      </c>
      <c r="O828" s="4">
        <f>IFERROR(VLOOKUP(I828,Товары_очищенные!$H$2:$M$502,6,0),"")</f>
        <v>31500</v>
      </c>
      <c r="P828" t="str">
        <f t="shared" si="158"/>
        <v xml:space="preserve">Цена отличается от каталога</v>
      </c>
    </row>
    <row r="829">
      <c r="A829" s="3" t="s">
        <v>3642</v>
      </c>
      <c r="B829" s="3" t="s">
        <v>3644</v>
      </c>
      <c r="C829" s="3" t="s">
        <v>1900</v>
      </c>
      <c r="D829" s="3" t="s">
        <v>1925</v>
      </c>
      <c r="E829" s="3" t="s">
        <v>3645</v>
      </c>
      <c r="F829" s="3" t="s">
        <v>1566</v>
      </c>
      <c r="G829" s="3" t="s">
        <v>1918</v>
      </c>
      <c r="H829" s="5">
        <f t="shared" si="154"/>
        <v>46085</v>
      </c>
      <c r="I829" t="str">
        <f t="shared" si="155"/>
        <v>АРТ-101</v>
      </c>
      <c r="J829" s="6">
        <f t="shared" si="156"/>
        <v>2</v>
      </c>
      <c r="K829" s="4">
        <f>VALUE(SUBSTITUTE(SUBSTITUTE(SUBSTITUTE(SUBSTITUTE(D829,"$",""),"€",""),"₽","")," ",""))*IF(ISNUMBER(FIND("$",D829)),Справочники!$H$3,IF(ISNUMBER(FIND("€",D829)),Справочники!$H$4,1))</f>
        <v>8000</v>
      </c>
      <c r="L829" t="str">
        <f>IFERROR(VLOOKUP(TRIM(G829),Справочники!$D$3:$E$13,2,0),"Нет в справочнике")</f>
        <v>Отменен</v>
      </c>
      <c r="M829" t="str">
        <f t="shared" si="157"/>
        <v/>
      </c>
      <c r="N829" t="str">
        <f>IFERROR(VLOOKUP(I829,Товары_очищенные!$H$2:$J$502,3,0),"Нет в каталоге")</f>
        <v>Планшеты</v>
      </c>
      <c r="O829" s="4">
        <f>IFERROR(VLOOKUP(I829,Товары_очищенные!$H$2:$M$502,6,0),"")</f>
        <v>55500</v>
      </c>
      <c r="P829" t="str">
        <f t="shared" si="158"/>
        <v xml:space="preserve">Цена отличается от каталога</v>
      </c>
    </row>
    <row r="830">
      <c r="A830" s="3" t="s">
        <v>3646</v>
      </c>
      <c r="B830" s="3" t="s">
        <v>2649</v>
      </c>
      <c r="C830" s="3" t="s">
        <v>1905</v>
      </c>
      <c r="D830" s="3" t="s">
        <v>1964</v>
      </c>
      <c r="E830" s="3" t="s">
        <v>3647</v>
      </c>
      <c r="F830" s="3" t="s">
        <v>1701</v>
      </c>
      <c r="G830" s="3" t="s">
        <v>1927</v>
      </c>
      <c r="H830" s="5">
        <f t="shared" si="154"/>
        <v>46086</v>
      </c>
      <c r="I830" t="str">
        <f t="shared" si="155"/>
        <v>АРТ-074</v>
      </c>
      <c r="J830" s="6">
        <f t="shared" si="156"/>
        <v>1</v>
      </c>
      <c r="K830" s="4">
        <f>VALUE(SUBSTITUTE(SUBSTITUTE(SUBSTITUTE(SUBSTITUTE(D830,"$",""),"€",""),"₽","")," ",""))*IF(ISNUMBER(FIND("$",D830)),Справочники!$H$3,IF(ISNUMBER(FIND("€",D830)),Справочники!$H$4,1))</f>
        <v>9025</v>
      </c>
      <c r="L830" t="str">
        <f>IFERROR(VLOOKUP(TRIM(G830),Справочники!$D$3:$E$13,2,0),"Нет в справочнике")</f>
        <v>Возврат</v>
      </c>
      <c r="M830" t="str">
        <f t="shared" si="157"/>
        <v/>
      </c>
      <c r="N830" t="str">
        <f>IFERROR(VLOOKUP(I830,Товары_очищенные!$H$2:$J$502,3,0),"Нет в каталоге")</f>
        <v>Мониторы</v>
      </c>
      <c r="O830" s="4">
        <f>IFERROR(VLOOKUP(I830,Товары_очищенные!$H$2:$M$502,6,0),"")</f>
        <v>77500</v>
      </c>
      <c r="P830" t="str">
        <f t="shared" si="158"/>
        <v xml:space="preserve">Цена отличается от каталога</v>
      </c>
    </row>
    <row r="831">
      <c r="A831" s="3" t="s">
        <v>3646</v>
      </c>
      <c r="B831" s="3" t="s">
        <v>2893</v>
      </c>
      <c r="C831" s="3" t="s">
        <v>1900</v>
      </c>
      <c r="D831" s="3" t="s">
        <v>1968</v>
      </c>
      <c r="E831" s="3" t="s">
        <v>3648</v>
      </c>
      <c r="F831" s="3" t="s">
        <v>1814</v>
      </c>
      <c r="G831" s="3" t="s">
        <v>1903</v>
      </c>
      <c r="H831" s="5">
        <f t="shared" si="154"/>
        <v>46086</v>
      </c>
      <c r="I831" t="str">
        <f t="shared" si="155"/>
        <v>АРТ-442</v>
      </c>
      <c r="J831" s="6">
        <f t="shared" si="156"/>
        <v>2</v>
      </c>
      <c r="K831" s="4">
        <f>VALUE(SUBSTITUTE(SUBSTITUTE(SUBSTITUTE(SUBSTITUTE(D831,"$",""),"€",""),"₽","")," ",""))*IF(ISNUMBER(FIND("$",D831)),Справочники!$H$3,IF(ISNUMBER(FIND("€",D831)),Справочники!$H$4,1))</f>
        <v>7500</v>
      </c>
      <c r="L831" t="str">
        <f>IFERROR(VLOOKUP(TRIM(G831),Справочники!$D$3:$E$13,2,0),"Нет в справочнике")</f>
        <v>Завершен</v>
      </c>
      <c r="M831" t="str">
        <f t="shared" si="157"/>
        <v/>
      </c>
      <c r="N831" t="str">
        <f>IFERROR(VLOOKUP(I831,Товары_очищенные!$H$2:$J$502,3,0),"Нет в каталоге")</f>
        <v>Смартфоны</v>
      </c>
      <c r="O831" s="4">
        <f>IFERROR(VLOOKUP(I831,Товары_очищенные!$H$2:$M$502,6,0),"")</f>
        <v>24990</v>
      </c>
      <c r="P831" t="str">
        <f t="shared" si="158"/>
        <v xml:space="preserve">Цена отличается от каталога</v>
      </c>
    </row>
    <row r="832">
      <c r="A832" s="3" t="s">
        <v>3649</v>
      </c>
      <c r="B832" s="3" t="s">
        <v>2940</v>
      </c>
      <c r="C832" s="3" t="s">
        <v>1910</v>
      </c>
      <c r="D832" s="3" t="s">
        <v>1971</v>
      </c>
      <c r="E832" s="3" t="s">
        <v>3650</v>
      </c>
      <c r="F832" s="3" t="s">
        <v>1880</v>
      </c>
      <c r="G832" s="3" t="s">
        <v>1908</v>
      </c>
      <c r="H832" s="5">
        <f t="shared" si="154"/>
        <v>46087</v>
      </c>
      <c r="I832" t="str">
        <f t="shared" si="155"/>
        <v>АРТ-361</v>
      </c>
      <c r="J832" s="6">
        <f t="shared" si="156"/>
        <v>3</v>
      </c>
      <c r="K832" s="4">
        <f>VALUE(SUBSTITUTE(SUBSTITUTE(SUBSTITUTE(SUBSTITUTE(D832,"$",""),"€",""),"₽","")," ",""))*IF(ISNUMBER(FIND("$",D832)),Справочники!$H$3,IF(ISNUMBER(FIND("€",D832)),Справочники!$H$4,1))</f>
        <v>7000</v>
      </c>
      <c r="L832" t="str">
        <f>IFERROR(VLOOKUP(TRIM(G832),Справочники!$D$3:$E$13,2,0),"Нет в справочнике")</f>
        <v>Завершен</v>
      </c>
      <c r="M832" t="str">
        <f t="shared" si="157"/>
        <v/>
      </c>
      <c r="N832" t="str">
        <f>IFERROR(VLOOKUP(I832,Товары_очищенные!$H$2:$J$502,3,0),"Нет в каталоге")</f>
        <v>Ноутбуки</v>
      </c>
      <c r="O832" s="4">
        <f>IFERROR(VLOOKUP(I832,Товары_очищенные!$H$2:$M$502,6,0),"")</f>
        <v>145990</v>
      </c>
      <c r="P832" t="str">
        <f t="shared" si="158"/>
        <v xml:space="preserve">Цена отличается от каталога</v>
      </c>
    </row>
    <row r="833">
      <c r="A833" s="3" t="s">
        <v>3649</v>
      </c>
      <c r="B833" s="3" t="s">
        <v>1100</v>
      </c>
      <c r="C833" s="3" t="s">
        <v>1942</v>
      </c>
      <c r="D833" s="3" t="s">
        <v>1943</v>
      </c>
      <c r="E833" s="3" t="s">
        <v>3651</v>
      </c>
      <c r="F833" s="3" t="s">
        <v>1636</v>
      </c>
      <c r="G833" s="3" t="s">
        <v>1913</v>
      </c>
      <c r="H833" s="5">
        <f t="shared" si="154"/>
        <v>46087</v>
      </c>
      <c r="I833" t="str">
        <f t="shared" si="155"/>
        <v>АРТ-301</v>
      </c>
      <c r="J833" s="6">
        <f t="shared" si="156"/>
        <v>-2</v>
      </c>
      <c r="K833" s="4">
        <f>VALUE(SUBSTITUTE(SUBSTITUTE(SUBSTITUTE(SUBSTITUTE(D833,"$",""),"€",""),"₽","")," ",""))*IF(ISNUMBER(FIND("$",D833)),Справочники!$H$3,IF(ISNUMBER(FIND("€",D833)),Справочники!$H$4,1))</f>
        <v>10925</v>
      </c>
      <c r="L833" t="str">
        <f>IFERROR(VLOOKUP(TRIM(G833),Справочники!$D$3:$E$13,2,0),"Нет в справочнике")</f>
        <v>Завершен</v>
      </c>
      <c r="M833" t="str">
        <f t="shared" si="157"/>
        <v/>
      </c>
      <c r="N833" t="str">
        <f>IFERROR(VLOOKUP(I833,Товары_очищенные!$H$2:$J$502,3,0),"Нет в каталоге")</f>
        <v>Наушники</v>
      </c>
      <c r="O833" s="4">
        <f>IFERROR(VLOOKUP(I833,Товары_очищенные!$H$2:$M$502,6,0),"")</f>
        <v>7990</v>
      </c>
      <c r="P833" t="str">
        <f t="shared" si="158"/>
        <v xml:space="preserve">Цена отличается от каталога</v>
      </c>
    </row>
    <row r="834">
      <c r="A834" s="3" t="s">
        <v>3652</v>
      </c>
      <c r="B834" s="3" t="s">
        <v>3159</v>
      </c>
      <c r="C834" s="3" t="s">
        <v>1905</v>
      </c>
      <c r="D834" s="3" t="s">
        <v>1934</v>
      </c>
      <c r="E834" s="3" t="s">
        <v>3653</v>
      </c>
      <c r="F834" s="3" t="s">
        <v>1740</v>
      </c>
      <c r="G834" s="3" t="s">
        <v>1918</v>
      </c>
      <c r="H834" s="5">
        <f t="shared" si="154"/>
        <v>46088</v>
      </c>
      <c r="I834" t="str">
        <f t="shared" si="155"/>
        <v>АРТ-396</v>
      </c>
      <c r="J834" s="6">
        <f t="shared" si="156"/>
        <v>1</v>
      </c>
      <c r="K834" s="4">
        <f>VALUE(SUBSTITUTE(SUBSTITUTE(SUBSTITUTE(SUBSTITUTE(D834,"$",""),"€",""),"₽","")," ",""))*IF(ISNUMBER(FIND("$",D834)),Справочники!$H$3,IF(ISNUMBER(FIND("€",D834)),Справочники!$H$4,1))</f>
        <v>9500</v>
      </c>
      <c r="L834" t="str">
        <f>IFERROR(VLOOKUP(TRIM(G834),Справочники!$D$3:$E$13,2,0),"Нет в справочнике")</f>
        <v>Отменен</v>
      </c>
      <c r="M834" t="str">
        <f t="shared" si="157"/>
        <v/>
      </c>
      <c r="N834" t="str">
        <f>IFERROR(VLOOKUP(I834,Товары_очищенные!$H$2:$J$502,3,0),"Нет в каталоге")</f>
        <v>Мониторы</v>
      </c>
      <c r="O834" s="4">
        <f>IFERROR(VLOOKUP(I834,Товары_очищенные!$H$2:$M$502,6,0),"")</f>
        <v>67000</v>
      </c>
      <c r="P834" t="str">
        <f t="shared" si="158"/>
        <v xml:space="preserve">Цена отличается от каталога</v>
      </c>
    </row>
    <row r="835">
      <c r="A835" s="3" t="s">
        <v>3652</v>
      </c>
      <c r="B835" s="3" t="s">
        <v>3654</v>
      </c>
      <c r="C835" s="3" t="s">
        <v>1900</v>
      </c>
      <c r="D835" s="3" t="s">
        <v>1951</v>
      </c>
      <c r="E835" s="3" t="s">
        <v>3655</v>
      </c>
      <c r="F835" s="3" t="s">
        <v>1682</v>
      </c>
      <c r="G835" s="3" t="s">
        <v>1924</v>
      </c>
      <c r="H835" s="5">
        <f t="shared" si="154"/>
        <v>46088</v>
      </c>
      <c r="I835" t="str">
        <f t="shared" si="155"/>
        <v>АРТ-152</v>
      </c>
      <c r="J835" s="6">
        <f t="shared" si="156"/>
        <v>2</v>
      </c>
      <c r="K835" s="4">
        <f>VALUE(SUBSTITUTE(SUBSTITUTE(SUBSTITUTE(SUBSTITUTE(D835,"$",""),"€",""),"₽","")," ",""))*IF(ISNUMBER(FIND("$",D835)),Справочники!$H$3,IF(ISNUMBER(FIND("€",D835)),Справочники!$H$4,1))</f>
        <v>8500</v>
      </c>
      <c r="L835" t="str">
        <f>IFERROR(VLOOKUP(TRIM(G835),Справочники!$D$3:$E$13,2,0),"Нет в справочнике")</f>
        <v>Отменен</v>
      </c>
      <c r="M835" t="str">
        <f t="shared" si="157"/>
        <v/>
      </c>
      <c r="N835" t="str">
        <f>IFERROR(VLOOKUP(I835,Товары_очищенные!$H$2:$J$502,3,0),"Нет в каталоге")</f>
        <v>Телевизоры</v>
      </c>
      <c r="O835" s="4">
        <f>IFERROR(VLOOKUP(I835,Товары_очищенные!$H$2:$M$502,6,0),"")</f>
        <v>151500</v>
      </c>
      <c r="P835" t="str">
        <f t="shared" si="158"/>
        <v xml:space="preserve">Цена отличается от каталога</v>
      </c>
    </row>
    <row r="836">
      <c r="A836" s="3" t="s">
        <v>3656</v>
      </c>
      <c r="B836" s="3" t="s">
        <v>2573</v>
      </c>
      <c r="C836" s="3" t="s">
        <v>1930</v>
      </c>
      <c r="D836" s="3" t="s">
        <v>1931</v>
      </c>
      <c r="E836" s="3" t="s">
        <v>3657</v>
      </c>
      <c r="F836" s="3" t="s">
        <v>1820</v>
      </c>
      <c r="G836" s="3" t="s">
        <v>1903</v>
      </c>
      <c r="H836" s="5">
        <f t="shared" si="154"/>
        <v>46089</v>
      </c>
      <c r="I836" t="str">
        <f t="shared" si="155"/>
        <v>АРТ-062</v>
      </c>
      <c r="J836" s="6">
        <f t="shared" si="156"/>
        <v>3</v>
      </c>
      <c r="K836" s="4">
        <f>VALUE(SUBSTITUTE(SUBSTITUTE(SUBSTITUTE(SUBSTITUTE(D836,"$",""),"€",""),"₽","")," ",""))*IF(ISNUMBER(FIND("$",D836)),Справочники!$H$3,IF(ISNUMBER(FIND("€",D836)),Справочники!$H$4,1))</f>
        <v>9975</v>
      </c>
      <c r="L836" t="str">
        <f>IFERROR(VLOOKUP(TRIM(G836),Справочники!$D$3:$E$13,2,0),"Нет в справочнике")</f>
        <v>Завершен</v>
      </c>
      <c r="M836" t="str">
        <f t="shared" si="157"/>
        <v/>
      </c>
      <c r="N836" t="str">
        <f>IFERROR(VLOOKUP(I836,Товары_очищенные!$H$2:$J$502,3,0),"Нет в каталоге")</f>
        <v>Ноутбуки</v>
      </c>
      <c r="O836" s="4">
        <f>IFERROR(VLOOKUP(I836,Товары_очищенные!$H$2:$M$502,6,0),"")</f>
        <v>122500</v>
      </c>
      <c r="P836" t="str">
        <f t="shared" si="158"/>
        <v xml:space="preserve">Цена отличается от каталога</v>
      </c>
    </row>
    <row r="837">
      <c r="A837" s="3" t="s">
        <v>3656</v>
      </c>
      <c r="B837" s="3" t="s">
        <v>2806</v>
      </c>
      <c r="C837" s="3" t="s">
        <v>1900</v>
      </c>
      <c r="D837" s="3" t="s">
        <v>1906</v>
      </c>
      <c r="E837" s="3" t="s">
        <v>3658</v>
      </c>
      <c r="F837" s="3" t="s">
        <v>1580</v>
      </c>
      <c r="G837" s="3" t="s">
        <v>1927</v>
      </c>
      <c r="H837" s="5">
        <f t="shared" si="154"/>
        <v>46089</v>
      </c>
      <c r="I837" t="str">
        <f t="shared" si="155"/>
        <v>АРТ-489</v>
      </c>
      <c r="J837" s="6">
        <f t="shared" si="156"/>
        <v>2</v>
      </c>
      <c r="K837" s="4">
        <f>VALUE(SUBSTITUTE(SUBSTITUTE(SUBSTITUTE(SUBSTITUTE(D837,"$",""),"€",""),"₽","")," ",""))*IF(ISNUMBER(FIND("$",D837)),Справочники!$H$3,IF(ISNUMBER(FIND("€",D837)),Справочники!$H$4,1))</f>
        <v>8500</v>
      </c>
      <c r="L837" t="str">
        <f>IFERROR(VLOOKUP(TRIM(G837),Справочники!$D$3:$E$13,2,0),"Нет в справочнике")</f>
        <v>Возврат</v>
      </c>
      <c r="M837" t="str">
        <f t="shared" si="157"/>
        <v/>
      </c>
      <c r="N837" t="str">
        <f>IFERROR(VLOOKUP(I837,Товары_очищенные!$H$2:$J$502,3,0),"Нет в каталоге")</f>
        <v>Ноутбуки</v>
      </c>
      <c r="O837" s="4">
        <f>IFERROR(VLOOKUP(I837,Товары_очищенные!$H$2:$M$502,6,0),"")</f>
        <v>113500</v>
      </c>
      <c r="P837" t="str">
        <f t="shared" si="158"/>
        <v xml:space="preserve">Цена отличается от каталога</v>
      </c>
    </row>
    <row r="838">
      <c r="A838" s="3" t="s">
        <v>3659</v>
      </c>
      <c r="B838" s="3" t="s">
        <v>2551</v>
      </c>
      <c r="C838" s="3" t="s">
        <v>1938</v>
      </c>
      <c r="D838" s="3" t="s">
        <v>2166</v>
      </c>
      <c r="E838" s="3" t="s">
        <v>3660</v>
      </c>
      <c r="F838" s="3" t="s">
        <v>1727</v>
      </c>
      <c r="G838" s="3" t="s">
        <v>1908</v>
      </c>
      <c r="H838" s="5">
        <f t="shared" si="154"/>
        <v>46090</v>
      </c>
      <c r="I838" t="str">
        <f t="shared" si="155"/>
        <v>АРТ-311</v>
      </c>
      <c r="J838" s="6">
        <f t="shared" si="156"/>
        <v>1</v>
      </c>
      <c r="K838" s="4">
        <f>VALUE(SUBSTITUTE(SUBSTITUTE(SUBSTITUTE(SUBSTITUTE(D838,"$",""),"€",""),"₽","")," ",""))*IF(ISNUMBER(FIND("$",D838)),Справочники!$H$3,IF(ISNUMBER(FIND("€",D838)),Справочники!$H$4,1))</f>
        <v>7800</v>
      </c>
      <c r="L838" t="str">
        <f>IFERROR(VLOOKUP(TRIM(G838),Справочники!$D$3:$E$13,2,0),"Нет в справочнике")</f>
        <v>Завершен</v>
      </c>
      <c r="M838" t="str">
        <f t="shared" si="157"/>
        <v/>
      </c>
      <c r="N838" t="str">
        <f>IFERROR(VLOOKUP(I838,Товары_очищенные!$H$2:$J$502,3,0),"Нет в каталоге")</f>
        <v>Планшеты</v>
      </c>
      <c r="O838" s="4">
        <f>IFERROR(VLOOKUP(I838,Товары_очищенные!$H$2:$M$502,6,0),"")</f>
        <v>62500</v>
      </c>
      <c r="P838" t="str">
        <f t="shared" si="158"/>
        <v xml:space="preserve">Цена отличается от каталога</v>
      </c>
    </row>
    <row r="839">
      <c r="A839" s="3" t="s">
        <v>3659</v>
      </c>
      <c r="B839" s="3" t="s">
        <v>3661</v>
      </c>
      <c r="C839" s="3" t="s">
        <v>1985</v>
      </c>
      <c r="D839" s="3" t="s">
        <v>2044</v>
      </c>
      <c r="E839" s="3" t="s">
        <v>3662</v>
      </c>
      <c r="F839" s="3" t="s">
        <v>1629</v>
      </c>
      <c r="G839" s="3" t="s">
        <v>1913</v>
      </c>
      <c r="H839" s="5">
        <f t="shared" si="154"/>
        <v>46090</v>
      </c>
      <c r="I839" t="str">
        <f t="shared" si="155"/>
        <v>АРТ-270</v>
      </c>
      <c r="J839" s="6">
        <f t="shared" si="156"/>
        <v>-3</v>
      </c>
      <c r="K839" s="4">
        <f>VALUE(SUBSTITUTE(SUBSTITUTE(SUBSTITUTE(SUBSTITUTE(D839,"$",""),"€",""),"₽","")," ",""))*IF(ISNUMBER(FIND("$",D839)),Справочники!$H$3,IF(ISNUMBER(FIND("€",D839)),Справочники!$H$4,1))</f>
        <v>11400</v>
      </c>
      <c r="L839" t="str">
        <f>IFERROR(VLOOKUP(TRIM(G839),Справочники!$D$3:$E$13,2,0),"Нет в справочнике")</f>
        <v>Завершен</v>
      </c>
      <c r="M839" t="str">
        <f t="shared" si="157"/>
        <v/>
      </c>
      <c r="N839" t="str">
        <f>IFERROR(VLOOKUP(I839,Товары_очищенные!$H$2:$J$502,3,0),"Нет в каталоге")</f>
        <v>Аксессуары</v>
      </c>
      <c r="O839" s="4">
        <f>IFERROR(VLOOKUP(I839,Товары_очищенные!$H$2:$M$502,6,0),"")</f>
        <v>24500</v>
      </c>
      <c r="P839" t="str">
        <f t="shared" si="158"/>
        <v xml:space="preserve">Цена отличается от каталога</v>
      </c>
    </row>
    <row r="840">
      <c r="A840" s="3" t="s">
        <v>3663</v>
      </c>
      <c r="B840" s="3" t="s">
        <v>1133</v>
      </c>
      <c r="C840" s="3" t="s">
        <v>1900</v>
      </c>
      <c r="D840" s="3" t="s">
        <v>2046</v>
      </c>
      <c r="E840" s="3" t="s">
        <v>3664</v>
      </c>
      <c r="F840" s="3" t="s">
        <v>1778</v>
      </c>
      <c r="G840" s="3" t="s">
        <v>1903</v>
      </c>
      <c r="H840" s="5">
        <f t="shared" si="154"/>
        <v>46091</v>
      </c>
      <c r="I840" t="str">
        <f t="shared" si="155"/>
        <v>АРТ-314</v>
      </c>
      <c r="J840" s="6">
        <f t="shared" si="156"/>
        <v>2</v>
      </c>
      <c r="K840" s="4">
        <f>VALUE(SUBSTITUTE(SUBSTITUTE(SUBSTITUTE(SUBSTITUTE(D840,"$",""),"€",""),"₽","")," ",""))*IF(ISNUMBER(FIND("$",D840)),Справочники!$H$3,IF(ISNUMBER(FIND("€",D840)),Справочники!$H$4,1))</f>
        <v>10000</v>
      </c>
      <c r="L840" t="str">
        <f>IFERROR(VLOOKUP(TRIM(G840),Справочники!$D$3:$E$13,2,0),"Нет в справочнике")</f>
        <v>Завершен</v>
      </c>
      <c r="M840" t="str">
        <f t="shared" si="157"/>
        <v/>
      </c>
      <c r="N840" t="str">
        <f>IFERROR(VLOOKUP(I840,Товары_очищенные!$H$2:$J$502,3,0),"Нет в каталоге")</f>
        <v>Смартфоны</v>
      </c>
      <c r="O840" s="4">
        <f>IFERROR(VLOOKUP(I840,Товары_очищенные!$H$2:$M$502,6,0),"")</f>
        <v>67500</v>
      </c>
      <c r="P840" t="str">
        <f t="shared" si="158"/>
        <v xml:space="preserve">Цена отличается от каталога</v>
      </c>
    </row>
    <row r="841">
      <c r="A841" s="3" t="s">
        <v>3663</v>
      </c>
      <c r="B841" s="3" t="s">
        <v>3665</v>
      </c>
      <c r="C841" s="3" t="s">
        <v>1905</v>
      </c>
      <c r="D841" s="3" t="s">
        <v>2087</v>
      </c>
      <c r="E841" s="3" t="s">
        <v>3666</v>
      </c>
      <c r="F841" s="3" t="s">
        <v>1862</v>
      </c>
      <c r="G841" s="3" t="s">
        <v>1924</v>
      </c>
      <c r="H841" s="5">
        <f t="shared" si="154"/>
        <v>46091</v>
      </c>
      <c r="I841" t="str">
        <f t="shared" si="155"/>
        <v>АРТ-197</v>
      </c>
      <c r="J841" s="6">
        <f t="shared" si="156"/>
        <v>1</v>
      </c>
      <c r="K841" s="4">
        <f>VALUE(SUBSTITUTE(SUBSTITUTE(SUBSTITUTE(SUBSTITUTE(D841,"$",""),"€",""),"₽","")," ",""))*IF(ISNUMBER(FIND("$",D841)),Справочники!$H$3,IF(ISNUMBER(FIND("€",D841)),Справочники!$H$4,1))</f>
        <v>9200</v>
      </c>
      <c r="L841" t="str">
        <f>IFERROR(VLOOKUP(TRIM(G841),Справочники!$D$3:$E$13,2,0),"Нет в справочнике")</f>
        <v>Отменен</v>
      </c>
      <c r="M841" t="str">
        <f t="shared" si="157"/>
        <v/>
      </c>
      <c r="N841" t="str">
        <f>IFERROR(VLOOKUP(I841,Товары_очищенные!$H$2:$J$502,3,0),"Нет в каталоге")</f>
        <v>Смартфоны</v>
      </c>
      <c r="O841" s="4">
        <f>IFERROR(VLOOKUP(I841,Товары_очищенные!$H$2:$M$502,6,0),"")</f>
        <v>52500</v>
      </c>
      <c r="P841" t="str">
        <f t="shared" si="158"/>
        <v xml:space="preserve">Цена отличается от каталога</v>
      </c>
    </row>
    <row r="842">
      <c r="A842" s="3" t="s">
        <v>3667</v>
      </c>
      <c r="B842" s="3" t="s">
        <v>3516</v>
      </c>
      <c r="C842" s="3" t="s">
        <v>1930</v>
      </c>
      <c r="D842" s="3" t="s">
        <v>1986</v>
      </c>
      <c r="E842" s="3" t="s">
        <v>3668</v>
      </c>
      <c r="F842" s="3" t="s">
        <v>1695</v>
      </c>
      <c r="G842" s="3" t="s">
        <v>1918</v>
      </c>
      <c r="H842" s="5">
        <f t="shared" si="154"/>
        <v>46092</v>
      </c>
      <c r="I842" t="str">
        <f t="shared" si="155"/>
        <v>АРТ-158</v>
      </c>
      <c r="J842" s="6">
        <f t="shared" si="156"/>
        <v>3</v>
      </c>
      <c r="K842" s="4">
        <f>VALUE(SUBSTITUTE(SUBSTITUTE(SUBSTITUTE(SUBSTITUTE(D842,"$",""),"€",""),"₽","")," ",""))*IF(ISNUMBER(FIND("$",D842)),Справочники!$H$3,IF(ISNUMBER(FIND("€",D842)),Справочники!$H$4,1))</f>
        <v>8550</v>
      </c>
      <c r="L842" t="str">
        <f>IFERROR(VLOOKUP(TRIM(G842),Справочники!$D$3:$E$13,2,0),"Нет в справочнике")</f>
        <v>Отменен</v>
      </c>
      <c r="M842" t="str">
        <f t="shared" si="157"/>
        <v/>
      </c>
      <c r="N842" t="str">
        <f>IFERROR(VLOOKUP(I842,Товары_очищенные!$H$2:$J$502,3,0),"Нет в каталоге")</f>
        <v>Мониторы</v>
      </c>
      <c r="O842" s="4">
        <f>IFERROR(VLOOKUP(I842,Товары_очищенные!$H$2:$M$502,6,0),"")</f>
        <v>90000</v>
      </c>
      <c r="P842" t="str">
        <f t="shared" si="158"/>
        <v xml:space="preserve">Цена отличается от каталога</v>
      </c>
    </row>
    <row r="843">
      <c r="A843" s="3" t="s">
        <v>3667</v>
      </c>
      <c r="B843" s="3" t="s">
        <v>2975</v>
      </c>
      <c r="C843" s="3" t="s">
        <v>1900</v>
      </c>
      <c r="D843" s="3" t="s">
        <v>1989</v>
      </c>
      <c r="E843" s="3" t="s">
        <v>3669</v>
      </c>
      <c r="F843" s="3" t="s">
        <v>1573</v>
      </c>
      <c r="G843" s="3" t="s">
        <v>1927</v>
      </c>
      <c r="H843" s="5">
        <f t="shared" si="154"/>
        <v>46092</v>
      </c>
      <c r="I843" t="str">
        <f t="shared" si="155"/>
        <v>АРТ-496</v>
      </c>
      <c r="J843" s="6">
        <f t="shared" si="156"/>
        <v>2</v>
      </c>
      <c r="K843" s="4">
        <f>VALUE(SUBSTITUTE(SUBSTITUTE(SUBSTITUTE(SUBSTITUTE(D843,"$",""),"€",""),"₽","")," ",""))*IF(ISNUMBER(FIND("$",D843)),Справочники!$H$3,IF(ISNUMBER(FIND("€",D843)),Справочники!$H$4,1))</f>
        <v>7000</v>
      </c>
      <c r="L843" t="str">
        <f>IFERROR(VLOOKUP(TRIM(G843),Справочники!$D$3:$E$13,2,0),"Нет в справочнике")</f>
        <v>Возврат</v>
      </c>
      <c r="M843" t="str">
        <f t="shared" si="157"/>
        <v/>
      </c>
      <c r="N843" t="str">
        <f>IFERROR(VLOOKUP(I843,Товары_очищенные!$H$2:$J$502,3,0),"Нет в каталоге")</f>
        <v>Мониторы</v>
      </c>
      <c r="O843" s="4">
        <f>IFERROR(VLOOKUP(I843,Товары_очищенные!$H$2:$M$502,6,0),"")</f>
        <v>59990</v>
      </c>
      <c r="P843" t="str">
        <f t="shared" si="158"/>
        <v xml:space="preserve">Цена отличается от каталога</v>
      </c>
    </row>
    <row r="844">
      <c r="A844" s="3" t="s">
        <v>3670</v>
      </c>
      <c r="B844" s="3" t="s">
        <v>3532</v>
      </c>
      <c r="C844" s="3" t="s">
        <v>1938</v>
      </c>
      <c r="D844" s="3" t="s">
        <v>1939</v>
      </c>
      <c r="E844" s="3" t="s">
        <v>3671</v>
      </c>
      <c r="F844" s="3" t="s">
        <v>1808</v>
      </c>
      <c r="G844" s="3" t="s">
        <v>1903</v>
      </c>
      <c r="H844" s="5">
        <f t="shared" si="154"/>
        <v>46093</v>
      </c>
      <c r="I844" t="str">
        <f t="shared" si="155"/>
        <v>АРТ-349</v>
      </c>
      <c r="J844" s="6">
        <f t="shared" si="156"/>
        <v>1</v>
      </c>
      <c r="K844" s="4">
        <f>VALUE(SUBSTITUTE(SUBSTITUTE(SUBSTITUTE(SUBSTITUTE(D844,"$",""),"€",""),"₽","")," ",""))*IF(ISNUMBER(FIND("$",D844)),Справочники!$H$3,IF(ISNUMBER(FIND("€",D844)),Справочники!$H$4,1))</f>
        <v>6500</v>
      </c>
      <c r="L844" t="str">
        <f>IFERROR(VLOOKUP(TRIM(G844),Справочники!$D$3:$E$13,2,0),"Нет в справочнике")</f>
        <v>Завершен</v>
      </c>
      <c r="M844" t="str">
        <f t="shared" si="157"/>
        <v/>
      </c>
      <c r="N844" t="str">
        <f>IFERROR(VLOOKUP(I844,Товары_очищенные!$H$2:$J$502,3,0),"Нет в каталоге")</f>
        <v>Мониторы</v>
      </c>
      <c r="O844" s="4">
        <f>IFERROR(VLOOKUP(I844,Товары_очищенные!$H$2:$M$502,6,0),"")</f>
        <v>54990</v>
      </c>
      <c r="P844" t="str">
        <f t="shared" si="158"/>
        <v xml:space="preserve">Цена отличается от каталога</v>
      </c>
    </row>
    <row r="845">
      <c r="A845" s="3" t="s">
        <v>3670</v>
      </c>
      <c r="B845" s="3" t="s">
        <v>2579</v>
      </c>
      <c r="C845" s="3" t="s">
        <v>1915</v>
      </c>
      <c r="D845" s="3" t="s">
        <v>1916</v>
      </c>
      <c r="E845" s="3" t="s">
        <v>3672</v>
      </c>
      <c r="F845" s="3" t="s">
        <v>1670</v>
      </c>
      <c r="G845" s="3" t="s">
        <v>1908</v>
      </c>
      <c r="H845" s="5">
        <f t="shared" si="154"/>
        <v>46093</v>
      </c>
      <c r="I845" t="str">
        <f t="shared" si="155"/>
        <v>АРТ-386</v>
      </c>
      <c r="J845" s="6">
        <f t="shared" si="156"/>
        <v>-1</v>
      </c>
      <c r="K845" s="4">
        <f>VALUE(SUBSTITUTE(SUBSTITUTE(SUBSTITUTE(SUBSTITUTE(D845,"$",""),"€",""),"₽","")," ",""))*IF(ISNUMBER(FIND("$",D845)),Справочники!$H$3,IF(ISNUMBER(FIND("€",D845)),Справочники!$H$4,1))</f>
        <v>10450</v>
      </c>
      <c r="L845" t="str">
        <f>IFERROR(VLOOKUP(TRIM(G845),Справочники!$D$3:$E$13,2,0),"Нет в справочнике")</f>
        <v>Завершен</v>
      </c>
      <c r="M845" t="str">
        <f t="shared" si="157"/>
        <v/>
      </c>
      <c r="N845" t="str">
        <f>IFERROR(VLOOKUP(I845,Товары_очищенные!$H$2:$J$502,3,0),"Нет в каталоге")</f>
        <v>Ноутбуки</v>
      </c>
      <c r="O845" s="4">
        <f>IFERROR(VLOOKUP(I845,Товары_очищенные!$H$2:$M$502,6,0),"")</f>
        <v>114000</v>
      </c>
      <c r="P845" t="str">
        <f t="shared" si="158"/>
        <v xml:space="preserve">Цена отличается от каталога</v>
      </c>
    </row>
    <row r="846">
      <c r="A846" s="3" t="s">
        <v>3673</v>
      </c>
      <c r="B846" s="3" t="s">
        <v>1025</v>
      </c>
      <c r="C846" s="3" t="s">
        <v>1930</v>
      </c>
      <c r="D846" s="3" t="s">
        <v>1922</v>
      </c>
      <c r="E846" s="3" t="s">
        <v>3674</v>
      </c>
      <c r="F846" s="3" t="s">
        <v>1752</v>
      </c>
      <c r="G846" s="3" t="s">
        <v>1913</v>
      </c>
      <c r="H846" s="5">
        <f t="shared" si="154"/>
        <v>46094</v>
      </c>
      <c r="I846" t="str">
        <f t="shared" si="155"/>
        <v>АРТ-275</v>
      </c>
      <c r="J846" s="6">
        <f t="shared" si="156"/>
        <v>3</v>
      </c>
      <c r="K846" s="4">
        <f>VALUE(SUBSTITUTE(SUBSTITUTE(SUBSTITUTE(SUBSTITUTE(D846,"$",""),"€",""),"₽","")," ",""))*IF(ISNUMBER(FIND("$",D846)),Справочники!$H$3,IF(ISNUMBER(FIND("€",D846)),Справочники!$H$4,1))</f>
        <v>9000</v>
      </c>
      <c r="L846" t="str">
        <f>IFERROR(VLOOKUP(TRIM(G846),Справочники!$D$3:$E$13,2,0),"Нет в справочнике")</f>
        <v>Завершен</v>
      </c>
      <c r="M846" t="str">
        <f t="shared" si="157"/>
        <v/>
      </c>
      <c r="N846" t="str">
        <f>IFERROR(VLOOKUP(I846,Товары_очищенные!$H$2:$J$502,3,0),"Нет в каталоге")</f>
        <v>Планшеты</v>
      </c>
      <c r="O846" s="4">
        <f>IFERROR(VLOOKUP(I846,Товары_очищенные!$H$2:$M$502,6,0),"")</f>
        <v>47000</v>
      </c>
      <c r="P846" t="str">
        <f t="shared" si="158"/>
        <v xml:space="preserve">Цена отличается от каталога</v>
      </c>
    </row>
    <row r="847">
      <c r="A847" s="3" t="s">
        <v>3673</v>
      </c>
      <c r="B847" s="3" t="s">
        <v>3675</v>
      </c>
      <c r="C847" s="3" t="s">
        <v>1900</v>
      </c>
      <c r="D847" s="3" t="s">
        <v>1925</v>
      </c>
      <c r="E847" s="3" t="s">
        <v>3676</v>
      </c>
      <c r="F847" s="3" t="s">
        <v>1790</v>
      </c>
      <c r="G847" s="3" t="s">
        <v>1918</v>
      </c>
      <c r="H847" s="5">
        <f t="shared" si="154"/>
        <v>46094</v>
      </c>
      <c r="I847" t="str">
        <f t="shared" si="155"/>
        <v>АРТ-151</v>
      </c>
      <c r="J847" s="6">
        <f t="shared" si="156"/>
        <v>2</v>
      </c>
      <c r="K847" s="4">
        <f>VALUE(SUBSTITUTE(SUBSTITUTE(SUBSTITUTE(SUBSTITUTE(D847,"$",""),"€",""),"₽","")," ",""))*IF(ISNUMBER(FIND("$",D847)),Справочники!$H$3,IF(ISNUMBER(FIND("€",D847)),Справочники!$H$4,1))</f>
        <v>8000</v>
      </c>
      <c r="L847" t="str">
        <f>IFERROR(VLOOKUP(TRIM(G847),Справочники!$D$3:$E$13,2,0),"Нет в справочнике")</f>
        <v>Отменен</v>
      </c>
      <c r="M847" t="str">
        <f t="shared" si="157"/>
        <v/>
      </c>
      <c r="N847" t="str">
        <f>IFERROR(VLOOKUP(I847,Товары_очищенные!$H$2:$J$502,3,0),"Нет в каталоге")</f>
        <v>Телевизоры</v>
      </c>
      <c r="O847" s="4">
        <f>IFERROR(VLOOKUP(I847,Товары_очищенные!$H$2:$M$502,6,0),"")</f>
        <v>154990</v>
      </c>
      <c r="P847" t="str">
        <f t="shared" si="158"/>
        <v xml:space="preserve">Цена отличается от каталога</v>
      </c>
    </row>
    <row r="848">
      <c r="A848" s="3" t="s">
        <v>3677</v>
      </c>
      <c r="B848" s="3" t="s">
        <v>171</v>
      </c>
      <c r="C848" s="3" t="s">
        <v>1905</v>
      </c>
      <c r="D848" s="3" t="s">
        <v>1964</v>
      </c>
      <c r="E848" s="3" t="s">
        <v>3678</v>
      </c>
      <c r="F848" s="3" t="s">
        <v>1856</v>
      </c>
      <c r="G848" s="3" t="s">
        <v>1924</v>
      </c>
      <c r="H848" s="5">
        <f t="shared" si="154"/>
        <v>46095</v>
      </c>
      <c r="I848" t="str">
        <f t="shared" si="155"/>
        <v>АРТ-031</v>
      </c>
      <c r="J848" s="6">
        <f t="shared" si="156"/>
        <v>1</v>
      </c>
      <c r="K848" s="4">
        <f>VALUE(SUBSTITUTE(SUBSTITUTE(SUBSTITUTE(SUBSTITUTE(D848,"$",""),"€",""),"₽","")," ",""))*IF(ISNUMBER(FIND("$",D848)),Справочники!$H$3,IF(ISNUMBER(FIND("€",D848)),Справочники!$H$4,1))</f>
        <v>9025</v>
      </c>
      <c r="L848" t="str">
        <f>IFERROR(VLOOKUP(TRIM(G848),Справочники!$D$3:$E$13,2,0),"Нет в справочнике")</f>
        <v>Отменен</v>
      </c>
      <c r="M848" t="str">
        <f t="shared" si="157"/>
        <v/>
      </c>
      <c r="N848" t="str">
        <f>IFERROR(VLOOKUP(I848,Товары_очищенные!$H$2:$J$502,3,0),"Нет в каталоге")</f>
        <v>Аксессуары</v>
      </c>
      <c r="O848" s="4">
        <f>IFERROR(VLOOKUP(I848,Товары_очищенные!$H$2:$M$502,6,0),"")</f>
        <v>8990</v>
      </c>
      <c r="P848" t="str">
        <f t="shared" si="158"/>
        <v>ОК</v>
      </c>
    </row>
    <row r="849">
      <c r="A849" s="3" t="s">
        <v>3677</v>
      </c>
      <c r="B849" s="3" t="s">
        <v>2881</v>
      </c>
      <c r="C849" s="3" t="s">
        <v>1900</v>
      </c>
      <c r="D849" s="3" t="s">
        <v>1968</v>
      </c>
      <c r="E849" s="3" t="s">
        <v>3679</v>
      </c>
      <c r="F849" s="3" t="s">
        <v>1708</v>
      </c>
      <c r="G849" s="3" t="s">
        <v>1903</v>
      </c>
      <c r="H849" s="5">
        <f t="shared" si="154"/>
        <v>46095</v>
      </c>
      <c r="I849" t="str">
        <f t="shared" si="155"/>
        <v>АРТ-414</v>
      </c>
      <c r="J849" s="6">
        <f t="shared" si="156"/>
        <v>2</v>
      </c>
      <c r="K849" s="4">
        <f>VALUE(SUBSTITUTE(SUBSTITUTE(SUBSTITUTE(SUBSTITUTE(D849,"$",""),"€",""),"₽","")," ",""))*IF(ISNUMBER(FIND("$",D849)),Справочники!$H$3,IF(ISNUMBER(FIND("€",D849)),Справочники!$H$4,1))</f>
        <v>7500</v>
      </c>
      <c r="L849" t="str">
        <f>IFERROR(VLOOKUP(TRIM(G849),Справочники!$D$3:$E$13,2,0),"Нет в справочнике")</f>
        <v>Завершен</v>
      </c>
      <c r="M849" t="str">
        <f t="shared" si="157"/>
        <v/>
      </c>
      <c r="N849" t="str">
        <f>IFERROR(VLOOKUP(I849,Товары_очищенные!$H$2:$J$502,3,0),"Нет в каталоге")</f>
        <v>Мониторы</v>
      </c>
      <c r="O849" s="4">
        <f>IFERROR(VLOOKUP(I849,Товары_очищенные!$H$2:$M$502,6,0),"")</f>
        <v>57000</v>
      </c>
      <c r="P849" t="str">
        <f t="shared" si="158"/>
        <v xml:space="preserve">Цена отличается от каталога</v>
      </c>
    </row>
    <row r="850">
      <c r="A850" s="3" t="s">
        <v>3680</v>
      </c>
      <c r="B850" s="3" t="s">
        <v>1185</v>
      </c>
      <c r="C850" s="3" t="s">
        <v>1910</v>
      </c>
      <c r="D850" s="3" t="s">
        <v>1971</v>
      </c>
      <c r="E850" s="3" t="s">
        <v>3681</v>
      </c>
      <c r="F850" s="3" t="s">
        <v>1838</v>
      </c>
      <c r="G850" s="3" t="s">
        <v>1927</v>
      </c>
      <c r="H850" s="5">
        <f t="shared" si="154"/>
        <v>46096</v>
      </c>
      <c r="I850" t="str">
        <f t="shared" si="155"/>
        <v>АРТ-333</v>
      </c>
      <c r="J850" s="6">
        <f t="shared" si="156"/>
        <v>3</v>
      </c>
      <c r="K850" s="4">
        <f>VALUE(SUBSTITUTE(SUBSTITUTE(SUBSTITUTE(SUBSTITUTE(D850,"$",""),"€",""),"₽","")," ",""))*IF(ISNUMBER(FIND("$",D850)),Справочники!$H$3,IF(ISNUMBER(FIND("€",D850)),Справочники!$H$4,1))</f>
        <v>7000</v>
      </c>
      <c r="L850" t="str">
        <f>IFERROR(VLOOKUP(TRIM(G850),Справочники!$D$3:$E$13,2,0),"Нет в справочнике")</f>
        <v>Возврат</v>
      </c>
      <c r="M850" t="str">
        <f t="shared" si="157"/>
        <v/>
      </c>
      <c r="N850" t="str">
        <f>IFERROR(VLOOKUP(I850,Товары_очищенные!$H$2:$J$502,3,0),"Нет в каталоге")</f>
        <v>Часы</v>
      </c>
      <c r="O850" s="4">
        <f>IFERROR(VLOOKUP(I850,Товары_очищенные!$H$2:$M$502,6,0),"")</f>
        <v>72000</v>
      </c>
      <c r="P850" t="str">
        <f t="shared" si="158"/>
        <v xml:space="preserve">Цена отличается от каталога</v>
      </c>
    </row>
    <row r="851">
      <c r="A851" s="3" t="s">
        <v>3680</v>
      </c>
      <c r="B851" s="3" t="s">
        <v>1312</v>
      </c>
      <c r="C851" s="3" t="s">
        <v>1942</v>
      </c>
      <c r="D851" s="3" t="s">
        <v>1943</v>
      </c>
      <c r="E851" s="3" t="s">
        <v>3682</v>
      </c>
      <c r="F851" s="3" t="s">
        <v>1759</v>
      </c>
      <c r="G851" s="3" t="s">
        <v>1908</v>
      </c>
      <c r="H851" s="5">
        <f t="shared" si="154"/>
        <v>46096</v>
      </c>
      <c r="I851" t="str">
        <f t="shared" si="155"/>
        <v>АРТ-391</v>
      </c>
      <c r="J851" s="6">
        <f t="shared" si="156"/>
        <v>-2</v>
      </c>
      <c r="K851" s="4">
        <f>VALUE(SUBSTITUTE(SUBSTITUTE(SUBSTITUTE(SUBSTITUTE(D851,"$",""),"€",""),"₽","")," ",""))*IF(ISNUMBER(FIND("$",D851)),Справочники!$H$3,IF(ISNUMBER(FIND("€",D851)),Справочники!$H$4,1))</f>
        <v>10925</v>
      </c>
      <c r="L851" t="str">
        <f>IFERROR(VLOOKUP(TRIM(G851),Справочники!$D$3:$E$13,2,0),"Нет в справочнике")</f>
        <v>Завершен</v>
      </c>
      <c r="M851" t="str">
        <f t="shared" si="157"/>
        <v/>
      </c>
      <c r="N851" t="str">
        <f>IFERROR(VLOOKUP(I851,Товары_очищенные!$H$2:$J$502,3,0),"Нет в каталоге")</f>
        <v>Наушники</v>
      </c>
      <c r="O851" s="4">
        <f>IFERROR(VLOOKUP(I851,Товары_очищенные!$H$2:$M$502,6,0),"")</f>
        <v>18990</v>
      </c>
      <c r="P851" t="str">
        <f t="shared" si="158"/>
        <v xml:space="preserve">Цена отличается от каталога</v>
      </c>
    </row>
    <row r="852">
      <c r="A852" s="3" t="s">
        <v>3683</v>
      </c>
      <c r="B852" s="3" t="s">
        <v>2120</v>
      </c>
      <c r="C852" s="3" t="s">
        <v>1905</v>
      </c>
      <c r="D852" s="3" t="s">
        <v>1934</v>
      </c>
      <c r="E852" s="3" t="s">
        <v>3684</v>
      </c>
      <c r="F852" s="3" t="s">
        <v>1642</v>
      </c>
      <c r="G852" s="3" t="s">
        <v>1913</v>
      </c>
      <c r="H852" s="5">
        <f t="shared" si="154"/>
        <v>46097</v>
      </c>
      <c r="I852" t="str">
        <f t="shared" si="155"/>
        <v>АРТ-348</v>
      </c>
      <c r="J852" s="6">
        <f t="shared" si="156"/>
        <v>1</v>
      </c>
      <c r="K852" s="4">
        <f>VALUE(SUBSTITUTE(SUBSTITUTE(SUBSTITUTE(SUBSTITUTE(D852,"$",""),"€",""),"₽","")," ",""))*IF(ISNUMBER(FIND("$",D852)),Справочники!$H$3,IF(ISNUMBER(FIND("€",D852)),Справочники!$H$4,1))</f>
        <v>9500</v>
      </c>
      <c r="L852" t="str">
        <f>IFERROR(VLOOKUP(TRIM(G852),Справочники!$D$3:$E$13,2,0),"Нет в справочнике")</f>
        <v>Завершен</v>
      </c>
      <c r="M852" t="str">
        <f t="shared" si="157"/>
        <v/>
      </c>
      <c r="N852" t="str">
        <f>IFERROR(VLOOKUP(I852,Товары_очищенные!$H$2:$J$502,3,0),"Нет в каталоге")</f>
        <v>Наушники</v>
      </c>
      <c r="O852" s="4">
        <f>IFERROR(VLOOKUP(I852,Товары_очищенные!$H$2:$M$502,6,0),"")</f>
        <v>20800</v>
      </c>
      <c r="P852" t="str">
        <f t="shared" si="158"/>
        <v xml:space="preserve">Цена отличается от каталога</v>
      </c>
    </row>
    <row r="853">
      <c r="A853" s="3" t="s">
        <v>3683</v>
      </c>
      <c r="B853" s="3" t="s">
        <v>3685</v>
      </c>
      <c r="C853" s="3" t="s">
        <v>1900</v>
      </c>
      <c r="D853" s="3" t="s">
        <v>1951</v>
      </c>
      <c r="E853" s="3" t="s">
        <v>3686</v>
      </c>
      <c r="F853" s="3" t="s">
        <v>1608</v>
      </c>
      <c r="G853" s="3" t="s">
        <v>1903</v>
      </c>
      <c r="H853" s="5">
        <f t="shared" si="154"/>
        <v>46097</v>
      </c>
      <c r="I853" t="str">
        <f t="shared" si="155"/>
        <v>АРТ-248</v>
      </c>
      <c r="J853" s="6">
        <f t="shared" si="156"/>
        <v>2</v>
      </c>
      <c r="K853" s="4">
        <f>VALUE(SUBSTITUTE(SUBSTITUTE(SUBSTITUTE(SUBSTITUTE(D853,"$",""),"€",""),"₽","")," ",""))*IF(ISNUMBER(FIND("$",D853)),Справочники!$H$3,IF(ISNUMBER(FIND("€",D853)),Справочники!$H$4,1))</f>
        <v>8500</v>
      </c>
      <c r="L853" t="str">
        <f>IFERROR(VLOOKUP(TRIM(G853),Справочники!$D$3:$E$13,2,0),"Нет в справочнике")</f>
        <v>Завершен</v>
      </c>
      <c r="M853" t="str">
        <f t="shared" si="157"/>
        <v/>
      </c>
      <c r="N853" t="str">
        <f>IFERROR(VLOOKUP(I853,Товары_очищенные!$H$2:$J$502,3,0),"Нет в каталоге")</f>
        <v>Аксессуары</v>
      </c>
      <c r="O853" s="4">
        <f>IFERROR(VLOOKUP(I853,Товары_очищенные!$H$2:$M$502,6,0),"")</f>
        <v>9500</v>
      </c>
      <c r="P853" t="str">
        <f t="shared" si="158"/>
        <v>ОК</v>
      </c>
    </row>
    <row r="854">
      <c r="A854" s="3" t="s">
        <v>3687</v>
      </c>
      <c r="B854" s="3" t="s">
        <v>3688</v>
      </c>
      <c r="C854" s="3" t="s">
        <v>1930</v>
      </c>
      <c r="D854" s="3" t="s">
        <v>1931</v>
      </c>
      <c r="E854" s="3" t="s">
        <v>3689</v>
      </c>
      <c r="F854" s="3" t="s">
        <v>1715</v>
      </c>
      <c r="G854" s="3" t="s">
        <v>1924</v>
      </c>
      <c r="H854" s="5">
        <f t="shared" si="154"/>
        <v>46098</v>
      </c>
      <c r="I854" t="str">
        <f t="shared" si="155"/>
        <v>АРТ-075</v>
      </c>
      <c r="J854" s="6">
        <f t="shared" si="156"/>
        <v>3</v>
      </c>
      <c r="K854" s="4">
        <f>VALUE(SUBSTITUTE(SUBSTITUTE(SUBSTITUTE(SUBSTITUTE(D854,"$",""),"€",""),"₽","")," ",""))*IF(ISNUMBER(FIND("$",D854)),Справочники!$H$3,IF(ISNUMBER(FIND("€",D854)),Справочники!$H$4,1))</f>
        <v>9975</v>
      </c>
      <c r="L854" t="str">
        <f>IFERROR(VLOOKUP(TRIM(G854),Справочники!$D$3:$E$13,2,0),"Нет в справочнике")</f>
        <v>Отменен</v>
      </c>
      <c r="M854" t="str">
        <f t="shared" si="157"/>
        <v/>
      </c>
      <c r="N854" t="str">
        <f>IFERROR(VLOOKUP(I854,Товары_очищенные!$H$2:$J$502,3,0),"Нет в каталоге")</f>
        <v>Мониторы</v>
      </c>
      <c r="O854" s="4">
        <f>IFERROR(VLOOKUP(I854,Товары_очищенные!$H$2:$M$502,6,0),"")</f>
        <v>82000</v>
      </c>
      <c r="P854" t="str">
        <f t="shared" si="158"/>
        <v xml:space="preserve">Цена отличается от каталога</v>
      </c>
    </row>
    <row r="855">
      <c r="A855" s="3" t="s">
        <v>3687</v>
      </c>
      <c r="B855" s="3" t="s">
        <v>2740</v>
      </c>
      <c r="C855" s="3" t="s">
        <v>1900</v>
      </c>
      <c r="D855" s="3" t="s">
        <v>1906</v>
      </c>
      <c r="E855" s="3" t="s">
        <v>3690</v>
      </c>
      <c r="F855" s="3" t="s">
        <v>1850</v>
      </c>
      <c r="G855" s="3" t="s">
        <v>1918</v>
      </c>
      <c r="H855" s="5">
        <f t="shared" si="154"/>
        <v>46098</v>
      </c>
      <c r="I855" t="str">
        <f t="shared" si="155"/>
        <v>АРТ-466</v>
      </c>
      <c r="J855" s="6">
        <f t="shared" si="156"/>
        <v>2</v>
      </c>
      <c r="K855" s="4">
        <f>VALUE(SUBSTITUTE(SUBSTITUTE(SUBSTITUTE(SUBSTITUTE(D855,"$",""),"€",""),"₽","")," ",""))*IF(ISNUMBER(FIND("$",D855)),Справочники!$H$3,IF(ISNUMBER(FIND("€",D855)),Справочники!$H$4,1))</f>
        <v>8500</v>
      </c>
      <c r="L855" t="str">
        <f>IFERROR(VLOOKUP(TRIM(G855),Справочники!$D$3:$E$13,2,0),"Нет в справочнике")</f>
        <v>Отменен</v>
      </c>
      <c r="M855" t="str">
        <f t="shared" si="157"/>
        <v/>
      </c>
      <c r="N855" t="str">
        <f>IFERROR(VLOOKUP(I855,Товары_очищенные!$H$2:$J$502,3,0),"Нет в каталоге")</f>
        <v>Смартфоны</v>
      </c>
      <c r="O855" s="4">
        <f>IFERROR(VLOOKUP(I855,Товары_очищенные!$H$2:$M$502,6,0),"")</f>
        <v>22990</v>
      </c>
      <c r="P855" t="str">
        <f t="shared" si="158"/>
        <v xml:space="preserve">Цена отличается от каталога</v>
      </c>
    </row>
    <row r="856">
      <c r="A856" s="3" t="s">
        <v>3691</v>
      </c>
      <c r="B856" s="3" t="s">
        <v>3243</v>
      </c>
      <c r="C856" s="3" t="s">
        <v>1938</v>
      </c>
      <c r="D856" s="3" t="s">
        <v>2166</v>
      </c>
      <c r="E856" s="3" t="s">
        <v>3692</v>
      </c>
      <c r="F856" s="3" t="s">
        <v>1615</v>
      </c>
      <c r="G856" s="3" t="s">
        <v>1927</v>
      </c>
      <c r="H856" s="5">
        <f t="shared" si="154"/>
        <v>46099</v>
      </c>
      <c r="I856" t="str">
        <f t="shared" si="155"/>
        <v>АРТ-324</v>
      </c>
      <c r="J856" s="6">
        <f t="shared" si="156"/>
        <v>1</v>
      </c>
      <c r="K856" s="4">
        <f>VALUE(SUBSTITUTE(SUBSTITUTE(SUBSTITUTE(SUBSTITUTE(D856,"$",""),"€",""),"₽","")," ",""))*IF(ISNUMBER(FIND("$",D856)),Справочники!$H$3,IF(ISNUMBER(FIND("€",D856)),Справочники!$H$4,1))</f>
        <v>7800</v>
      </c>
      <c r="L856" t="str">
        <f>IFERROR(VLOOKUP(TRIM(G856),Справочники!$D$3:$E$13,2,0),"Нет в справочнике")</f>
        <v>Возврат</v>
      </c>
      <c r="M856" t="str">
        <f t="shared" si="157"/>
        <v/>
      </c>
      <c r="N856" t="str">
        <f>IFERROR(VLOOKUP(I856,Товары_очищенные!$H$2:$J$502,3,0),"Нет в каталоге")</f>
        <v>Наушники</v>
      </c>
      <c r="O856" s="4">
        <f>IFERROR(VLOOKUP(I856,Товары_очищенные!$H$2:$M$502,6,0),"")</f>
        <v>13800</v>
      </c>
      <c r="P856" t="str">
        <f t="shared" si="158"/>
        <v xml:space="preserve">Цена отличается от каталога</v>
      </c>
    </row>
    <row r="857">
      <c r="A857" s="3" t="s">
        <v>3691</v>
      </c>
      <c r="B857" s="3" t="s">
        <v>2261</v>
      </c>
      <c r="C857" s="3" t="s">
        <v>1985</v>
      </c>
      <c r="D857" s="3" t="s">
        <v>2044</v>
      </c>
      <c r="E857" s="3" t="s">
        <v>3693</v>
      </c>
      <c r="F857" s="3" t="s">
        <v>1765</v>
      </c>
      <c r="G857" s="3" t="s">
        <v>1903</v>
      </c>
      <c r="H857" s="5">
        <f t="shared" si="154"/>
        <v>46099</v>
      </c>
      <c r="I857" t="str">
        <f t="shared" si="155"/>
        <v>АРТ-306</v>
      </c>
      <c r="J857" s="6">
        <f t="shared" si="156"/>
        <v>-3</v>
      </c>
      <c r="K857" s="4">
        <f>VALUE(SUBSTITUTE(SUBSTITUTE(SUBSTITUTE(SUBSTITUTE(D857,"$",""),"€",""),"₽","")," ",""))*IF(ISNUMBER(FIND("$",D857)),Справочники!$H$3,IF(ISNUMBER(FIND("€",D857)),Справочники!$H$4,1))</f>
        <v>11400</v>
      </c>
      <c r="L857" t="str">
        <f>IFERROR(VLOOKUP(TRIM(G857),Справочники!$D$3:$E$13,2,0),"Нет в справочнике")</f>
        <v>Завершен</v>
      </c>
      <c r="M857" t="str">
        <f t="shared" si="157"/>
        <v/>
      </c>
      <c r="N857" t="str">
        <f>IFERROR(VLOOKUP(I857,Товары_очищенные!$H$2:$J$502,3,0),"Нет в каталоге")</f>
        <v>Мониторы</v>
      </c>
      <c r="O857" s="4">
        <f>IFERROR(VLOOKUP(I857,Товары_очищенные!$H$2:$M$502,6,0),"")</f>
        <v>62000</v>
      </c>
      <c r="P857" t="str">
        <f t="shared" si="158"/>
        <v xml:space="preserve">Цена отличается от каталога</v>
      </c>
    </row>
    <row r="858">
      <c r="A858" s="3" t="s">
        <v>3694</v>
      </c>
      <c r="B858" s="3" t="s">
        <v>2236</v>
      </c>
      <c r="C858" s="3" t="s">
        <v>1900</v>
      </c>
      <c r="D858" s="3" t="s">
        <v>2046</v>
      </c>
      <c r="E858" s="3" t="s">
        <v>3695</v>
      </c>
      <c r="F858" s="3" t="s">
        <v>1688</v>
      </c>
      <c r="G858" s="3" t="s">
        <v>1908</v>
      </c>
      <c r="H858" s="5">
        <f t="shared" si="154"/>
        <v>46100</v>
      </c>
      <c r="I858" t="str">
        <f t="shared" si="155"/>
        <v>АРТ-291</v>
      </c>
      <c r="J858" s="6">
        <f t="shared" si="156"/>
        <v>2</v>
      </c>
      <c r="K858" s="4">
        <f>VALUE(SUBSTITUTE(SUBSTITUTE(SUBSTITUTE(SUBSTITUTE(D858,"$",""),"€",""),"₽","")," ",""))*IF(ISNUMBER(FIND("$",D858)),Справочники!$H$3,IF(ISNUMBER(FIND("€",D858)),Справочники!$H$4,1))</f>
        <v>10000</v>
      </c>
      <c r="L858" t="str">
        <f>IFERROR(VLOOKUP(TRIM(G858),Справочники!$D$3:$E$13,2,0),"Нет в справочнике")</f>
        <v>Завершен</v>
      </c>
      <c r="M858" t="str">
        <f t="shared" si="157"/>
        <v/>
      </c>
      <c r="N858" t="str">
        <f>IFERROR(VLOOKUP(I858,Товары_очищенные!$H$2:$J$502,3,0),"Нет в каталоге")</f>
        <v>Часы</v>
      </c>
      <c r="O858" s="4">
        <f>IFERROR(VLOOKUP(I858,Товары_очищенные!$H$2:$M$502,6,0),"")</f>
        <v>65000</v>
      </c>
      <c r="P858" t="str">
        <f t="shared" si="158"/>
        <v xml:space="preserve">Цена отличается от каталога</v>
      </c>
    </row>
    <row r="859">
      <c r="A859" s="3" t="s">
        <v>3694</v>
      </c>
      <c r="B859" s="3" t="s">
        <v>3226</v>
      </c>
      <c r="C859" s="3" t="s">
        <v>1905</v>
      </c>
      <c r="D859" s="3" t="s">
        <v>2087</v>
      </c>
      <c r="E859" s="3" t="s">
        <v>3696</v>
      </c>
      <c r="F859" s="3" t="s">
        <v>1832</v>
      </c>
      <c r="G859" s="3" t="s">
        <v>1913</v>
      </c>
      <c r="H859" s="5">
        <f t="shared" si="154"/>
        <v>46100</v>
      </c>
      <c r="I859" t="str">
        <f t="shared" si="155"/>
        <v>АРТ-293</v>
      </c>
      <c r="J859" s="6">
        <f t="shared" si="156"/>
        <v>1</v>
      </c>
      <c r="K859" s="4">
        <f>VALUE(SUBSTITUTE(SUBSTITUTE(SUBSTITUTE(SUBSTITUTE(D859,"$",""),"€",""),"₽","")," ",""))*IF(ISNUMBER(FIND("$",D859)),Справочники!$H$3,IF(ISNUMBER(FIND("€",D859)),Справочники!$H$4,1))</f>
        <v>9200</v>
      </c>
      <c r="L859" t="str">
        <f>IFERROR(VLOOKUP(TRIM(G859),Справочники!$D$3:$E$13,2,0),"Нет в справочнике")</f>
        <v>Завершен</v>
      </c>
      <c r="M859" t="str">
        <f t="shared" si="157"/>
        <v/>
      </c>
      <c r="N859" t="str">
        <f>IFERROR(VLOOKUP(I859,Товары_очищенные!$H$2:$J$502,3,0),"Нет в каталоге")</f>
        <v>Ноутбуки</v>
      </c>
      <c r="O859" s="4">
        <f>IFERROR(VLOOKUP(I859,Товары_очищенные!$H$2:$M$502,6,0),"")</f>
        <v>132000</v>
      </c>
      <c r="P859" t="str">
        <f t="shared" si="158"/>
        <v xml:space="preserve">Цена отличается от каталога</v>
      </c>
    </row>
    <row r="860">
      <c r="A860" s="3" t="s">
        <v>3697</v>
      </c>
      <c r="B860" s="3" t="s">
        <v>3698</v>
      </c>
      <c r="C860" s="3" t="s">
        <v>1930</v>
      </c>
      <c r="D860" s="3" t="s">
        <v>1986</v>
      </c>
      <c r="E860" s="3" t="s">
        <v>3699</v>
      </c>
      <c r="F860" s="3" t="s">
        <v>1594</v>
      </c>
      <c r="G860" s="3" t="s">
        <v>1918</v>
      </c>
      <c r="H860" s="5">
        <f t="shared" si="154"/>
        <v>46101</v>
      </c>
      <c r="I860" t="str">
        <f t="shared" si="155"/>
        <v>АРТ-113</v>
      </c>
      <c r="J860" s="6">
        <f t="shared" si="156"/>
        <v>3</v>
      </c>
      <c r="K860" s="4">
        <f>VALUE(SUBSTITUTE(SUBSTITUTE(SUBSTITUTE(SUBSTITUTE(D860,"$",""),"€",""),"₽","")," ",""))*IF(ISNUMBER(FIND("$",D860)),Справочники!$H$3,IF(ISNUMBER(FIND("€",D860)),Справочники!$H$4,1))</f>
        <v>8550</v>
      </c>
      <c r="L860" t="str">
        <f>IFERROR(VLOOKUP(TRIM(G860),Справочники!$D$3:$E$13,2,0),"Нет в справочнике")</f>
        <v>Отменен</v>
      </c>
      <c r="M860" t="str">
        <f t="shared" si="157"/>
        <v/>
      </c>
      <c r="N860" t="str">
        <f>IFERROR(VLOOKUP(I860,Товары_очищенные!$H$2:$J$502,3,0),"Нет в каталоге")</f>
        <v>Наушники</v>
      </c>
      <c r="O860" s="4">
        <f>IFERROR(VLOOKUP(I860,Товары_очищенные!$H$2:$M$502,6,0),"")</f>
        <v>33500</v>
      </c>
      <c r="P860" t="str">
        <f t="shared" si="158"/>
        <v xml:space="preserve">Цена отличается от каталога</v>
      </c>
    </row>
    <row r="861">
      <c r="A861" s="3" t="s">
        <v>3697</v>
      </c>
      <c r="B861" s="3" t="s">
        <v>2703</v>
      </c>
      <c r="C861" s="3" t="s">
        <v>1900</v>
      </c>
      <c r="D861" s="3" t="s">
        <v>1989</v>
      </c>
      <c r="E861" s="3" t="s">
        <v>3700</v>
      </c>
      <c r="F861" s="3" t="s">
        <v>1796</v>
      </c>
      <c r="G861" s="3" t="s">
        <v>1924</v>
      </c>
      <c r="H861" s="5">
        <f t="shared" si="154"/>
        <v>46101</v>
      </c>
      <c r="I861" t="str">
        <f t="shared" si="155"/>
        <v>АРТ-438</v>
      </c>
      <c r="J861" s="6">
        <f t="shared" si="156"/>
        <v>2</v>
      </c>
      <c r="K861" s="4">
        <f>VALUE(SUBSTITUTE(SUBSTITUTE(SUBSTITUTE(SUBSTITUTE(D861,"$",""),"€",""),"₽","")," ",""))*IF(ISNUMBER(FIND("$",D861)),Справочники!$H$3,IF(ISNUMBER(FIND("€",D861)),Справочники!$H$4,1))</f>
        <v>7000</v>
      </c>
      <c r="L861" t="str">
        <f>IFERROR(VLOOKUP(TRIM(G861),Справочники!$D$3:$E$13,2,0),"Нет в справочнике")</f>
        <v>Отменен</v>
      </c>
      <c r="M861" t="str">
        <f t="shared" si="157"/>
        <v/>
      </c>
      <c r="N861" t="str">
        <f>IFERROR(VLOOKUP(I861,Товары_очищенные!$H$2:$J$502,3,0),"Нет в каталоге")</f>
        <v>Аксессуары</v>
      </c>
      <c r="O861" s="4">
        <f>IFERROR(VLOOKUP(I861,Товары_очищенные!$H$2:$M$502,6,0),"")</f>
        <v>6800</v>
      </c>
      <c r="P861" t="str">
        <f t="shared" si="158"/>
        <v>ОК</v>
      </c>
    </row>
    <row r="862">
      <c r="A862" s="3" t="s">
        <v>3701</v>
      </c>
      <c r="B862" s="3" t="s">
        <v>2743</v>
      </c>
      <c r="C862" s="3" t="s">
        <v>1938</v>
      </c>
      <c r="D862" s="3" t="s">
        <v>1939</v>
      </c>
      <c r="E862" s="3" t="s">
        <v>3702</v>
      </c>
      <c r="F862" s="3" t="s">
        <v>1656</v>
      </c>
      <c r="G862" s="3" t="s">
        <v>1903</v>
      </c>
      <c r="H862" s="5">
        <f t="shared" si="154"/>
        <v>46102</v>
      </c>
      <c r="I862" t="str">
        <f t="shared" si="155"/>
        <v>АРТ-334</v>
      </c>
      <c r="J862" s="6">
        <f t="shared" si="156"/>
        <v>1</v>
      </c>
      <c r="K862" s="4">
        <f>VALUE(SUBSTITUTE(SUBSTITUTE(SUBSTITUTE(SUBSTITUTE(D862,"$",""),"€",""),"₽","")," ",""))*IF(ISNUMBER(FIND("$",D862)),Справочники!$H$3,IF(ISNUMBER(FIND("€",D862)),Справочники!$H$4,1))</f>
        <v>6500</v>
      </c>
      <c r="L862" t="str">
        <f>IFERROR(VLOOKUP(TRIM(G862),Справочники!$D$3:$E$13,2,0),"Нет в справочнике")</f>
        <v>Завершен</v>
      </c>
      <c r="M862" t="str">
        <f t="shared" si="157"/>
        <v/>
      </c>
      <c r="N862" t="str">
        <f>IFERROR(VLOOKUP(I862,Товары_очищенные!$H$2:$J$502,3,0),"Нет в каталоге")</f>
        <v>Планшеты</v>
      </c>
      <c r="O862" s="4">
        <f>IFERROR(VLOOKUP(I862,Товары_очищенные!$H$2:$M$502,6,0),"")</f>
        <v>48990</v>
      </c>
      <c r="P862" t="str">
        <f t="shared" si="158"/>
        <v xml:space="preserve">Цена отличается от каталога</v>
      </c>
    </row>
    <row r="863">
      <c r="A863" s="3" t="s">
        <v>3701</v>
      </c>
      <c r="B863" s="3" t="s">
        <v>3703</v>
      </c>
      <c r="C863" s="3" t="s">
        <v>1915</v>
      </c>
      <c r="D863" s="3" t="s">
        <v>1916</v>
      </c>
      <c r="E863" s="3" t="s">
        <v>3704</v>
      </c>
      <c r="F863" s="3" t="s">
        <v>1746</v>
      </c>
      <c r="G863" s="3" t="s">
        <v>1927</v>
      </c>
      <c r="H863" s="5">
        <f t="shared" si="154"/>
        <v>46102</v>
      </c>
      <c r="I863" t="str">
        <f t="shared" si="155"/>
        <v>АРТ-402</v>
      </c>
      <c r="J863" s="6">
        <f t="shared" si="156"/>
        <v>-1</v>
      </c>
      <c r="K863" s="4">
        <f>VALUE(SUBSTITUTE(SUBSTITUTE(SUBSTITUTE(SUBSTITUTE(D863,"$",""),"€",""),"₽","")," ",""))*IF(ISNUMBER(FIND("$",D863)),Справочники!$H$3,IF(ISNUMBER(FIND("€",D863)),Справочники!$H$4,1))</f>
        <v>10450</v>
      </c>
      <c r="L863" t="str">
        <f>IFERROR(VLOOKUP(TRIM(G863),Справочники!$D$3:$E$13,2,0),"Нет в справочнике")</f>
        <v>Возврат</v>
      </c>
      <c r="M863" t="str">
        <f t="shared" si="157"/>
        <v/>
      </c>
      <c r="N863" t="str">
        <f>IFERROR(VLOOKUP(I863,Товары_очищенные!$H$2:$J$502,3,0),"Нет в каталоге")</f>
        <v>Смартфоны</v>
      </c>
      <c r="O863" s="4">
        <f>IFERROR(VLOOKUP(I863,Товары_очищенные!$H$2:$M$502,6,0),"")</f>
        <v>21000</v>
      </c>
      <c r="P863" t="str">
        <f t="shared" si="158"/>
        <v xml:space="preserve">Цена отличается от каталога</v>
      </c>
    </row>
    <row r="864">
      <c r="A864" s="3" t="s">
        <v>3705</v>
      </c>
      <c r="B864" s="3" t="s">
        <v>1086</v>
      </c>
      <c r="C864" s="3" t="s">
        <v>1930</v>
      </c>
      <c r="D864" s="3" t="s">
        <v>1922</v>
      </c>
      <c r="E864" s="3" t="s">
        <v>3706</v>
      </c>
      <c r="F864" s="3" t="s">
        <v>1622</v>
      </c>
      <c r="G864" s="3" t="s">
        <v>1908</v>
      </c>
      <c r="H864" s="5">
        <f t="shared" si="154"/>
        <v>46103</v>
      </c>
      <c r="I864" t="str">
        <f t="shared" si="155"/>
        <v>АРТ-296</v>
      </c>
      <c r="J864" s="6">
        <f t="shared" si="156"/>
        <v>3</v>
      </c>
      <c r="K864" s="4">
        <f>VALUE(SUBSTITUTE(SUBSTITUTE(SUBSTITUTE(SUBSTITUTE(D864,"$",""),"€",""),"₽","")," ",""))*IF(ISNUMBER(FIND("$",D864)),Справочники!$H$3,IF(ISNUMBER(FIND("€",D864)),Справочники!$H$4,1))</f>
        <v>9000</v>
      </c>
      <c r="L864" t="str">
        <f>IFERROR(VLOOKUP(TRIM(G864),Справочники!$D$3:$E$13,2,0),"Нет в справочнике")</f>
        <v>Завершен</v>
      </c>
      <c r="M864" t="str">
        <f t="shared" si="157"/>
        <v/>
      </c>
      <c r="N864" t="str">
        <f>IFERROR(VLOOKUP(I864,Товары_очищенные!$H$2:$J$502,3,0),"Нет в каталоге")</f>
        <v>Смартфоны</v>
      </c>
      <c r="O864" s="4">
        <f>IFERROR(VLOOKUP(I864,Товары_очищенные!$H$2:$M$502,6,0),"")</f>
        <v>33500</v>
      </c>
      <c r="P864" t="str">
        <f t="shared" si="158"/>
        <v xml:space="preserve">Цена отличается от каталога</v>
      </c>
    </row>
    <row r="865">
      <c r="A865" s="3" t="s">
        <v>3705</v>
      </c>
      <c r="B865" s="3" t="s">
        <v>573</v>
      </c>
      <c r="C865" s="3" t="s">
        <v>1900</v>
      </c>
      <c r="D865" s="3" t="s">
        <v>1925</v>
      </c>
      <c r="E865" s="3" t="s">
        <v>3707</v>
      </c>
      <c r="F865" s="3" t="s">
        <v>1826</v>
      </c>
      <c r="G865" s="3" t="s">
        <v>1913</v>
      </c>
      <c r="H865" s="5">
        <f t="shared" si="154"/>
        <v>46103</v>
      </c>
      <c r="I865" t="str">
        <f t="shared" si="155"/>
        <v>АРТ-132</v>
      </c>
      <c r="J865" s="6">
        <f t="shared" si="156"/>
        <v>2</v>
      </c>
      <c r="K865" s="4">
        <f>VALUE(SUBSTITUTE(SUBSTITUTE(SUBSTITUTE(SUBSTITUTE(D865,"$",""),"€",""),"₽","")," ",""))*IF(ISNUMBER(FIND("$",D865)),Справочники!$H$3,IF(ISNUMBER(FIND("€",D865)),Справочники!$H$4,1))</f>
        <v>8000</v>
      </c>
      <c r="L865" t="str">
        <f>IFERROR(VLOOKUP(TRIM(G865),Справочники!$D$3:$E$13,2,0),"Нет в справочнике")</f>
        <v>Завершен</v>
      </c>
      <c r="M865" t="str">
        <f t="shared" si="157"/>
        <v/>
      </c>
      <c r="N865" t="str">
        <f>IFERROR(VLOOKUP(I865,Товары_очищенные!$H$2:$J$502,3,0),"Нет в каталоге")</f>
        <v>Планшеты</v>
      </c>
      <c r="O865" s="4">
        <f>IFERROR(VLOOKUP(I865,Товары_очищенные!$H$2:$M$502,6,0),"")</f>
        <v>44500</v>
      </c>
      <c r="P865" t="str">
        <f t="shared" si="158"/>
        <v xml:space="preserve">Цена отличается от каталога</v>
      </c>
    </row>
    <row r="866">
      <c r="A866" s="3" t="s">
        <v>3708</v>
      </c>
      <c r="B866" s="3" t="s">
        <v>3286</v>
      </c>
      <c r="C866" s="3" t="s">
        <v>1905</v>
      </c>
      <c r="D866" s="3" t="s">
        <v>1964</v>
      </c>
      <c r="E866" s="3" t="s">
        <v>3709</v>
      </c>
      <c r="F866" s="3" t="s">
        <v>1676</v>
      </c>
      <c r="G866" s="3" t="s">
        <v>1903</v>
      </c>
      <c r="H866" s="5">
        <f t="shared" si="154"/>
        <v>46104</v>
      </c>
      <c r="I866" t="str">
        <f t="shared" si="155"/>
        <v>АРТ-150</v>
      </c>
      <c r="J866" s="6">
        <f t="shared" si="156"/>
        <v>1</v>
      </c>
      <c r="K866" s="4">
        <f>VALUE(SUBSTITUTE(SUBSTITUTE(SUBSTITUTE(SUBSTITUTE(D866,"$",""),"€",""),"₽","")," ",""))*IF(ISNUMBER(FIND("$",D866)),Справочники!$H$3,IF(ISNUMBER(FIND("€",D866)),Справочники!$H$4,1))</f>
        <v>9025</v>
      </c>
      <c r="L866" t="str">
        <f>IFERROR(VLOOKUP(TRIM(G866),Справочники!$D$3:$E$13,2,0),"Нет в справочнике")</f>
        <v>Завершен</v>
      </c>
      <c r="M866" t="str">
        <f t="shared" si="157"/>
        <v/>
      </c>
      <c r="N866" t="str">
        <f>IFERROR(VLOOKUP(I866,Товары_очищенные!$H$2:$J$502,3,0),"Нет в каталоге")</f>
        <v>Ноутбуки</v>
      </c>
      <c r="O866" s="4">
        <f>IFERROR(VLOOKUP(I866,Товары_очищенные!$H$2:$M$502,6,0),"")</f>
        <v>142500</v>
      </c>
      <c r="P866" t="str">
        <f t="shared" si="158"/>
        <v xml:space="preserve">Цена отличается от каталога</v>
      </c>
    </row>
    <row r="867">
      <c r="A867" s="3" t="s">
        <v>3708</v>
      </c>
      <c r="B867" s="3" t="s">
        <v>1947</v>
      </c>
      <c r="C867" s="3" t="s">
        <v>1900</v>
      </c>
      <c r="D867" s="3" t="s">
        <v>1968</v>
      </c>
      <c r="E867" s="3" t="s">
        <v>3710</v>
      </c>
      <c r="F867" s="3" t="s">
        <v>1772</v>
      </c>
      <c r="G867" s="3" t="s">
        <v>1924</v>
      </c>
      <c r="H867" s="5">
        <f t="shared" si="154"/>
        <v>46104</v>
      </c>
      <c r="I867" t="str">
        <f t="shared" si="155"/>
        <v>АРТ-478</v>
      </c>
      <c r="J867" s="6">
        <f t="shared" si="156"/>
        <v>2</v>
      </c>
      <c r="K867" s="4">
        <f>VALUE(SUBSTITUTE(SUBSTITUTE(SUBSTITUTE(SUBSTITUTE(D867,"$",""),"€",""),"₽","")," ",""))*IF(ISNUMBER(FIND("$",D867)),Справочники!$H$3,IF(ISNUMBER(FIND("€",D867)),Справочники!$H$4,1))</f>
        <v>7500</v>
      </c>
      <c r="L867" t="str">
        <f>IFERROR(VLOOKUP(TRIM(G867),Справочники!$D$3:$E$13,2,0),"Нет в справочнике")</f>
        <v>Отменен</v>
      </c>
      <c r="M867" t="str">
        <f t="shared" si="157"/>
        <v/>
      </c>
      <c r="N867" t="str">
        <f>IFERROR(VLOOKUP(I867,Товары_очищенные!$H$2:$J$502,3,0),"Нет в каталоге")</f>
        <v>Аксессуары</v>
      </c>
      <c r="O867" s="4">
        <f>IFERROR(VLOOKUP(I867,Товары_очищенные!$H$2:$M$502,6,0),"")</f>
        <v>12990</v>
      </c>
      <c r="P867" t="str">
        <f t="shared" si="158"/>
        <v xml:space="preserve">Цена отличается от каталога</v>
      </c>
    </row>
    <row r="868">
      <c r="A868" s="3" t="s">
        <v>3711</v>
      </c>
      <c r="B868" s="3" t="s">
        <v>3302</v>
      </c>
      <c r="C868" s="3" t="s">
        <v>1910</v>
      </c>
      <c r="D868" s="3" t="s">
        <v>1971</v>
      </c>
      <c r="E868" s="3" t="s">
        <v>3712</v>
      </c>
      <c r="F868" s="3" t="s">
        <v>1874</v>
      </c>
      <c r="G868" s="3" t="s">
        <v>1918</v>
      </c>
      <c r="H868" s="5">
        <f t="shared" ref="H868:H931" si="159">DATE(VALUE(RIGHT(A868,4)),VALUE(LEFT(A868,2)),VALUE(MID(A868,4,2)))</f>
        <v>46105</v>
      </c>
      <c r="I868" t="str">
        <f t="shared" ref="I868:I931" si="160">"АРТ-"&amp;TEXT(VALUE(LEFT(SUBSTITUTE(SUBSTITUTE(SUBSTITUTE(SUBSTITUTE(TRIM(B868),"№",""),"АРТ-",""),"АРТ_",""),"АРТ",""),3)),"000")</f>
        <v>АРТ-300</v>
      </c>
      <c r="J868" s="6">
        <f t="shared" ref="J868:J931" si="161">VALUE(TRIM(SUBSTITUTE(SUBSTITUTE(TRIM(C868),"шт.",""),"шт","")))</f>
        <v>3</v>
      </c>
      <c r="K868" s="4">
        <f>VALUE(SUBSTITUTE(SUBSTITUTE(SUBSTITUTE(SUBSTITUTE(D868,"$",""),"€",""),"₽","")," ",""))*IF(ISNUMBER(FIND("$",D868)),Справочники!$H$3,IF(ISNUMBER(FIND("€",D868)),Справочники!$H$4,1))</f>
        <v>7000</v>
      </c>
      <c r="L868" t="str">
        <f>IFERROR(VLOOKUP(TRIM(G868),Справочники!$D$3:$E$13,2,0),"Нет в справочнике")</f>
        <v>Отменен</v>
      </c>
      <c r="M868" t="str">
        <f t="shared" ref="M868:M931" si="162">IF(COUNTIFS($H$2:H868,H868,$I$2:I868,I868,$E$2:E868,E868)&gt;1,"Дубликат","")</f>
        <v/>
      </c>
      <c r="N868" t="str">
        <f>IFERROR(VLOOKUP(I868,Товары_очищенные!$H$2:$J$502,3,0),"Нет в каталоге")</f>
        <v>Телевизоры</v>
      </c>
      <c r="O868" s="4">
        <f>IFERROR(VLOOKUP(I868,Товары_очищенные!$H$2:$M$502,6,0),"")</f>
        <v>68000</v>
      </c>
      <c r="P868" t="str">
        <f t="shared" ref="P868:P931" si="163">IF(O868="","Нет в каталоге",IF(ABS(K868/O868-1)&lt;=0.2,"ОК","Цена отличается от каталога"))</f>
        <v xml:space="preserve">Цена отличается от каталога</v>
      </c>
    </row>
    <row r="869">
      <c r="A869" s="3" t="s">
        <v>3711</v>
      </c>
      <c r="B869" s="3" t="s">
        <v>3386</v>
      </c>
      <c r="C869" s="3" t="s">
        <v>1942</v>
      </c>
      <c r="D869" s="3" t="s">
        <v>1943</v>
      </c>
      <c r="E869" s="3" t="s">
        <v>3713</v>
      </c>
      <c r="F869" s="3" t="s">
        <v>1601</v>
      </c>
      <c r="G869" s="3" t="s">
        <v>1927</v>
      </c>
      <c r="H869" s="5">
        <f t="shared" si="159"/>
        <v>46105</v>
      </c>
      <c r="I869" t="str">
        <f t="shared" si="160"/>
        <v>АРТ-236</v>
      </c>
      <c r="J869" s="6">
        <f t="shared" si="161"/>
        <v>-2</v>
      </c>
      <c r="K869" s="4">
        <f>VALUE(SUBSTITUTE(SUBSTITUTE(SUBSTITUTE(SUBSTITUTE(D869,"$",""),"€",""),"₽","")," ",""))*IF(ISNUMBER(FIND("$",D869)),Справочники!$H$3,IF(ISNUMBER(FIND("€",D869)),Справочники!$H$4,1))</f>
        <v>10925</v>
      </c>
      <c r="L869" t="str">
        <f>IFERROR(VLOOKUP(TRIM(G869),Справочники!$D$3:$E$13,2,0),"Нет в справочнике")</f>
        <v>Возврат</v>
      </c>
      <c r="M869" t="str">
        <f t="shared" si="162"/>
        <v/>
      </c>
      <c r="N869" t="str">
        <f>IFERROR(VLOOKUP(I869,Товары_очищенные!$H$2:$J$502,3,0),"Нет в каталоге")</f>
        <v>Планшеты</v>
      </c>
      <c r="O869" s="4">
        <f>IFERROR(VLOOKUP(I869,Товары_очищенные!$H$2:$M$502,6,0),"")</f>
        <v>58000</v>
      </c>
      <c r="P869" t="str">
        <f t="shared" si="163"/>
        <v xml:space="preserve">Цена отличается от каталога</v>
      </c>
    </row>
    <row r="870">
      <c r="A870" s="3" t="s">
        <v>3714</v>
      </c>
      <c r="B870" s="3" t="s">
        <v>3715</v>
      </c>
      <c r="C870" s="3" t="s">
        <v>1905</v>
      </c>
      <c r="D870" s="3" t="s">
        <v>1934</v>
      </c>
      <c r="E870" s="3" t="s">
        <v>3716</v>
      </c>
      <c r="F870" s="3" t="s">
        <v>1721</v>
      </c>
      <c r="G870" s="3" t="s">
        <v>1903</v>
      </c>
      <c r="H870" s="5">
        <f t="shared" si="159"/>
        <v>46106</v>
      </c>
      <c r="I870" t="str">
        <f t="shared" si="160"/>
        <v>АРТ-355</v>
      </c>
      <c r="J870" s="6">
        <f t="shared" si="161"/>
        <v>1</v>
      </c>
      <c r="K870" s="4">
        <f>VALUE(SUBSTITUTE(SUBSTITUTE(SUBSTITUTE(SUBSTITUTE(D870,"$",""),"€",""),"₽","")," ",""))*IF(ISNUMBER(FIND("$",D870)),Справочники!$H$3,IF(ISNUMBER(FIND("€",D870)),Справочники!$H$4,1))</f>
        <v>9500</v>
      </c>
      <c r="L870" t="str">
        <f>IFERROR(VLOOKUP(TRIM(G870),Справочники!$D$3:$E$13,2,0),"Нет в справочнике")</f>
        <v>Завершен</v>
      </c>
      <c r="M870" t="str">
        <f t="shared" si="162"/>
        <v/>
      </c>
      <c r="N870" t="str">
        <f>IFERROR(VLOOKUP(I870,Товары_очищенные!$H$2:$J$502,3,0),"Нет в каталоге")</f>
        <v>Смартфоны</v>
      </c>
      <c r="O870" s="4">
        <f>IFERROR(VLOOKUP(I870,Товары_очищенные!$H$2:$M$502,6,0),"")</f>
        <v>85990</v>
      </c>
      <c r="P870" t="str">
        <f t="shared" si="163"/>
        <v xml:space="preserve">Цена отличается от каталога</v>
      </c>
    </row>
    <row r="871">
      <c r="A871" s="3" t="s">
        <v>3714</v>
      </c>
      <c r="B871" s="3" t="s">
        <v>2185</v>
      </c>
      <c r="C871" s="3" t="s">
        <v>1900</v>
      </c>
      <c r="D871" s="3" t="s">
        <v>1951</v>
      </c>
      <c r="E871" s="3" t="s">
        <v>3717</v>
      </c>
      <c r="F871" s="3" t="s">
        <v>1663</v>
      </c>
      <c r="G871" s="3" t="s">
        <v>1908</v>
      </c>
      <c r="H871" s="5">
        <f t="shared" si="159"/>
        <v>46106</v>
      </c>
      <c r="I871" t="str">
        <f t="shared" si="160"/>
        <v>АРТ-184</v>
      </c>
      <c r="J871" s="6">
        <f t="shared" si="161"/>
        <v>2</v>
      </c>
      <c r="K871" s="4">
        <f>VALUE(SUBSTITUTE(SUBSTITUTE(SUBSTITUTE(SUBSTITUTE(D871,"$",""),"€",""),"₽","")," ",""))*IF(ISNUMBER(FIND("$",D871)),Справочники!$H$3,IF(ISNUMBER(FIND("€",D871)),Справочники!$H$4,1))</f>
        <v>8500</v>
      </c>
      <c r="L871" t="str">
        <f>IFERROR(VLOOKUP(TRIM(G871),Справочники!$D$3:$E$13,2,0),"Нет в справочнике")</f>
        <v>Завершен</v>
      </c>
      <c r="M871" t="str">
        <f t="shared" si="162"/>
        <v/>
      </c>
      <c r="N871" t="str">
        <f>IFERROR(VLOOKUP(I871,Товары_очищенные!$H$2:$J$502,3,0),"Нет в каталоге")</f>
        <v>Аксессуары</v>
      </c>
      <c r="O871" s="4">
        <f>IFERROR(VLOOKUP(I871,Товары_очищенные!$H$2:$M$502,6,0),"")</f>
        <v>19990</v>
      </c>
      <c r="P871" t="str">
        <f t="shared" si="163"/>
        <v xml:space="preserve">Цена отличается от каталога</v>
      </c>
    </row>
    <row r="872">
      <c r="A872" s="3" t="s">
        <v>3718</v>
      </c>
      <c r="B872" s="3" t="s">
        <v>3493</v>
      </c>
      <c r="C872" s="3" t="s">
        <v>1930</v>
      </c>
      <c r="D872" s="3" t="s">
        <v>1931</v>
      </c>
      <c r="E872" s="3" t="s">
        <v>3719</v>
      </c>
      <c r="F872" s="3" t="s">
        <v>1802</v>
      </c>
      <c r="G872" s="3" t="s">
        <v>1913</v>
      </c>
      <c r="H872" s="5">
        <f t="shared" si="159"/>
        <v>46107</v>
      </c>
      <c r="I872" t="str">
        <f t="shared" si="160"/>
        <v>АРТ-083</v>
      </c>
      <c r="J872" s="6">
        <f t="shared" si="161"/>
        <v>3</v>
      </c>
      <c r="K872" s="4">
        <f>VALUE(SUBSTITUTE(SUBSTITUTE(SUBSTITUTE(SUBSTITUTE(D872,"$",""),"€",""),"₽","")," ",""))*IF(ISNUMBER(FIND("$",D872)),Справочники!$H$3,IF(ISNUMBER(FIND("€",D872)),Справочники!$H$4,1))</f>
        <v>9975</v>
      </c>
      <c r="L872" t="str">
        <f>IFERROR(VLOOKUP(TRIM(G872),Справочники!$D$3:$E$13,2,0),"Нет в справочнике")</f>
        <v>Завершен</v>
      </c>
      <c r="M872" t="str">
        <f t="shared" si="162"/>
        <v/>
      </c>
      <c r="N872" t="str">
        <f>IFERROR(VLOOKUP(I872,Товары_очищенные!$H$2:$J$502,3,0),"Нет в каталоге")</f>
        <v>Часы</v>
      </c>
      <c r="O872" s="4">
        <f>IFERROR(VLOOKUP(I872,Товары_очищенные!$H$2:$M$502,6,0),"")</f>
        <v>38500</v>
      </c>
      <c r="P872" t="str">
        <f t="shared" si="163"/>
        <v xml:space="preserve">Цена отличается от каталога</v>
      </c>
    </row>
    <row r="873">
      <c r="A873" s="3" t="s">
        <v>3718</v>
      </c>
      <c r="B873" s="3" t="s">
        <v>2893</v>
      </c>
      <c r="C873" s="3" t="s">
        <v>1900</v>
      </c>
      <c r="D873" s="3" t="s">
        <v>1906</v>
      </c>
      <c r="E873" s="3" t="s">
        <v>3720</v>
      </c>
      <c r="F873" s="3" t="s">
        <v>1868</v>
      </c>
      <c r="G873" s="3" t="s">
        <v>1918</v>
      </c>
      <c r="H873" s="5">
        <f t="shared" si="159"/>
        <v>46107</v>
      </c>
      <c r="I873" t="str">
        <f t="shared" si="160"/>
        <v>АРТ-442</v>
      </c>
      <c r="J873" s="6">
        <f t="shared" si="161"/>
        <v>2</v>
      </c>
      <c r="K873" s="4">
        <f>VALUE(SUBSTITUTE(SUBSTITUTE(SUBSTITUTE(SUBSTITUTE(D873,"$",""),"€",""),"₽","")," ",""))*IF(ISNUMBER(FIND("$",D873)),Справочники!$H$3,IF(ISNUMBER(FIND("€",D873)),Справочники!$H$4,1))</f>
        <v>8500</v>
      </c>
      <c r="L873" t="str">
        <f>IFERROR(VLOOKUP(TRIM(G873),Справочники!$D$3:$E$13,2,0),"Нет в справочнике")</f>
        <v>Отменен</v>
      </c>
      <c r="M873" t="str">
        <f t="shared" si="162"/>
        <v/>
      </c>
      <c r="N873" t="str">
        <f>IFERROR(VLOOKUP(I873,Товары_очищенные!$H$2:$J$502,3,0),"Нет в каталоге")</f>
        <v>Смартфоны</v>
      </c>
      <c r="O873" s="4">
        <f>IFERROR(VLOOKUP(I873,Товары_очищенные!$H$2:$M$502,6,0),"")</f>
        <v>24990</v>
      </c>
      <c r="P873" t="str">
        <f t="shared" si="163"/>
        <v xml:space="preserve">Цена отличается от каталога</v>
      </c>
    </row>
    <row r="874">
      <c r="A874" s="3" t="s">
        <v>3721</v>
      </c>
      <c r="B874" s="3" t="s">
        <v>3102</v>
      </c>
      <c r="C874" s="3" t="s">
        <v>1938</v>
      </c>
      <c r="D874" s="3" t="s">
        <v>2166</v>
      </c>
      <c r="E874" s="3" t="s">
        <v>3722</v>
      </c>
      <c r="F874" s="3" t="s">
        <v>1587</v>
      </c>
      <c r="G874" s="3" t="s">
        <v>1924</v>
      </c>
      <c r="H874" s="5">
        <f t="shared" si="159"/>
        <v>46108</v>
      </c>
      <c r="I874" t="str">
        <f t="shared" si="160"/>
        <v>АРТ-386</v>
      </c>
      <c r="J874" s="6">
        <f t="shared" si="161"/>
        <v>1</v>
      </c>
      <c r="K874" s="4">
        <f>VALUE(SUBSTITUTE(SUBSTITUTE(SUBSTITUTE(SUBSTITUTE(D874,"$",""),"€",""),"₽","")," ",""))*IF(ISNUMBER(FIND("$",D874)),Справочники!$H$3,IF(ISNUMBER(FIND("€",D874)),Справочники!$H$4,1))</f>
        <v>7800</v>
      </c>
      <c r="L874" t="str">
        <f>IFERROR(VLOOKUP(TRIM(G874),Справочники!$D$3:$E$13,2,0),"Нет в справочнике")</f>
        <v>Отменен</v>
      </c>
      <c r="M874" t="str">
        <f t="shared" si="162"/>
        <v/>
      </c>
      <c r="N874" t="str">
        <f>IFERROR(VLOOKUP(I874,Товары_очищенные!$H$2:$J$502,3,0),"Нет в каталоге")</f>
        <v>Ноутбуки</v>
      </c>
      <c r="O874" s="4">
        <f>IFERROR(VLOOKUP(I874,Товары_очищенные!$H$2:$M$502,6,0),"")</f>
        <v>114000</v>
      </c>
      <c r="P874" t="str">
        <f t="shared" si="163"/>
        <v xml:space="preserve">Цена отличается от каталога</v>
      </c>
    </row>
    <row r="875">
      <c r="A875" s="3" t="s">
        <v>3721</v>
      </c>
      <c r="B875" s="3" t="s">
        <v>3723</v>
      </c>
      <c r="C875" s="3" t="s">
        <v>1985</v>
      </c>
      <c r="D875" s="3" t="s">
        <v>2044</v>
      </c>
      <c r="E875" s="3" t="s">
        <v>3724</v>
      </c>
      <c r="F875" s="3" t="s">
        <v>1734</v>
      </c>
      <c r="G875" s="3" t="s">
        <v>1903</v>
      </c>
      <c r="H875" s="5">
        <f t="shared" si="159"/>
        <v>46108</v>
      </c>
      <c r="I875" t="str">
        <f t="shared" si="160"/>
        <v>АРТ-213</v>
      </c>
      <c r="J875" s="6">
        <f t="shared" si="161"/>
        <v>-3</v>
      </c>
      <c r="K875" s="4">
        <f>VALUE(SUBSTITUTE(SUBSTITUTE(SUBSTITUTE(SUBSTITUTE(D875,"$",""),"€",""),"₽","")," ",""))*IF(ISNUMBER(FIND("$",D875)),Справочники!$H$3,IF(ISNUMBER(FIND("€",D875)),Справочники!$H$4,1))</f>
        <v>11400</v>
      </c>
      <c r="L875" t="str">
        <f>IFERROR(VLOOKUP(TRIM(G875),Справочники!$D$3:$E$13,2,0),"Нет в справочнике")</f>
        <v>Завершен</v>
      </c>
      <c r="M875" t="str">
        <f t="shared" si="162"/>
        <v/>
      </c>
      <c r="N875" t="str">
        <f>IFERROR(VLOOKUP(I875,Товары_очищенные!$H$2:$J$502,3,0),"Нет в каталоге")</f>
        <v>Смартфоны</v>
      </c>
      <c r="O875" s="4">
        <f>IFERROR(VLOOKUP(I875,Товары_очищенные!$H$2:$M$502,6,0),"")</f>
        <v>61500</v>
      </c>
      <c r="P875" t="str">
        <f t="shared" si="163"/>
        <v xml:space="preserve">Цена отличается от каталога</v>
      </c>
    </row>
    <row r="876">
      <c r="A876" s="3" t="s">
        <v>3725</v>
      </c>
      <c r="B876" s="3" t="s">
        <v>2600</v>
      </c>
      <c r="C876" s="3" t="s">
        <v>1900</v>
      </c>
      <c r="D876" s="3" t="s">
        <v>2046</v>
      </c>
      <c r="E876" s="3" t="s">
        <v>3726</v>
      </c>
      <c r="F876" s="3" t="s">
        <v>1649</v>
      </c>
      <c r="G876" s="3" t="s">
        <v>1927</v>
      </c>
      <c r="H876" s="5">
        <f t="shared" si="159"/>
        <v>46109</v>
      </c>
      <c r="I876" t="str">
        <f t="shared" si="160"/>
        <v>АРТ-303</v>
      </c>
      <c r="J876" s="6">
        <f t="shared" si="161"/>
        <v>2</v>
      </c>
      <c r="K876" s="4">
        <f>VALUE(SUBSTITUTE(SUBSTITUTE(SUBSTITUTE(SUBSTITUTE(D876,"$",""),"€",""),"₽","")," ",""))*IF(ISNUMBER(FIND("$",D876)),Справочники!$H$3,IF(ISNUMBER(FIND("€",D876)),Справочники!$H$4,1))</f>
        <v>10000</v>
      </c>
      <c r="L876" t="str">
        <f>IFERROR(VLOOKUP(TRIM(G876),Справочники!$D$3:$E$13,2,0),"Нет в справочнике")</f>
        <v>Возврат</v>
      </c>
      <c r="M876" t="str">
        <f t="shared" si="162"/>
        <v/>
      </c>
      <c r="N876" t="str">
        <f>IFERROR(VLOOKUP(I876,Товары_очищенные!$H$2:$J$502,3,0),"Нет в каталоге")</f>
        <v>Наушники</v>
      </c>
      <c r="O876" s="4">
        <f>IFERROR(VLOOKUP(I876,Товары_очищенные!$H$2:$M$502,6,0),"")</f>
        <v>8800</v>
      </c>
      <c r="P876" t="str">
        <f t="shared" si="163"/>
        <v>ОК</v>
      </c>
    </row>
    <row r="877">
      <c r="A877" s="3" t="s">
        <v>3725</v>
      </c>
      <c r="B877" s="3" t="s">
        <v>3654</v>
      </c>
      <c r="C877" s="3" t="s">
        <v>1905</v>
      </c>
      <c r="D877" s="3" t="s">
        <v>2087</v>
      </c>
      <c r="E877" s="3" t="s">
        <v>3727</v>
      </c>
      <c r="F877" s="3" t="s">
        <v>1784</v>
      </c>
      <c r="G877" s="3" t="s">
        <v>1908</v>
      </c>
      <c r="H877" s="5">
        <f t="shared" si="159"/>
        <v>46109</v>
      </c>
      <c r="I877" t="str">
        <f t="shared" si="160"/>
        <v>АРТ-152</v>
      </c>
      <c r="J877" s="6">
        <f t="shared" si="161"/>
        <v>1</v>
      </c>
      <c r="K877" s="4">
        <f>VALUE(SUBSTITUTE(SUBSTITUTE(SUBSTITUTE(SUBSTITUTE(D877,"$",""),"€",""),"₽","")," ",""))*IF(ISNUMBER(FIND("$",D877)),Справочники!$H$3,IF(ISNUMBER(FIND("€",D877)),Справочники!$H$4,1))</f>
        <v>9200</v>
      </c>
      <c r="L877" t="str">
        <f>IFERROR(VLOOKUP(TRIM(G877),Справочники!$D$3:$E$13,2,0),"Нет в справочнике")</f>
        <v>Завершен</v>
      </c>
      <c r="M877" t="str">
        <f t="shared" si="162"/>
        <v/>
      </c>
      <c r="N877" t="str">
        <f>IFERROR(VLOOKUP(I877,Товары_очищенные!$H$2:$J$502,3,0),"Нет в каталоге")</f>
        <v>Телевизоры</v>
      </c>
      <c r="O877" s="4">
        <f>IFERROR(VLOOKUP(I877,Товары_очищенные!$H$2:$M$502,6,0),"")</f>
        <v>151500</v>
      </c>
      <c r="P877" t="str">
        <f t="shared" si="163"/>
        <v xml:space="preserve">Цена отличается от каталога</v>
      </c>
    </row>
    <row r="878">
      <c r="A878" s="3" t="s">
        <v>3728</v>
      </c>
      <c r="B878" s="3" t="s">
        <v>457</v>
      </c>
      <c r="C878" s="3" t="s">
        <v>1930</v>
      </c>
      <c r="D878" s="3" t="s">
        <v>1986</v>
      </c>
      <c r="E878" s="3" t="s">
        <v>3729</v>
      </c>
      <c r="F878" s="3" t="s">
        <v>1844</v>
      </c>
      <c r="G878" s="3" t="s">
        <v>1913</v>
      </c>
      <c r="H878" s="5">
        <f t="shared" si="159"/>
        <v>46110</v>
      </c>
      <c r="I878" t="str">
        <f t="shared" si="160"/>
        <v>АРТ-103</v>
      </c>
      <c r="J878" s="6">
        <f t="shared" si="161"/>
        <v>3</v>
      </c>
      <c r="K878" s="4">
        <f>VALUE(SUBSTITUTE(SUBSTITUTE(SUBSTITUTE(SUBSTITUTE(D878,"$",""),"€",""),"₽","")," ",""))*IF(ISNUMBER(FIND("$",D878)),Справочники!$H$3,IF(ISNUMBER(FIND("€",D878)),Справочники!$H$4,1))</f>
        <v>8550</v>
      </c>
      <c r="L878" t="str">
        <f>IFERROR(VLOOKUP(TRIM(G878),Справочники!$D$3:$E$13,2,0),"Нет в справочнике")</f>
        <v>Завершен</v>
      </c>
      <c r="M878" t="str">
        <f t="shared" si="162"/>
        <v/>
      </c>
      <c r="N878" t="str">
        <f>IFERROR(VLOOKUP(I878,Товары_очищенные!$H$2:$J$502,3,0),"Нет в каталоге")</f>
        <v>Ноутбуки</v>
      </c>
      <c r="O878" s="4">
        <f>IFERROR(VLOOKUP(I878,Товары_очищенные!$H$2:$M$502,6,0),"")</f>
        <v>149990</v>
      </c>
      <c r="P878" t="str">
        <f t="shared" si="163"/>
        <v xml:space="preserve">Цена отличается от каталога</v>
      </c>
    </row>
    <row r="879">
      <c r="A879" s="3" t="s">
        <v>3728</v>
      </c>
      <c r="B879" s="3" t="s">
        <v>2961</v>
      </c>
      <c r="C879" s="3" t="s">
        <v>1900</v>
      </c>
      <c r="D879" s="3" t="s">
        <v>1989</v>
      </c>
      <c r="E879" s="3" t="s">
        <v>3730</v>
      </c>
      <c r="F879" s="3" t="s">
        <v>1566</v>
      </c>
      <c r="G879" s="3" t="s">
        <v>1903</v>
      </c>
      <c r="H879" s="5">
        <f t="shared" si="159"/>
        <v>46110</v>
      </c>
      <c r="I879" t="str">
        <f t="shared" si="160"/>
        <v>АРТ-460</v>
      </c>
      <c r="J879" s="6">
        <f t="shared" si="161"/>
        <v>2</v>
      </c>
      <c r="K879" s="4">
        <f>VALUE(SUBSTITUTE(SUBSTITUTE(SUBSTITUTE(SUBSTITUTE(D879,"$",""),"€",""),"₽","")," ",""))*IF(ISNUMBER(FIND("$",D879)),Справочники!$H$3,IF(ISNUMBER(FIND("€",D879)),Справочники!$H$4,1))</f>
        <v>7000</v>
      </c>
      <c r="L879" t="str">
        <f>IFERROR(VLOOKUP(TRIM(G879),Справочники!$D$3:$E$13,2,0),"Нет в справочнике")</f>
        <v>Завершен</v>
      </c>
      <c r="M879" t="str">
        <f t="shared" si="162"/>
        <v/>
      </c>
      <c r="N879" t="str">
        <f>IFERROR(VLOOKUP(I879,Товары_очищенные!$H$2:$J$502,3,0),"Нет в каталоге")</f>
        <v>Часы</v>
      </c>
      <c r="O879" s="4">
        <f>IFERROR(VLOOKUP(I879,Товары_очищенные!$H$2:$M$502,6,0),"")</f>
        <v>47990</v>
      </c>
      <c r="P879" t="str">
        <f t="shared" si="163"/>
        <v xml:space="preserve">Цена отличается от каталога</v>
      </c>
    </row>
    <row r="880">
      <c r="A880" s="3" t="s">
        <v>3731</v>
      </c>
      <c r="B880" s="3" t="s">
        <v>3732</v>
      </c>
      <c r="C880" s="3" t="s">
        <v>1938</v>
      </c>
      <c r="D880" s="3" t="s">
        <v>1939</v>
      </c>
      <c r="E880" s="3" t="s">
        <v>3733</v>
      </c>
      <c r="F880" s="3" t="s">
        <v>1701</v>
      </c>
      <c r="G880" s="3" t="s">
        <v>1924</v>
      </c>
      <c r="H880" s="5">
        <f t="shared" si="159"/>
        <v>46111</v>
      </c>
      <c r="I880" t="str">
        <f t="shared" si="160"/>
        <v>АРТ-337</v>
      </c>
      <c r="J880" s="6">
        <f t="shared" si="161"/>
        <v>1</v>
      </c>
      <c r="K880" s="4">
        <f>VALUE(SUBSTITUTE(SUBSTITUTE(SUBSTITUTE(SUBSTITUTE(D880,"$",""),"€",""),"₽","")," ",""))*IF(ISNUMBER(FIND("$",D880)),Справочники!$H$3,IF(ISNUMBER(FIND("€",D880)),Справочники!$H$4,1))</f>
        <v>6500</v>
      </c>
      <c r="L880" t="str">
        <f>IFERROR(VLOOKUP(TRIM(G880),Справочники!$D$3:$E$13,2,0),"Нет в справочнике")</f>
        <v>Отменен</v>
      </c>
      <c r="M880" t="str">
        <f t="shared" si="162"/>
        <v/>
      </c>
      <c r="N880" t="str">
        <f>IFERROR(VLOOKUP(I880,Товары_очищенные!$H$2:$J$502,3,0),"Нет в каталоге")</f>
        <v>Смартфоны</v>
      </c>
      <c r="O880" s="4">
        <f>IFERROR(VLOOKUP(I880,Товары_очищенные!$H$2:$M$502,6,0),"")</f>
        <v>64990</v>
      </c>
      <c r="P880" t="str">
        <f t="shared" si="163"/>
        <v xml:space="preserve">Цена отличается от каталога</v>
      </c>
    </row>
    <row r="881">
      <c r="A881" s="3" t="s">
        <v>3731</v>
      </c>
      <c r="B881" s="3" t="s">
        <v>935</v>
      </c>
      <c r="C881" s="3" t="s">
        <v>1915</v>
      </c>
      <c r="D881" s="3" t="s">
        <v>1916</v>
      </c>
      <c r="E881" s="3" t="s">
        <v>3734</v>
      </c>
      <c r="F881" s="3" t="s">
        <v>1814</v>
      </c>
      <c r="G881" s="3" t="s">
        <v>1918</v>
      </c>
      <c r="H881" s="5">
        <f t="shared" si="159"/>
        <v>46111</v>
      </c>
      <c r="I881" t="str">
        <f t="shared" si="160"/>
        <v>АРТ-244</v>
      </c>
      <c r="J881" s="6">
        <f t="shared" si="161"/>
        <v>-1</v>
      </c>
      <c r="K881" s="4">
        <f>VALUE(SUBSTITUTE(SUBSTITUTE(SUBSTITUTE(SUBSTITUTE(D881,"$",""),"€",""),"₽","")," ",""))*IF(ISNUMBER(FIND("$",D881)),Справочники!$H$3,IF(ISNUMBER(FIND("€",D881)),Справочники!$H$4,1))</f>
        <v>10450</v>
      </c>
      <c r="L881" t="str">
        <f>IFERROR(VLOOKUP(TRIM(G881),Справочники!$D$3:$E$13,2,0),"Нет в справочнике")</f>
        <v>Отменен</v>
      </c>
      <c r="M881" t="str">
        <f t="shared" si="162"/>
        <v/>
      </c>
      <c r="N881" t="str">
        <f>IFERROR(VLOOKUP(I881,Товары_очищенные!$H$2:$J$502,3,0),"Нет в каталоге")</f>
        <v>Мониторы</v>
      </c>
      <c r="O881" s="4">
        <f>IFERROR(VLOOKUP(I881,Товары_очищенные!$H$2:$M$502,6,0),"")</f>
        <v>77990</v>
      </c>
      <c r="P881" t="str">
        <f t="shared" si="163"/>
        <v xml:space="preserve">Цена отличается от каталога</v>
      </c>
    </row>
    <row r="882">
      <c r="A882" s="3" t="s">
        <v>3735</v>
      </c>
      <c r="B882" s="3" t="s">
        <v>1292</v>
      </c>
      <c r="C882" s="3" t="s">
        <v>1930</v>
      </c>
      <c r="D882" s="3" t="s">
        <v>1922</v>
      </c>
      <c r="E882" s="3" t="s">
        <v>3736</v>
      </c>
      <c r="F882" s="3" t="s">
        <v>1880</v>
      </c>
      <c r="G882" s="3" t="s">
        <v>1927</v>
      </c>
      <c r="H882" s="5">
        <f t="shared" si="159"/>
        <v>46112</v>
      </c>
      <c r="I882" t="str">
        <f t="shared" si="160"/>
        <v>АРТ-383</v>
      </c>
      <c r="J882" s="6">
        <f t="shared" si="161"/>
        <v>3</v>
      </c>
      <c r="K882" s="4">
        <f>VALUE(SUBSTITUTE(SUBSTITUTE(SUBSTITUTE(SUBSTITUTE(D882,"$",""),"€",""),"₽","")," ",""))*IF(ISNUMBER(FIND("$",D882)),Справочники!$H$3,IF(ISNUMBER(FIND("€",D882)),Справочники!$H$4,1))</f>
        <v>9000</v>
      </c>
      <c r="L882" t="str">
        <f>IFERROR(VLOOKUP(TRIM(G882),Справочники!$D$3:$E$13,2,0),"Нет в справочнике")</f>
        <v>Возврат</v>
      </c>
      <c r="M882" t="str">
        <f t="shared" si="162"/>
        <v/>
      </c>
      <c r="N882" t="str">
        <f>IFERROR(VLOOKUP(I882,Товары_очищенные!$H$2:$J$502,3,0),"Нет в каталоге")</f>
        <v>Смартфоны</v>
      </c>
      <c r="O882" s="4">
        <f>IFERROR(VLOOKUP(I882,Товары_очищенные!$H$2:$M$502,6,0),"")</f>
        <v>41500</v>
      </c>
      <c r="P882" t="str">
        <f t="shared" si="163"/>
        <v xml:space="preserve">Цена отличается от каталога</v>
      </c>
    </row>
    <row r="883">
      <c r="A883" s="3" t="s">
        <v>3735</v>
      </c>
      <c r="B883" s="3" t="s">
        <v>3737</v>
      </c>
      <c r="C883" s="3" t="s">
        <v>1900</v>
      </c>
      <c r="D883" s="3" t="s">
        <v>1925</v>
      </c>
      <c r="E883" s="3" t="s">
        <v>3738</v>
      </c>
      <c r="F883" s="3" t="s">
        <v>1636</v>
      </c>
      <c r="G883" s="3" t="s">
        <v>1903</v>
      </c>
      <c r="H883" s="5">
        <f t="shared" si="159"/>
        <v>46112</v>
      </c>
      <c r="I883" t="str">
        <f t="shared" si="160"/>
        <v>АРТ-229</v>
      </c>
      <c r="J883" s="6">
        <f t="shared" si="161"/>
        <v>2</v>
      </c>
      <c r="K883" s="4">
        <f>VALUE(SUBSTITUTE(SUBSTITUTE(SUBSTITUTE(SUBSTITUTE(D883,"$",""),"€",""),"₽","")," ",""))*IF(ISNUMBER(FIND("$",D883)),Справочники!$H$3,IF(ISNUMBER(FIND("€",D883)),Справочники!$H$4,1))</f>
        <v>8000</v>
      </c>
      <c r="L883" t="str">
        <f>IFERROR(VLOOKUP(TRIM(G883),Справочники!$D$3:$E$13,2,0),"Нет в справочнике")</f>
        <v>Завершен</v>
      </c>
      <c r="M883" t="str">
        <f t="shared" si="162"/>
        <v/>
      </c>
      <c r="N883" t="str">
        <f>IFERROR(VLOOKUP(I883,Товары_очищенные!$H$2:$J$502,3,0),"Нет в каталоге")</f>
        <v>Ноутбуки</v>
      </c>
      <c r="O883" s="4">
        <f>IFERROR(VLOOKUP(I883,Товары_очищенные!$H$2:$M$502,6,0),"")</f>
        <v>119990</v>
      </c>
      <c r="P883" t="str">
        <f t="shared" si="163"/>
        <v xml:space="preserve">Цена отличается от каталога</v>
      </c>
    </row>
    <row r="884">
      <c r="A884" s="3" t="s">
        <v>3739</v>
      </c>
      <c r="B884" s="3" t="s">
        <v>3370</v>
      </c>
      <c r="C884" s="3" t="s">
        <v>1905</v>
      </c>
      <c r="D884" s="3" t="s">
        <v>1964</v>
      </c>
      <c r="E884" s="3" t="s">
        <v>3740</v>
      </c>
      <c r="F884" s="3" t="s">
        <v>1740</v>
      </c>
      <c r="G884" s="3" t="s">
        <v>1908</v>
      </c>
      <c r="H884" s="5">
        <f t="shared" si="159"/>
        <v>46113</v>
      </c>
      <c r="I884" t="str">
        <f t="shared" si="160"/>
        <v>АРТ-066</v>
      </c>
      <c r="J884" s="6">
        <f t="shared" si="161"/>
        <v>1</v>
      </c>
      <c r="K884" s="4">
        <f>VALUE(SUBSTITUTE(SUBSTITUTE(SUBSTITUTE(SUBSTITUTE(D884,"$",""),"€",""),"₽","")," ",""))*IF(ISNUMBER(FIND("$",D884)),Справочники!$H$3,IF(ISNUMBER(FIND("€",D884)),Справочники!$H$4,1))</f>
        <v>9025</v>
      </c>
      <c r="L884" t="str">
        <f>IFERROR(VLOOKUP(TRIM(G884),Справочники!$D$3:$E$13,2,0),"Нет в справочнике")</f>
        <v>Завершен</v>
      </c>
      <c r="M884" t="str">
        <f t="shared" si="162"/>
        <v/>
      </c>
      <c r="N884" t="str">
        <f>IFERROR(VLOOKUP(I884,Товары_очищенные!$H$2:$J$502,3,0),"Нет в каталоге")</f>
        <v>Смартфоны</v>
      </c>
      <c r="O884" s="4">
        <f>IFERROR(VLOOKUP(I884,Товары_очищенные!$H$2:$M$502,6,0),"")</f>
        <v>57800</v>
      </c>
      <c r="P884" t="str">
        <f t="shared" si="163"/>
        <v xml:space="preserve">Цена отличается от каталога</v>
      </c>
    </row>
    <row r="885">
      <c r="A885" s="3" t="s">
        <v>3739</v>
      </c>
      <c r="B885" s="3" t="s">
        <v>1446</v>
      </c>
      <c r="C885" s="3" t="s">
        <v>1900</v>
      </c>
      <c r="D885" s="3" t="s">
        <v>1968</v>
      </c>
      <c r="E885" s="3" t="s">
        <v>3741</v>
      </c>
      <c r="F885" s="3" t="s">
        <v>1682</v>
      </c>
      <c r="G885" s="3" t="s">
        <v>1913</v>
      </c>
      <c r="H885" s="5">
        <f t="shared" si="159"/>
        <v>46113</v>
      </c>
      <c r="I885" t="str">
        <f t="shared" si="160"/>
        <v>АРТ-452</v>
      </c>
      <c r="J885" s="6">
        <f t="shared" si="161"/>
        <v>2</v>
      </c>
      <c r="K885" s="4">
        <f>VALUE(SUBSTITUTE(SUBSTITUTE(SUBSTITUTE(SUBSTITUTE(D885,"$",""),"€",""),"₽","")," ",""))*IF(ISNUMBER(FIND("$",D885)),Справочники!$H$3,IF(ISNUMBER(FIND("€",D885)),Справочники!$H$4,1))</f>
        <v>7500</v>
      </c>
      <c r="L885" t="str">
        <f>IFERROR(VLOOKUP(TRIM(G885),Справочники!$D$3:$E$13,2,0),"Нет в справочнике")</f>
        <v>Завершен</v>
      </c>
      <c r="M885" t="str">
        <f t="shared" si="162"/>
        <v/>
      </c>
      <c r="N885" t="str">
        <f>IFERROR(VLOOKUP(I885,Товары_очищенные!$H$2:$J$502,3,0),"Нет в каталоге")</f>
        <v>Наушники</v>
      </c>
      <c r="O885" s="4">
        <f>IFERROR(VLOOKUP(I885,Товары_очищенные!$H$2:$M$502,6,0),"")</f>
        <v>38500</v>
      </c>
      <c r="P885" t="str">
        <f t="shared" si="163"/>
        <v xml:space="preserve">Цена отличается от каталога</v>
      </c>
    </row>
    <row r="886">
      <c r="A886" s="3" t="s">
        <v>3742</v>
      </c>
      <c r="B886" s="3" t="s">
        <v>3743</v>
      </c>
      <c r="C886" s="3" t="s">
        <v>1910</v>
      </c>
      <c r="D886" s="3" t="s">
        <v>1971</v>
      </c>
      <c r="E886" s="3" t="s">
        <v>3744</v>
      </c>
      <c r="F886" s="3" t="s">
        <v>1820</v>
      </c>
      <c r="G886" s="3" t="s">
        <v>1918</v>
      </c>
      <c r="H886" s="5">
        <f t="shared" si="159"/>
        <v>46114</v>
      </c>
      <c r="I886" t="str">
        <f t="shared" si="160"/>
        <v>АРТ-392</v>
      </c>
      <c r="J886" s="6">
        <f t="shared" si="161"/>
        <v>3</v>
      </c>
      <c r="K886" s="4">
        <f>VALUE(SUBSTITUTE(SUBSTITUTE(SUBSTITUTE(SUBSTITUTE(D886,"$",""),"€",""),"₽","")," ",""))*IF(ISNUMBER(FIND("$",D886)),Справочники!$H$3,IF(ISNUMBER(FIND("€",D886)),Справочники!$H$4,1))</f>
        <v>7000</v>
      </c>
      <c r="L886" t="str">
        <f>IFERROR(VLOOKUP(TRIM(G886),Справочники!$D$3:$E$13,2,0),"Нет в справочнике")</f>
        <v>Отменен</v>
      </c>
      <c r="M886" t="str">
        <f t="shared" si="162"/>
        <v/>
      </c>
      <c r="N886" t="str">
        <f>IFERROR(VLOOKUP(I886,Товары_очищенные!$H$2:$J$502,3,0),"Нет в каталоге")</f>
        <v>Наушники</v>
      </c>
      <c r="O886" s="4">
        <f>IFERROR(VLOOKUP(I886,Товары_очищенные!$H$2:$M$502,6,0),"")</f>
        <v>18000</v>
      </c>
      <c r="P886" t="str">
        <f t="shared" si="163"/>
        <v xml:space="preserve">Цена отличается от каталога</v>
      </c>
    </row>
    <row r="887">
      <c r="A887" s="3" t="s">
        <v>3742</v>
      </c>
      <c r="B887" s="3" t="s">
        <v>3745</v>
      </c>
      <c r="C887" s="3" t="s">
        <v>1942</v>
      </c>
      <c r="D887" s="3" t="s">
        <v>1943</v>
      </c>
      <c r="E887" s="3" t="s">
        <v>3746</v>
      </c>
      <c r="F887" s="3" t="s">
        <v>1580</v>
      </c>
      <c r="G887" s="3" t="s">
        <v>1924</v>
      </c>
      <c r="H887" s="5">
        <f t="shared" si="159"/>
        <v>46114</v>
      </c>
      <c r="I887" t="str">
        <f t="shared" si="160"/>
        <v>АРТ-240</v>
      </c>
      <c r="J887" s="6">
        <f t="shared" si="161"/>
        <v>-2</v>
      </c>
      <c r="K887" s="4">
        <f>VALUE(SUBSTITUTE(SUBSTITUTE(SUBSTITUTE(SUBSTITUTE(D887,"$",""),"€",""),"₽","")," ",""))*IF(ISNUMBER(FIND("$",D887)),Справочники!$H$3,IF(ISNUMBER(FIND("€",D887)),Справочники!$H$4,1))</f>
        <v>10925</v>
      </c>
      <c r="L887" t="str">
        <f>IFERROR(VLOOKUP(TRIM(G887),Справочники!$D$3:$E$13,2,0),"Нет в справочнике")</f>
        <v>Отменен</v>
      </c>
      <c r="M887" t="str">
        <f t="shared" si="162"/>
        <v/>
      </c>
      <c r="N887" t="str">
        <f>IFERROR(VLOOKUP(I887,Товары_очищенные!$H$2:$J$502,3,0),"Нет в каталоге")</f>
        <v>Телевизоры</v>
      </c>
      <c r="O887" s="4">
        <f>IFERROR(VLOOKUP(I887,Товары_очищенные!$H$2:$M$502,6,0),"")</f>
        <v>113500</v>
      </c>
      <c r="P887" t="str">
        <f t="shared" si="163"/>
        <v xml:space="preserve">Цена отличается от каталога</v>
      </c>
    </row>
    <row r="888">
      <c r="A888" s="3" t="s">
        <v>3747</v>
      </c>
      <c r="B888" s="3" t="s">
        <v>3433</v>
      </c>
      <c r="C888" s="3" t="s">
        <v>1905</v>
      </c>
      <c r="D888" s="3" t="s">
        <v>1934</v>
      </c>
      <c r="E888" s="3" t="s">
        <v>3748</v>
      </c>
      <c r="F888" s="3" t="s">
        <v>1727</v>
      </c>
      <c r="G888" s="3" t="s">
        <v>1903</v>
      </c>
      <c r="H888" s="5">
        <f t="shared" si="159"/>
        <v>46115</v>
      </c>
      <c r="I888" t="str">
        <f t="shared" si="160"/>
        <v>АРТ-301</v>
      </c>
      <c r="J888" s="6">
        <f t="shared" si="161"/>
        <v>1</v>
      </c>
      <c r="K888" s="4">
        <f>VALUE(SUBSTITUTE(SUBSTITUTE(SUBSTITUTE(SUBSTITUTE(D888,"$",""),"€",""),"₽","")," ",""))*IF(ISNUMBER(FIND("$",D888)),Справочники!$H$3,IF(ISNUMBER(FIND("€",D888)),Справочники!$H$4,1))</f>
        <v>9500</v>
      </c>
      <c r="L888" t="str">
        <f>IFERROR(VLOOKUP(TRIM(G888),Справочники!$D$3:$E$13,2,0),"Нет в справочнике")</f>
        <v>Завершен</v>
      </c>
      <c r="M888" t="str">
        <f t="shared" si="162"/>
        <v/>
      </c>
      <c r="N888" t="str">
        <f>IFERROR(VLOOKUP(I888,Товары_очищенные!$H$2:$J$502,3,0),"Нет в каталоге")</f>
        <v>Наушники</v>
      </c>
      <c r="O888" s="4">
        <f>IFERROR(VLOOKUP(I888,Товары_очищенные!$H$2:$M$502,6,0),"")</f>
        <v>7990</v>
      </c>
      <c r="P888" t="str">
        <f t="shared" si="163"/>
        <v>ОК</v>
      </c>
    </row>
    <row r="889">
      <c r="A889" s="3" t="s">
        <v>3747</v>
      </c>
      <c r="B889" s="3" t="s">
        <v>2671</v>
      </c>
      <c r="C889" s="3" t="s">
        <v>1900</v>
      </c>
      <c r="D889" s="3" t="s">
        <v>1951</v>
      </c>
      <c r="E889" s="3" t="s">
        <v>3749</v>
      </c>
      <c r="F889" s="3" t="s">
        <v>1629</v>
      </c>
      <c r="G889" s="3" t="s">
        <v>1927</v>
      </c>
      <c r="H889" s="5">
        <f t="shared" si="159"/>
        <v>46115</v>
      </c>
      <c r="I889" t="str">
        <f t="shared" si="160"/>
        <v>АРТ-134</v>
      </c>
      <c r="J889" s="6">
        <f t="shared" si="161"/>
        <v>2</v>
      </c>
      <c r="K889" s="4">
        <f>VALUE(SUBSTITUTE(SUBSTITUTE(SUBSTITUTE(SUBSTITUTE(D889,"$",""),"€",""),"₽","")," ",""))*IF(ISNUMBER(FIND("$",D889)),Справочники!$H$3,IF(ISNUMBER(FIND("€",D889)),Справочники!$H$4,1))</f>
        <v>8500</v>
      </c>
      <c r="L889" t="str">
        <f>IFERROR(VLOOKUP(TRIM(G889),Справочники!$D$3:$E$13,2,0),"Нет в справочнике")</f>
        <v>Возврат</v>
      </c>
      <c r="M889" t="str">
        <f t="shared" si="162"/>
        <v/>
      </c>
      <c r="N889" t="str">
        <f>IFERROR(VLOOKUP(I889,Товары_очищенные!$H$2:$J$502,3,0),"Нет в каталоге")</f>
        <v>Телевизоры</v>
      </c>
      <c r="O889" s="4">
        <f>IFERROR(VLOOKUP(I889,Товары_очищенные!$H$2:$M$502,6,0),"")</f>
        <v>124000</v>
      </c>
      <c r="P889" t="str">
        <f t="shared" si="163"/>
        <v xml:space="preserve">Цена отличается от каталога</v>
      </c>
    </row>
    <row r="890">
      <c r="A890" s="3" t="s">
        <v>3750</v>
      </c>
      <c r="B890" s="3" t="s">
        <v>3751</v>
      </c>
      <c r="C890" s="3" t="s">
        <v>1930</v>
      </c>
      <c r="D890" s="3" t="s">
        <v>1931</v>
      </c>
      <c r="E890" s="3" t="s">
        <v>3752</v>
      </c>
      <c r="F890" s="3" t="s">
        <v>1778</v>
      </c>
      <c r="G890" s="3" t="s">
        <v>1908</v>
      </c>
      <c r="H890" s="5">
        <f t="shared" si="159"/>
        <v>46116</v>
      </c>
      <c r="I890" t="str">
        <f t="shared" si="160"/>
        <v>АРТ-111</v>
      </c>
      <c r="J890" s="6">
        <f t="shared" si="161"/>
        <v>3</v>
      </c>
      <c r="K890" s="4">
        <f>VALUE(SUBSTITUTE(SUBSTITUTE(SUBSTITUTE(SUBSTITUTE(D890,"$",""),"€",""),"₽","")," ",""))*IF(ISNUMBER(FIND("$",D890)),Справочники!$H$3,IF(ISNUMBER(FIND("€",D890)),Справочники!$H$4,1))</f>
        <v>9975</v>
      </c>
      <c r="L890" t="str">
        <f>IFERROR(VLOOKUP(TRIM(G890),Справочники!$D$3:$E$13,2,0),"Нет в справочнике")</f>
        <v>Завершен</v>
      </c>
      <c r="M890" t="str">
        <f t="shared" si="162"/>
        <v/>
      </c>
      <c r="N890" t="str">
        <f>IFERROR(VLOOKUP(I890,Товары_очищенные!$H$2:$J$502,3,0),"Нет в каталоге")</f>
        <v>Телевизоры</v>
      </c>
      <c r="O890" s="4">
        <f>IFERROR(VLOOKUP(I890,Товары_очищенные!$H$2:$M$502,6,0),"")</f>
        <v>122500</v>
      </c>
      <c r="P890" t="str">
        <f t="shared" si="163"/>
        <v xml:space="preserve">Цена отличается от каталога</v>
      </c>
    </row>
    <row r="891">
      <c r="A891" s="3" t="s">
        <v>3750</v>
      </c>
      <c r="B891" s="3" t="s">
        <v>3020</v>
      </c>
      <c r="C891" s="3" t="s">
        <v>1900</v>
      </c>
      <c r="D891" s="3" t="s">
        <v>1906</v>
      </c>
      <c r="E891" s="3" t="s">
        <v>3753</v>
      </c>
      <c r="F891" s="3" t="s">
        <v>1862</v>
      </c>
      <c r="G891" s="3" t="s">
        <v>1913</v>
      </c>
      <c r="H891" s="5">
        <f t="shared" si="159"/>
        <v>46116</v>
      </c>
      <c r="I891" t="str">
        <f t="shared" si="160"/>
        <v>АРТ-498</v>
      </c>
      <c r="J891" s="6">
        <f t="shared" si="161"/>
        <v>2</v>
      </c>
      <c r="K891" s="4">
        <f>VALUE(SUBSTITUTE(SUBSTITUTE(SUBSTITUTE(SUBSTITUTE(D891,"$",""),"€",""),"₽","")," ",""))*IF(ISNUMBER(FIND("$",D891)),Справочники!$H$3,IF(ISNUMBER(FIND("€",D891)),Справочники!$H$4,1))</f>
        <v>8500</v>
      </c>
      <c r="L891" t="str">
        <f>IFERROR(VLOOKUP(TRIM(G891),Справочники!$D$3:$E$13,2,0),"Нет в справочнике")</f>
        <v>Завершен</v>
      </c>
      <c r="M891" t="str">
        <f t="shared" si="162"/>
        <v/>
      </c>
      <c r="N891" t="str">
        <f>IFERROR(VLOOKUP(I891,Товары_очищенные!$H$2:$J$502,3,0),"Нет в каталоге")</f>
        <v>Мониторы</v>
      </c>
      <c r="O891" s="4">
        <f>IFERROR(VLOOKUP(I891,Товары_очищенные!$H$2:$M$502,6,0),"")</f>
        <v>62000</v>
      </c>
      <c r="P891" t="str">
        <f t="shared" si="163"/>
        <v xml:space="preserve">Цена отличается от каталога</v>
      </c>
    </row>
    <row r="892">
      <c r="A892" s="3" t="s">
        <v>3754</v>
      </c>
      <c r="B892" s="3" t="s">
        <v>1273</v>
      </c>
      <c r="C892" s="3" t="s">
        <v>1938</v>
      </c>
      <c r="D892" s="3" t="s">
        <v>2166</v>
      </c>
      <c r="E892" s="3" t="s">
        <v>3755</v>
      </c>
      <c r="F892" s="3" t="s">
        <v>1695</v>
      </c>
      <c r="G892" s="3" t="s">
        <v>1903</v>
      </c>
      <c r="H892" s="5">
        <f t="shared" si="159"/>
        <v>46117</v>
      </c>
      <c r="I892" t="str">
        <f t="shared" si="160"/>
        <v>АРТ-375</v>
      </c>
      <c r="J892" s="6">
        <f t="shared" si="161"/>
        <v>1</v>
      </c>
      <c r="K892" s="4">
        <f>VALUE(SUBSTITUTE(SUBSTITUTE(SUBSTITUTE(SUBSTITUTE(D892,"$",""),"€",""),"₽","")," ",""))*IF(ISNUMBER(FIND("$",D892)),Справочники!$H$3,IF(ISNUMBER(FIND("€",D892)),Справочники!$H$4,1))</f>
        <v>7800</v>
      </c>
      <c r="L892" t="str">
        <f>IFERROR(VLOOKUP(TRIM(G892),Справочники!$D$3:$E$13,2,0),"Нет в справочнике")</f>
        <v>Завершен</v>
      </c>
      <c r="M892" t="str">
        <f t="shared" si="162"/>
        <v/>
      </c>
      <c r="N892" t="str">
        <f>IFERROR(VLOOKUP(I892,Товары_очищенные!$H$2:$J$502,3,0),"Нет в каталоге")</f>
        <v>Аксессуары</v>
      </c>
      <c r="O892" s="4">
        <f>IFERROR(VLOOKUP(I892,Товары_очищенные!$H$2:$M$502,6,0),"")</f>
        <v>14800</v>
      </c>
      <c r="P892" t="str">
        <f t="shared" si="163"/>
        <v xml:space="preserve">Цена отличается от каталога</v>
      </c>
    </row>
    <row r="893">
      <c r="A893" s="3" t="s">
        <v>3754</v>
      </c>
      <c r="B893" s="3" t="s">
        <v>2422</v>
      </c>
      <c r="C893" s="3" t="s">
        <v>1985</v>
      </c>
      <c r="D893" s="3" t="s">
        <v>2044</v>
      </c>
      <c r="E893" s="3" t="s">
        <v>3756</v>
      </c>
      <c r="F893" s="3" t="s">
        <v>1573</v>
      </c>
      <c r="G893" s="3" t="s">
        <v>1924</v>
      </c>
      <c r="H893" s="5">
        <f t="shared" si="159"/>
        <v>46117</v>
      </c>
      <c r="I893" t="str">
        <f t="shared" si="160"/>
        <v>АРТ-383</v>
      </c>
      <c r="J893" s="6">
        <f t="shared" si="161"/>
        <v>-3</v>
      </c>
      <c r="K893" s="4">
        <f>VALUE(SUBSTITUTE(SUBSTITUTE(SUBSTITUTE(SUBSTITUTE(D893,"$",""),"€",""),"₽","")," ",""))*IF(ISNUMBER(FIND("$",D893)),Справочники!$H$3,IF(ISNUMBER(FIND("€",D893)),Справочники!$H$4,1))</f>
        <v>11400</v>
      </c>
      <c r="L893" t="str">
        <f>IFERROR(VLOOKUP(TRIM(G893),Справочники!$D$3:$E$13,2,0),"Нет в справочнике")</f>
        <v>Отменен</v>
      </c>
      <c r="M893" t="str">
        <f t="shared" si="162"/>
        <v/>
      </c>
      <c r="N893" t="str">
        <f>IFERROR(VLOOKUP(I893,Товары_очищенные!$H$2:$J$502,3,0),"Нет в каталоге")</f>
        <v>Смартфоны</v>
      </c>
      <c r="O893" s="4">
        <f>IFERROR(VLOOKUP(I893,Товары_очищенные!$H$2:$M$502,6,0),"")</f>
        <v>41500</v>
      </c>
      <c r="P893" t="str">
        <f t="shared" si="163"/>
        <v xml:space="preserve">Цена отличается от каталога</v>
      </c>
    </row>
    <row r="894">
      <c r="A894" s="3" t="s">
        <v>3757</v>
      </c>
      <c r="B894" s="3" t="s">
        <v>1957</v>
      </c>
      <c r="C894" s="3" t="s">
        <v>1900</v>
      </c>
      <c r="D894" s="3" t="s">
        <v>2046</v>
      </c>
      <c r="E894" s="3" t="s">
        <v>3758</v>
      </c>
      <c r="F894" s="3" t="s">
        <v>1808</v>
      </c>
      <c r="G894" s="3" t="s">
        <v>1918</v>
      </c>
      <c r="H894" s="5">
        <f t="shared" si="159"/>
        <v>46118</v>
      </c>
      <c r="I894" t="str">
        <f t="shared" si="160"/>
        <v>АРТ-334</v>
      </c>
      <c r="J894" s="6">
        <f t="shared" si="161"/>
        <v>2</v>
      </c>
      <c r="K894" s="4">
        <f>VALUE(SUBSTITUTE(SUBSTITUTE(SUBSTITUTE(SUBSTITUTE(D894,"$",""),"€",""),"₽","")," ",""))*IF(ISNUMBER(FIND("$",D894)),Справочники!$H$3,IF(ISNUMBER(FIND("€",D894)),Справочники!$H$4,1))</f>
        <v>10000</v>
      </c>
      <c r="L894" t="str">
        <f>IFERROR(VLOOKUP(TRIM(G894),Справочники!$D$3:$E$13,2,0),"Нет в справочнике")</f>
        <v>Отменен</v>
      </c>
      <c r="M894" t="str">
        <f t="shared" si="162"/>
        <v/>
      </c>
      <c r="N894" t="str">
        <f>IFERROR(VLOOKUP(I894,Товары_очищенные!$H$2:$J$502,3,0),"Нет в каталоге")</f>
        <v>Планшеты</v>
      </c>
      <c r="O894" s="4">
        <f>IFERROR(VLOOKUP(I894,Товары_очищенные!$H$2:$M$502,6,0),"")</f>
        <v>48990</v>
      </c>
      <c r="P894" t="str">
        <f t="shared" si="163"/>
        <v xml:space="preserve">Цена отличается от каталога</v>
      </c>
    </row>
    <row r="895">
      <c r="A895" s="3" t="s">
        <v>3757</v>
      </c>
      <c r="B895" s="3" t="s">
        <v>3759</v>
      </c>
      <c r="C895" s="3" t="s">
        <v>1905</v>
      </c>
      <c r="D895" s="3" t="s">
        <v>2087</v>
      </c>
      <c r="E895" s="3" t="s">
        <v>3760</v>
      </c>
      <c r="F895" s="3" t="s">
        <v>1670</v>
      </c>
      <c r="G895" s="3" t="s">
        <v>1927</v>
      </c>
      <c r="H895" s="5">
        <f t="shared" si="159"/>
        <v>46118</v>
      </c>
      <c r="I895" t="str">
        <f t="shared" si="160"/>
        <v>АРТ-266</v>
      </c>
      <c r="J895" s="6">
        <f t="shared" si="161"/>
        <v>1</v>
      </c>
      <c r="K895" s="4">
        <f>VALUE(SUBSTITUTE(SUBSTITUTE(SUBSTITUTE(SUBSTITUTE(D895,"$",""),"€",""),"₽","")," ",""))*IF(ISNUMBER(FIND("$",D895)),Справочники!$H$3,IF(ISNUMBER(FIND("€",D895)),Справочники!$H$4,1))</f>
        <v>9200</v>
      </c>
      <c r="L895" t="str">
        <f>IFERROR(VLOOKUP(TRIM(G895),Справочники!$D$3:$E$13,2,0),"Нет в справочнике")</f>
        <v>Возврат</v>
      </c>
      <c r="M895" t="str">
        <f t="shared" si="162"/>
        <v/>
      </c>
      <c r="N895" t="str">
        <f>IFERROR(VLOOKUP(I895,Товары_очищенные!$H$2:$J$502,3,0),"Нет в каталоге")</f>
        <v>Мониторы</v>
      </c>
      <c r="O895" s="4">
        <f>IFERROR(VLOOKUP(I895,Товары_очищенные!$H$2:$M$502,6,0),"")</f>
        <v>65500</v>
      </c>
      <c r="P895" t="str">
        <f t="shared" si="163"/>
        <v xml:space="preserve">Цена отличается от каталога</v>
      </c>
    </row>
    <row r="896">
      <c r="A896" s="3" t="s">
        <v>3761</v>
      </c>
      <c r="B896" s="3" t="s">
        <v>3762</v>
      </c>
      <c r="C896" s="3" t="s">
        <v>1930</v>
      </c>
      <c r="D896" s="3" t="s">
        <v>1986</v>
      </c>
      <c r="E896" s="3" t="s">
        <v>3763</v>
      </c>
      <c r="F896" s="3" t="s">
        <v>1752</v>
      </c>
      <c r="G896" s="3" t="s">
        <v>1903</v>
      </c>
      <c r="H896" s="5">
        <f t="shared" si="159"/>
        <v>46119</v>
      </c>
      <c r="I896" t="str">
        <f t="shared" si="160"/>
        <v>АРТ-090</v>
      </c>
      <c r="J896" s="6">
        <f t="shared" si="161"/>
        <v>3</v>
      </c>
      <c r="K896" s="4">
        <f>VALUE(SUBSTITUTE(SUBSTITUTE(SUBSTITUTE(SUBSTITUTE(D896,"$",""),"€",""),"₽","")," ",""))*IF(ISNUMBER(FIND("$",D896)),Справочники!$H$3,IF(ISNUMBER(FIND("€",D896)),Справочники!$H$4,1))</f>
        <v>8550</v>
      </c>
      <c r="L896" t="str">
        <f>IFERROR(VLOOKUP(TRIM(G896),Справочники!$D$3:$E$13,2,0),"Нет в справочнике")</f>
        <v>Завершен</v>
      </c>
      <c r="M896" t="str">
        <f t="shared" si="162"/>
        <v/>
      </c>
      <c r="N896" t="str">
        <f>IFERROR(VLOOKUP(I896,Товары_очищенные!$H$2:$J$502,3,0),"Нет в каталоге")</f>
        <v>Телевизоры</v>
      </c>
      <c r="O896" s="4">
        <f>IFERROR(VLOOKUP(I896,Товары_очищенные!$H$2:$M$502,6,0),"")</f>
        <v>56500</v>
      </c>
      <c r="P896" t="str">
        <f t="shared" si="163"/>
        <v xml:space="preserve">Цена отличается от каталога</v>
      </c>
    </row>
    <row r="897">
      <c r="A897" s="3" t="s">
        <v>3761</v>
      </c>
      <c r="B897" s="3" t="s">
        <v>2092</v>
      </c>
      <c r="C897" s="3" t="s">
        <v>1900</v>
      </c>
      <c r="D897" s="3" t="s">
        <v>1989</v>
      </c>
      <c r="E897" s="3" t="s">
        <v>3764</v>
      </c>
      <c r="F897" s="3" t="s">
        <v>1790</v>
      </c>
      <c r="G897" s="3" t="s">
        <v>1908</v>
      </c>
      <c r="H897" s="5">
        <f t="shared" si="159"/>
        <v>46119</v>
      </c>
      <c r="I897" t="str">
        <f t="shared" si="160"/>
        <v>АРТ-456</v>
      </c>
      <c r="J897" s="6">
        <f t="shared" si="161"/>
        <v>2</v>
      </c>
      <c r="K897" s="4">
        <f>VALUE(SUBSTITUTE(SUBSTITUTE(SUBSTITUTE(SUBSTITUTE(D897,"$",""),"€",""),"₽","")," ",""))*IF(ISNUMBER(FIND("$",D897)),Справочники!$H$3,IF(ISNUMBER(FIND("€",D897)),Справочники!$H$4,1))</f>
        <v>7000</v>
      </c>
      <c r="L897" t="str">
        <f>IFERROR(VLOOKUP(TRIM(G897),Справочники!$D$3:$E$13,2,0),"Нет в справочнике")</f>
        <v>Завершен</v>
      </c>
      <c r="M897" t="str">
        <f t="shared" si="162"/>
        <v/>
      </c>
      <c r="N897" t="str">
        <f>IFERROR(VLOOKUP(I897,Товары_очищенные!$H$2:$J$502,3,0),"Нет в каталоге")</f>
        <v>Мониторы</v>
      </c>
      <c r="O897" s="4">
        <f>IFERROR(VLOOKUP(I897,Товары_очищенные!$H$2:$M$502,6,0),"")</f>
        <v>77500</v>
      </c>
      <c r="P897" t="str">
        <f t="shared" si="163"/>
        <v xml:space="preserve">Цена отличается от каталога</v>
      </c>
    </row>
    <row r="898">
      <c r="A898" s="3" t="s">
        <v>3765</v>
      </c>
      <c r="B898" s="3" t="s">
        <v>3243</v>
      </c>
      <c r="C898" s="3" t="s">
        <v>1938</v>
      </c>
      <c r="D898" s="3" t="s">
        <v>1939</v>
      </c>
      <c r="E898" s="3" t="s">
        <v>3766</v>
      </c>
      <c r="F898" s="3" t="s">
        <v>1856</v>
      </c>
      <c r="G898" s="3" t="s">
        <v>1913</v>
      </c>
      <c r="H898" s="5">
        <f t="shared" si="159"/>
        <v>46120</v>
      </c>
      <c r="I898" t="str">
        <f t="shared" si="160"/>
        <v>АРТ-324</v>
      </c>
      <c r="J898" s="6">
        <f t="shared" si="161"/>
        <v>1</v>
      </c>
      <c r="K898" s="4">
        <f>VALUE(SUBSTITUTE(SUBSTITUTE(SUBSTITUTE(SUBSTITUTE(D898,"$",""),"€",""),"₽","")," ",""))*IF(ISNUMBER(FIND("$",D898)),Справочники!$H$3,IF(ISNUMBER(FIND("€",D898)),Справочники!$H$4,1))</f>
        <v>6500</v>
      </c>
      <c r="L898" t="str">
        <f>IFERROR(VLOOKUP(TRIM(G898),Справочники!$D$3:$E$13,2,0),"Нет в справочнике")</f>
        <v>Завершен</v>
      </c>
      <c r="M898" t="str">
        <f t="shared" si="162"/>
        <v/>
      </c>
      <c r="N898" t="str">
        <f>IFERROR(VLOOKUP(I898,Товары_очищенные!$H$2:$J$502,3,0),"Нет в каталоге")</f>
        <v>Наушники</v>
      </c>
      <c r="O898" s="4">
        <f>IFERROR(VLOOKUP(I898,Товары_очищенные!$H$2:$M$502,6,0),"")</f>
        <v>13800</v>
      </c>
      <c r="P898" t="str">
        <f t="shared" si="163"/>
        <v xml:space="preserve">Цена отличается от каталога</v>
      </c>
    </row>
    <row r="899">
      <c r="A899" s="3" t="s">
        <v>3765</v>
      </c>
      <c r="B899" s="3" t="s">
        <v>757</v>
      </c>
      <c r="C899" s="3" t="s">
        <v>1915</v>
      </c>
      <c r="D899" s="3" t="s">
        <v>1916</v>
      </c>
      <c r="E899" s="3" t="s">
        <v>3767</v>
      </c>
      <c r="F899" s="3" t="s">
        <v>1708</v>
      </c>
      <c r="G899" s="3" t="s">
        <v>1918</v>
      </c>
      <c r="H899" s="5">
        <f t="shared" si="159"/>
        <v>46120</v>
      </c>
      <c r="I899" t="str">
        <f t="shared" si="160"/>
        <v>АРТ-184</v>
      </c>
      <c r="J899" s="6">
        <f t="shared" si="161"/>
        <v>-1</v>
      </c>
      <c r="K899" s="4">
        <f>VALUE(SUBSTITUTE(SUBSTITUTE(SUBSTITUTE(SUBSTITUTE(D899,"$",""),"€",""),"₽","")," ",""))*IF(ISNUMBER(FIND("$",D899)),Справочники!$H$3,IF(ISNUMBER(FIND("€",D899)),Справочники!$H$4,1))</f>
        <v>10450</v>
      </c>
      <c r="L899" t="str">
        <f>IFERROR(VLOOKUP(TRIM(G899),Справочники!$D$3:$E$13,2,0),"Нет в справочнике")</f>
        <v>Отменен</v>
      </c>
      <c r="M899" t="str">
        <f t="shared" si="162"/>
        <v/>
      </c>
      <c r="N899" t="str">
        <f>IFERROR(VLOOKUP(I899,Товары_очищенные!$H$2:$J$502,3,0),"Нет в каталоге")</f>
        <v>Аксессуары</v>
      </c>
      <c r="O899" s="4">
        <f>IFERROR(VLOOKUP(I899,Товары_очищенные!$H$2:$M$502,6,0),"")</f>
        <v>19990</v>
      </c>
      <c r="P899" t="str">
        <f t="shared" si="163"/>
        <v xml:space="preserve">Цена отличается от каталога</v>
      </c>
    </row>
    <row r="900">
      <c r="A900" s="3" t="s">
        <v>3768</v>
      </c>
      <c r="B900" s="3" t="s">
        <v>3769</v>
      </c>
      <c r="C900" s="3" t="s">
        <v>1930</v>
      </c>
      <c r="D900" s="3" t="s">
        <v>1922</v>
      </c>
      <c r="E900" s="3" t="s">
        <v>3770</v>
      </c>
      <c r="F900" s="3" t="s">
        <v>1838</v>
      </c>
      <c r="G900" s="3" t="s">
        <v>1924</v>
      </c>
      <c r="H900" s="5">
        <f t="shared" si="159"/>
        <v>46121</v>
      </c>
      <c r="I900" t="str">
        <f t="shared" si="160"/>
        <v>АРТ-391</v>
      </c>
      <c r="J900" s="6">
        <f t="shared" si="161"/>
        <v>3</v>
      </c>
      <c r="K900" s="4">
        <f>VALUE(SUBSTITUTE(SUBSTITUTE(SUBSTITUTE(SUBSTITUTE(D900,"$",""),"€",""),"₽","")," ",""))*IF(ISNUMBER(FIND("$",D900)),Справочники!$H$3,IF(ISNUMBER(FIND("€",D900)),Справочники!$H$4,1))</f>
        <v>9000</v>
      </c>
      <c r="L900" t="str">
        <f>IFERROR(VLOOKUP(TRIM(G900),Справочники!$D$3:$E$13,2,0),"Нет в справочнике")</f>
        <v>Отменен</v>
      </c>
      <c r="M900" t="str">
        <f t="shared" si="162"/>
        <v/>
      </c>
      <c r="N900" t="str">
        <f>IFERROR(VLOOKUP(I900,Товары_очищенные!$H$2:$J$502,3,0),"Нет в каталоге")</f>
        <v>Наушники</v>
      </c>
      <c r="O900" s="4">
        <f>IFERROR(VLOOKUP(I900,Товары_очищенные!$H$2:$M$502,6,0),"")</f>
        <v>18990</v>
      </c>
      <c r="P900" t="str">
        <f t="shared" si="163"/>
        <v xml:space="preserve">Цена отличается от каталога</v>
      </c>
    </row>
    <row r="901">
      <c r="A901" s="3" t="s">
        <v>3768</v>
      </c>
      <c r="B901" s="3" t="s">
        <v>2010</v>
      </c>
      <c r="C901" s="3" t="s">
        <v>1900</v>
      </c>
      <c r="D901" s="3" t="s">
        <v>1925</v>
      </c>
      <c r="E901" s="3" t="s">
        <v>3771</v>
      </c>
      <c r="F901" s="3" t="s">
        <v>1759</v>
      </c>
      <c r="G901" s="3" t="s">
        <v>1903</v>
      </c>
      <c r="H901" s="5">
        <f t="shared" si="159"/>
        <v>46121</v>
      </c>
      <c r="I901" t="str">
        <f t="shared" si="160"/>
        <v>АРТ-176</v>
      </c>
      <c r="J901" s="6">
        <f t="shared" si="161"/>
        <v>2</v>
      </c>
      <c r="K901" s="4">
        <f>VALUE(SUBSTITUTE(SUBSTITUTE(SUBSTITUTE(SUBSTITUTE(D901,"$",""),"€",""),"₽","")," ",""))*IF(ISNUMBER(FIND("$",D901)),Справочники!$H$3,IF(ISNUMBER(FIND("€",D901)),Справочники!$H$4,1))</f>
        <v>8000</v>
      </c>
      <c r="L901" t="str">
        <f>IFERROR(VLOOKUP(TRIM(G901),Справочники!$D$3:$E$13,2,0),"Нет в справочнике")</f>
        <v>Завершен</v>
      </c>
      <c r="M901" t="str">
        <f t="shared" si="162"/>
        <v/>
      </c>
      <c r="N901" t="str">
        <f>IFERROR(VLOOKUP(I901,Товары_очищенные!$H$2:$J$502,3,0),"Нет в каталоге")</f>
        <v>Телевизоры</v>
      </c>
      <c r="O901" s="4">
        <f>IFERROR(VLOOKUP(I901,Товары_очищенные!$H$2:$M$502,6,0),"")</f>
        <v>97000</v>
      </c>
      <c r="P901" t="str">
        <f t="shared" si="163"/>
        <v xml:space="preserve">Цена отличается от каталога</v>
      </c>
    </row>
    <row r="902">
      <c r="A902" s="3" t="s">
        <v>3772</v>
      </c>
      <c r="B902" s="3" t="s">
        <v>270</v>
      </c>
      <c r="C902" s="3" t="s">
        <v>1905</v>
      </c>
      <c r="D902" s="3" t="s">
        <v>1964</v>
      </c>
      <c r="E902" s="3" t="s">
        <v>3773</v>
      </c>
      <c r="F902" s="3" t="s">
        <v>1642</v>
      </c>
      <c r="G902" s="3" t="s">
        <v>1927</v>
      </c>
      <c r="H902" s="5">
        <f t="shared" si="159"/>
        <v>46122</v>
      </c>
      <c r="I902" t="str">
        <f t="shared" si="160"/>
        <v>АРТ-055</v>
      </c>
      <c r="J902" s="6">
        <f t="shared" si="161"/>
        <v>1</v>
      </c>
      <c r="K902" s="4">
        <f>VALUE(SUBSTITUTE(SUBSTITUTE(SUBSTITUTE(SUBSTITUTE(D902,"$",""),"€",""),"₽","")," ",""))*IF(ISNUMBER(FIND("$",D902)),Справочники!$H$3,IF(ISNUMBER(FIND("€",D902)),Справочники!$H$4,1))</f>
        <v>9025</v>
      </c>
      <c r="L902" t="str">
        <f>IFERROR(VLOOKUP(TRIM(G902),Справочники!$D$3:$E$13,2,0),"Нет в справочнике")</f>
        <v>Возврат</v>
      </c>
      <c r="M902" t="str">
        <f t="shared" si="162"/>
        <v/>
      </c>
      <c r="N902" t="str">
        <f>IFERROR(VLOOKUP(I902,Товары_очищенные!$H$2:$J$502,3,0),"Нет в каталоге")</f>
        <v>Аксессуары</v>
      </c>
      <c r="O902" s="4">
        <f>IFERROR(VLOOKUP(I902,Товары_очищенные!$H$2:$M$502,6,0),"")</f>
        <v>10990</v>
      </c>
      <c r="P902" t="str">
        <f t="shared" si="163"/>
        <v>ОК</v>
      </c>
    </row>
    <row r="903">
      <c r="A903" s="3" t="s">
        <v>3772</v>
      </c>
      <c r="B903" s="3" t="s">
        <v>3449</v>
      </c>
      <c r="C903" s="3" t="s">
        <v>1900</v>
      </c>
      <c r="D903" s="3" t="s">
        <v>1968</v>
      </c>
      <c r="E903" s="3" t="s">
        <v>3774</v>
      </c>
      <c r="F903" s="3" t="s">
        <v>1608</v>
      </c>
      <c r="G903" s="3" t="s">
        <v>1908</v>
      </c>
      <c r="H903" s="5">
        <f t="shared" si="159"/>
        <v>46122</v>
      </c>
      <c r="I903" t="str">
        <f t="shared" si="160"/>
        <v>АРТ-463</v>
      </c>
      <c r="J903" s="6">
        <f t="shared" si="161"/>
        <v>2</v>
      </c>
      <c r="K903" s="4">
        <f>VALUE(SUBSTITUTE(SUBSTITUTE(SUBSTITUTE(SUBSTITUTE(D903,"$",""),"€",""),"₽","")," ",""))*IF(ISNUMBER(FIND("$",D903)),Справочники!$H$3,IF(ISNUMBER(FIND("€",D903)),Справочники!$H$4,1))</f>
        <v>7500</v>
      </c>
      <c r="L903" t="str">
        <f>IFERROR(VLOOKUP(TRIM(G903),Справочники!$D$3:$E$13,2,0),"Нет в справочнике")</f>
        <v>Завершен</v>
      </c>
      <c r="M903" t="str">
        <f t="shared" si="162"/>
        <v/>
      </c>
      <c r="N903" t="str">
        <f>IFERROR(VLOOKUP(I903,Товары_очищенные!$H$2:$J$502,3,0),"Нет в каталоге")</f>
        <v>Планшеты</v>
      </c>
      <c r="O903" s="4">
        <f>IFERROR(VLOOKUP(I903,Товары_очищенные!$H$2:$M$502,6,0),"")</f>
        <v>29990</v>
      </c>
      <c r="P903" t="str">
        <f t="shared" si="163"/>
        <v xml:space="preserve">Цена отличается от каталога</v>
      </c>
    </row>
    <row r="904">
      <c r="A904" s="3" t="s">
        <v>3775</v>
      </c>
      <c r="B904" s="3" t="s">
        <v>3102</v>
      </c>
      <c r="C904" s="3" t="s">
        <v>1910</v>
      </c>
      <c r="D904" s="3" t="s">
        <v>1971</v>
      </c>
      <c r="E904" s="3" t="s">
        <v>3776</v>
      </c>
      <c r="F904" s="3" t="s">
        <v>1715</v>
      </c>
      <c r="G904" s="3" t="s">
        <v>1913</v>
      </c>
      <c r="H904" s="5">
        <f t="shared" si="159"/>
        <v>46123</v>
      </c>
      <c r="I904" t="str">
        <f t="shared" si="160"/>
        <v>АРТ-386</v>
      </c>
      <c r="J904" s="6">
        <f t="shared" si="161"/>
        <v>3</v>
      </c>
      <c r="K904" s="4">
        <f>VALUE(SUBSTITUTE(SUBSTITUTE(SUBSTITUTE(SUBSTITUTE(D904,"$",""),"€",""),"₽","")," ",""))*IF(ISNUMBER(FIND("$",D904)),Справочники!$H$3,IF(ISNUMBER(FIND("€",D904)),Справочники!$H$4,1))</f>
        <v>7000</v>
      </c>
      <c r="L904" t="str">
        <f>IFERROR(VLOOKUP(TRIM(G904),Справочники!$D$3:$E$13,2,0),"Нет в справочнике")</f>
        <v>Завершен</v>
      </c>
      <c r="M904" t="str">
        <f t="shared" si="162"/>
        <v/>
      </c>
      <c r="N904" t="str">
        <f>IFERROR(VLOOKUP(I904,Товары_очищенные!$H$2:$J$502,3,0),"Нет в каталоге")</f>
        <v>Ноутбуки</v>
      </c>
      <c r="O904" s="4">
        <f>IFERROR(VLOOKUP(I904,Товары_очищенные!$H$2:$M$502,6,0),"")</f>
        <v>114000</v>
      </c>
      <c r="P904" t="str">
        <f t="shared" si="163"/>
        <v xml:space="preserve">Цена отличается от каталога</v>
      </c>
    </row>
    <row r="905">
      <c r="A905" s="3" t="s">
        <v>3775</v>
      </c>
      <c r="B905" s="3" t="s">
        <v>3777</v>
      </c>
      <c r="C905" s="3" t="s">
        <v>1942</v>
      </c>
      <c r="D905" s="3" t="s">
        <v>1943</v>
      </c>
      <c r="E905" s="3" t="s">
        <v>3778</v>
      </c>
      <c r="F905" s="3" t="s">
        <v>1850</v>
      </c>
      <c r="G905" s="3" t="s">
        <v>1903</v>
      </c>
      <c r="H905" s="5">
        <f t="shared" si="159"/>
        <v>46123</v>
      </c>
      <c r="I905" t="str">
        <f t="shared" si="160"/>
        <v>АРТ-279</v>
      </c>
      <c r="J905" s="6">
        <f t="shared" si="161"/>
        <v>-2</v>
      </c>
      <c r="K905" s="4">
        <f>VALUE(SUBSTITUTE(SUBSTITUTE(SUBSTITUTE(SUBSTITUTE(D905,"$",""),"€",""),"₽","")," ",""))*IF(ISNUMBER(FIND("$",D905)),Справочники!$H$3,IF(ISNUMBER(FIND("€",D905)),Справочники!$H$4,1))</f>
        <v>10925</v>
      </c>
      <c r="L905" t="str">
        <f>IFERROR(VLOOKUP(TRIM(G905),Справочники!$D$3:$E$13,2,0),"Нет в справочнике")</f>
        <v>Завершен</v>
      </c>
      <c r="M905" t="str">
        <f t="shared" si="162"/>
        <v/>
      </c>
      <c r="N905" t="str">
        <f>IFERROR(VLOOKUP(I905,Товары_очищенные!$H$2:$J$502,3,0),"Нет в каталоге")</f>
        <v>Телевизоры</v>
      </c>
      <c r="O905" s="4">
        <f>IFERROR(VLOOKUP(I905,Товары_очищенные!$H$2:$M$502,6,0),"")</f>
        <v>117500</v>
      </c>
      <c r="P905" t="str">
        <f t="shared" si="163"/>
        <v xml:space="preserve">Цена отличается от каталога</v>
      </c>
    </row>
    <row r="906">
      <c r="A906" s="3" t="s">
        <v>3779</v>
      </c>
      <c r="B906" s="3" t="s">
        <v>3780</v>
      </c>
      <c r="C906" s="3" t="s">
        <v>1905</v>
      </c>
      <c r="D906" s="3" t="s">
        <v>1934</v>
      </c>
      <c r="E906" s="3" t="s">
        <v>3781</v>
      </c>
      <c r="F906" s="3" t="s">
        <v>1615</v>
      </c>
      <c r="G906" s="3" t="s">
        <v>1924</v>
      </c>
      <c r="H906" s="5">
        <f t="shared" si="159"/>
        <v>46124</v>
      </c>
      <c r="I906" t="str">
        <f t="shared" si="160"/>
        <v>АРТ-271</v>
      </c>
      <c r="J906" s="6">
        <f t="shared" si="161"/>
        <v>1</v>
      </c>
      <c r="K906" s="4">
        <f>VALUE(SUBSTITUTE(SUBSTITUTE(SUBSTITUTE(SUBSTITUTE(D906,"$",""),"€",""),"₽","")," ",""))*IF(ISNUMBER(FIND("$",D906)),Справочники!$H$3,IF(ISNUMBER(FIND("€",D906)),Справочники!$H$4,1))</f>
        <v>9500</v>
      </c>
      <c r="L906" t="str">
        <f>IFERROR(VLOOKUP(TRIM(G906),Справочники!$D$3:$E$13,2,0),"Нет в справочнике")</f>
        <v>Отменен</v>
      </c>
      <c r="M906" t="str">
        <f t="shared" si="162"/>
        <v/>
      </c>
      <c r="N906" t="str">
        <f>IFERROR(VLOOKUP(I906,Товары_очищенные!$H$2:$J$502,3,0),"Нет в каталоге")</f>
        <v>Смартфоны</v>
      </c>
      <c r="O906" s="4">
        <f>IFERROR(VLOOKUP(I906,Товары_очищенные!$H$2:$M$502,6,0),"")</f>
        <v>44990</v>
      </c>
      <c r="P906" t="str">
        <f t="shared" si="163"/>
        <v xml:space="preserve">Цена отличается от каталога</v>
      </c>
    </row>
    <row r="907">
      <c r="A907" s="3" t="s">
        <v>3779</v>
      </c>
      <c r="B907" s="3" t="s">
        <v>2841</v>
      </c>
      <c r="C907" s="3" t="s">
        <v>1900</v>
      </c>
      <c r="D907" s="3" t="s">
        <v>1951</v>
      </c>
      <c r="E907" s="3" t="s">
        <v>3782</v>
      </c>
      <c r="F907" s="3" t="s">
        <v>1765</v>
      </c>
      <c r="G907" s="3" t="s">
        <v>1918</v>
      </c>
      <c r="H907" s="5">
        <f t="shared" si="159"/>
        <v>46124</v>
      </c>
      <c r="I907" t="str">
        <f t="shared" si="160"/>
        <v>АРТ-139</v>
      </c>
      <c r="J907" s="6">
        <f t="shared" si="161"/>
        <v>2</v>
      </c>
      <c r="K907" s="4">
        <f>VALUE(SUBSTITUTE(SUBSTITUTE(SUBSTITUTE(SUBSTITUTE(D907,"$",""),"€",""),"₽","")," ",""))*IF(ISNUMBER(FIND("$",D907)),Справочники!$H$3,IF(ISNUMBER(FIND("€",D907)),Справочники!$H$4,1))</f>
        <v>8500</v>
      </c>
      <c r="L907" t="str">
        <f>IFERROR(VLOOKUP(TRIM(G907),Справочники!$D$3:$E$13,2,0),"Нет в справочнике")</f>
        <v>Отменен</v>
      </c>
      <c r="M907" t="str">
        <f t="shared" si="162"/>
        <v/>
      </c>
      <c r="N907" t="str">
        <f>IFERROR(VLOOKUP(I907,Товары_очищенные!$H$2:$J$502,3,0),"Нет в каталоге")</f>
        <v>Мониторы</v>
      </c>
      <c r="O907" s="4">
        <f>IFERROR(VLOOKUP(I907,Товары_очищенные!$H$2:$M$502,6,0),"")</f>
        <v>89900</v>
      </c>
      <c r="P907" t="str">
        <f t="shared" si="163"/>
        <v xml:space="preserve">Цена отличается от каталога</v>
      </c>
    </row>
    <row r="908">
      <c r="A908" s="3" t="s">
        <v>3783</v>
      </c>
      <c r="B908" s="3" t="s">
        <v>3784</v>
      </c>
      <c r="C908" s="3" t="s">
        <v>1930</v>
      </c>
      <c r="D908" s="3" t="s">
        <v>1931</v>
      </c>
      <c r="E908" s="3" t="s">
        <v>3785</v>
      </c>
      <c r="F908" s="3" t="s">
        <v>1688</v>
      </c>
      <c r="G908" s="3" t="s">
        <v>1927</v>
      </c>
      <c r="H908" s="5">
        <f t="shared" si="159"/>
        <v>46125</v>
      </c>
      <c r="I908" t="str">
        <f t="shared" si="160"/>
        <v>АРТ-015</v>
      </c>
      <c r="J908" s="6">
        <f t="shared" si="161"/>
        <v>3</v>
      </c>
      <c r="K908" s="4">
        <f>VALUE(SUBSTITUTE(SUBSTITUTE(SUBSTITUTE(SUBSTITUTE(D908,"$",""),"€",""),"₽","")," ",""))*IF(ISNUMBER(FIND("$",D908)),Справочники!$H$3,IF(ISNUMBER(FIND("€",D908)),Справочники!$H$4,1))</f>
        <v>9975</v>
      </c>
      <c r="L908" t="str">
        <f>IFERROR(VLOOKUP(TRIM(G908),Справочники!$D$3:$E$13,2,0),"Нет в справочнике")</f>
        <v>Возврат</v>
      </c>
      <c r="M908" t="str">
        <f t="shared" si="162"/>
        <v/>
      </c>
      <c r="N908" t="str">
        <f>IFERROR(VLOOKUP(I908,Товары_очищенные!$H$2:$J$502,3,0),"Нет в каталоге")</f>
        <v>Телевизоры</v>
      </c>
      <c r="O908" s="4">
        <f>IFERROR(VLOOKUP(I908,Товары_очищенные!$H$2:$M$502,6,0),"")</f>
        <v>151000</v>
      </c>
      <c r="P908" t="str">
        <f t="shared" si="163"/>
        <v xml:space="preserve">Цена отличается от каталога</v>
      </c>
    </row>
    <row r="909">
      <c r="A909" s="3" t="s">
        <v>3783</v>
      </c>
      <c r="B909" s="3" t="s">
        <v>3786</v>
      </c>
      <c r="C909" s="3" t="s">
        <v>1900</v>
      </c>
      <c r="D909" s="3" t="s">
        <v>1906</v>
      </c>
      <c r="E909" s="3" t="s">
        <v>3787</v>
      </c>
      <c r="F909" s="3" t="s">
        <v>1832</v>
      </c>
      <c r="G909" s="3" t="s">
        <v>1903</v>
      </c>
      <c r="H909" s="5">
        <f t="shared" si="159"/>
        <v>46125</v>
      </c>
      <c r="I909" t="str">
        <f t="shared" si="160"/>
        <v>АРТ-417</v>
      </c>
      <c r="J909" s="6">
        <f t="shared" si="161"/>
        <v>2</v>
      </c>
      <c r="K909" s="4">
        <f>VALUE(SUBSTITUTE(SUBSTITUTE(SUBSTITUTE(SUBSTITUTE(D909,"$",""),"€",""),"₽","")," ",""))*IF(ISNUMBER(FIND("$",D909)),Справочники!$H$3,IF(ISNUMBER(FIND("€",D909)),Справочники!$H$4,1))</f>
        <v>8500</v>
      </c>
      <c r="L909" t="str">
        <f>IFERROR(VLOOKUP(TRIM(G909),Справочники!$D$3:$E$13,2,0),"Нет в справочнике")</f>
        <v>Завершен</v>
      </c>
      <c r="M909" t="str">
        <f t="shared" si="162"/>
        <v/>
      </c>
      <c r="N909" t="str">
        <f>IFERROR(VLOOKUP(I909,Товары_очищенные!$H$2:$J$502,3,0),"Нет в каталоге")</f>
        <v>Аксессуары</v>
      </c>
      <c r="O909" s="4">
        <f>IFERROR(VLOOKUP(I909,Товары_очищенные!$H$2:$M$502,6,0),"")</f>
        <v>15800</v>
      </c>
      <c r="P909" t="str">
        <f t="shared" si="163"/>
        <v xml:space="preserve">Цена отличается от каталога</v>
      </c>
    </row>
    <row r="910">
      <c r="A910" s="3" t="s">
        <v>3788</v>
      </c>
      <c r="B910" s="3" t="s">
        <v>2907</v>
      </c>
      <c r="C910" s="3" t="s">
        <v>1938</v>
      </c>
      <c r="D910" s="3" t="s">
        <v>2166</v>
      </c>
      <c r="E910" s="3" t="s">
        <v>3789</v>
      </c>
      <c r="F910" s="3" t="s">
        <v>1594</v>
      </c>
      <c r="G910" s="3" t="s">
        <v>1908</v>
      </c>
      <c r="H910" s="5">
        <f t="shared" si="159"/>
        <v>46126</v>
      </c>
      <c r="I910" t="str">
        <f t="shared" si="160"/>
        <v>АРТ-307</v>
      </c>
      <c r="J910" s="6">
        <f t="shared" si="161"/>
        <v>1</v>
      </c>
      <c r="K910" s="4">
        <f>VALUE(SUBSTITUTE(SUBSTITUTE(SUBSTITUTE(SUBSTITUTE(D910,"$",""),"€",""),"₽","")," ",""))*IF(ISNUMBER(FIND("$",D910)),Справочники!$H$3,IF(ISNUMBER(FIND("€",D910)),Справочники!$H$4,1))</f>
        <v>7800</v>
      </c>
      <c r="L910" t="str">
        <f>IFERROR(VLOOKUP(TRIM(G910),Справочники!$D$3:$E$13,2,0),"Нет в справочнике")</f>
        <v>Завершен</v>
      </c>
      <c r="M910" t="str">
        <f t="shared" si="162"/>
        <v/>
      </c>
      <c r="N910" t="str">
        <f>IFERROR(VLOOKUP(I910,Товары_очищенные!$H$2:$J$502,3,0),"Нет в каталоге")</f>
        <v>Аксессуары</v>
      </c>
      <c r="O910" s="4">
        <f>IFERROR(VLOOKUP(I910,Товары_очищенные!$H$2:$M$502,6,0),"")</f>
        <v>8990</v>
      </c>
      <c r="P910" t="str">
        <f t="shared" si="163"/>
        <v>ОК</v>
      </c>
    </row>
    <row r="911">
      <c r="A911" s="3" t="s">
        <v>3788</v>
      </c>
      <c r="B911" s="3" t="s">
        <v>2461</v>
      </c>
      <c r="C911" s="3" t="s">
        <v>1985</v>
      </c>
      <c r="D911" s="3" t="s">
        <v>2044</v>
      </c>
      <c r="E911" s="3" t="s">
        <v>3790</v>
      </c>
      <c r="F911" s="3" t="s">
        <v>1796</v>
      </c>
      <c r="G911" s="3" t="s">
        <v>1913</v>
      </c>
      <c r="H911" s="5">
        <f t="shared" si="159"/>
        <v>46126</v>
      </c>
      <c r="I911" t="str">
        <f t="shared" si="160"/>
        <v>АРТ-407</v>
      </c>
      <c r="J911" s="6">
        <f t="shared" si="161"/>
        <v>-3</v>
      </c>
      <c r="K911" s="4">
        <f>VALUE(SUBSTITUTE(SUBSTITUTE(SUBSTITUTE(SUBSTITUTE(D911,"$",""),"€",""),"₽","")," ",""))*IF(ISNUMBER(FIND("$",D911)),Справочники!$H$3,IF(ISNUMBER(FIND("€",D911)),Справочники!$H$4,1))</f>
        <v>11400</v>
      </c>
      <c r="L911" t="str">
        <f>IFERROR(VLOOKUP(TRIM(G911),Справочники!$D$3:$E$13,2,0),"Нет в справочнике")</f>
        <v>Завершен</v>
      </c>
      <c r="M911" t="str">
        <f t="shared" si="162"/>
        <v/>
      </c>
      <c r="N911" t="str">
        <f>IFERROR(VLOOKUP(I911,Товары_очищенные!$H$2:$J$502,3,0),"Нет в каталоге")</f>
        <v>Телевизоры</v>
      </c>
      <c r="O911" s="4">
        <f>IFERROR(VLOOKUP(I911,Товары_очищенные!$H$2:$M$502,6,0),"")</f>
        <v>102000</v>
      </c>
      <c r="P911" t="str">
        <f t="shared" si="163"/>
        <v xml:space="preserve">Цена отличается от каталога</v>
      </c>
    </row>
    <row r="912">
      <c r="A912" s="3" t="s">
        <v>3791</v>
      </c>
      <c r="B912" s="3" t="s">
        <v>2761</v>
      </c>
      <c r="C912" s="3" t="s">
        <v>1900</v>
      </c>
      <c r="D912" s="3" t="s">
        <v>2046</v>
      </c>
      <c r="E912" s="3" t="s">
        <v>3792</v>
      </c>
      <c r="F912" s="3" t="s">
        <v>1656</v>
      </c>
      <c r="G912" s="3" t="s">
        <v>1918</v>
      </c>
      <c r="H912" s="5">
        <f t="shared" si="159"/>
        <v>46127</v>
      </c>
      <c r="I912" t="str">
        <f t="shared" si="160"/>
        <v>АРТ-364</v>
      </c>
      <c r="J912" s="6">
        <f t="shared" si="161"/>
        <v>2</v>
      </c>
      <c r="K912" s="4">
        <f>VALUE(SUBSTITUTE(SUBSTITUTE(SUBSTITUTE(SUBSTITUTE(D912,"$",""),"€",""),"₽","")," ",""))*IF(ISNUMBER(FIND("$",D912)),Справочники!$H$3,IF(ISNUMBER(FIND("€",D912)),Справочники!$H$4,1))</f>
        <v>10000</v>
      </c>
      <c r="L912" t="str">
        <f>IFERROR(VLOOKUP(TRIM(G912),Справочники!$D$3:$E$13,2,0),"Нет в справочнике")</f>
        <v>Отменен</v>
      </c>
      <c r="M912" t="str">
        <f t="shared" si="162"/>
        <v/>
      </c>
      <c r="N912" t="str">
        <f>IFERROR(VLOOKUP(I912,Товары_очищенные!$H$2:$J$502,3,0),"Нет в каталоге")</f>
        <v>Телевизоры</v>
      </c>
      <c r="O912" s="4">
        <f>IFERROR(VLOOKUP(I912,Товары_очищенные!$H$2:$M$502,6,0),"")</f>
        <v>139990</v>
      </c>
      <c r="P912" t="str">
        <f t="shared" si="163"/>
        <v xml:space="preserve">Цена отличается от каталога</v>
      </c>
    </row>
    <row r="913">
      <c r="A913" s="3" t="s">
        <v>3791</v>
      </c>
      <c r="B913" s="3" t="s">
        <v>3793</v>
      </c>
      <c r="C913" s="3" t="s">
        <v>1905</v>
      </c>
      <c r="D913" s="3" t="s">
        <v>2087</v>
      </c>
      <c r="E913" s="3" t="s">
        <v>3794</v>
      </c>
      <c r="F913" s="3" t="s">
        <v>1746</v>
      </c>
      <c r="G913" s="3" t="s">
        <v>1924</v>
      </c>
      <c r="H913" s="5">
        <f t="shared" si="159"/>
        <v>46127</v>
      </c>
      <c r="I913" t="str">
        <f t="shared" si="160"/>
        <v>АРТ-209</v>
      </c>
      <c r="J913" s="6">
        <f t="shared" si="161"/>
        <v>1</v>
      </c>
      <c r="K913" s="4">
        <f>VALUE(SUBSTITUTE(SUBSTITUTE(SUBSTITUTE(SUBSTITUTE(D913,"$",""),"€",""),"₽","")," ",""))*IF(ISNUMBER(FIND("$",D913)),Справочники!$H$3,IF(ISNUMBER(FIND("€",D913)),Справочники!$H$4,1))</f>
        <v>9200</v>
      </c>
      <c r="L913" t="str">
        <f>IFERROR(VLOOKUP(TRIM(G913),Справочники!$D$3:$E$13,2,0),"Нет в справочнике")</f>
        <v>Отменен</v>
      </c>
      <c r="M913" t="str">
        <f t="shared" si="162"/>
        <v/>
      </c>
      <c r="N913" t="str">
        <f>IFERROR(VLOOKUP(I913,Товары_очищенные!$H$2:$J$502,3,0),"Нет в каталоге")</f>
        <v>Аксессуары</v>
      </c>
      <c r="O913" s="4">
        <f>IFERROR(VLOOKUP(I913,Товары_очищенные!$H$2:$M$502,6,0),"")</f>
        <v>10500</v>
      </c>
      <c r="P913" t="str">
        <f t="shared" si="163"/>
        <v>ОК</v>
      </c>
    </row>
    <row r="914">
      <c r="A914" s="3" t="s">
        <v>3795</v>
      </c>
      <c r="B914" s="3" t="s">
        <v>3796</v>
      </c>
      <c r="C914" s="3" t="s">
        <v>1930</v>
      </c>
      <c r="D914" s="3" t="s">
        <v>1986</v>
      </c>
      <c r="E914" s="3" t="s">
        <v>3797</v>
      </c>
      <c r="F914" s="3" t="s">
        <v>1622</v>
      </c>
      <c r="G914" s="3" t="s">
        <v>1903</v>
      </c>
      <c r="H914" s="5">
        <f t="shared" si="159"/>
        <v>46128</v>
      </c>
      <c r="I914" t="str">
        <f t="shared" si="160"/>
        <v>АРТ-143</v>
      </c>
      <c r="J914" s="6">
        <f t="shared" si="161"/>
        <v>3</v>
      </c>
      <c r="K914" s="4">
        <f>VALUE(SUBSTITUTE(SUBSTITUTE(SUBSTITUTE(SUBSTITUTE(D914,"$",""),"€",""),"₽","")," ",""))*IF(ISNUMBER(FIND("$",D914)),Справочники!$H$3,IF(ISNUMBER(FIND("€",D914)),Справочники!$H$4,1))</f>
        <v>8550</v>
      </c>
      <c r="L914" t="str">
        <f>IFERROR(VLOOKUP(TRIM(G914),Справочники!$D$3:$E$13,2,0),"Нет в справочнике")</f>
        <v>Завершен</v>
      </c>
      <c r="M914" t="str">
        <f t="shared" si="162"/>
        <v/>
      </c>
      <c r="N914" t="str">
        <f>IFERROR(VLOOKUP(I914,Товары_очищенные!$H$2:$J$502,3,0),"Нет в каталоге")</f>
        <v>Аксессуары</v>
      </c>
      <c r="O914" s="4">
        <f>IFERROR(VLOOKUP(I914,Товары_очищенные!$H$2:$M$502,6,0),"")</f>
        <v>7500</v>
      </c>
      <c r="P914" t="str">
        <f t="shared" si="163"/>
        <v>ОК</v>
      </c>
    </row>
    <row r="915">
      <c r="A915" s="3" t="s">
        <v>3795</v>
      </c>
      <c r="B915" s="3" t="s">
        <v>1510</v>
      </c>
      <c r="C915" s="3" t="s">
        <v>1900</v>
      </c>
      <c r="D915" s="3" t="s">
        <v>1989</v>
      </c>
      <c r="E915" s="3" t="s">
        <v>3798</v>
      </c>
      <c r="F915" s="3" t="s">
        <v>1826</v>
      </c>
      <c r="G915" s="3" t="s">
        <v>1927</v>
      </c>
      <c r="H915" s="5">
        <f t="shared" si="159"/>
        <v>46128</v>
      </c>
      <c r="I915" t="str">
        <f t="shared" si="160"/>
        <v>АРТ-482</v>
      </c>
      <c r="J915" s="6">
        <f t="shared" si="161"/>
        <v>2</v>
      </c>
      <c r="K915" s="4">
        <f>VALUE(SUBSTITUTE(SUBSTITUTE(SUBSTITUTE(SUBSTITUTE(D915,"$",""),"€",""),"₽","")," ",""))*IF(ISNUMBER(FIND("$",D915)),Справочники!$H$3,IF(ISNUMBER(FIND("€",D915)),Справочники!$H$4,1))</f>
        <v>7000</v>
      </c>
      <c r="L915" t="str">
        <f>IFERROR(VLOOKUP(TRIM(G915),Справочники!$D$3:$E$13,2,0),"Нет в справочнике")</f>
        <v>Возврат</v>
      </c>
      <c r="M915" t="str">
        <f t="shared" si="162"/>
        <v/>
      </c>
      <c r="N915" t="str">
        <f>IFERROR(VLOOKUP(I915,Товары_очищенные!$H$2:$J$502,3,0),"Нет в каталоге")</f>
        <v>Планшеты</v>
      </c>
      <c r="O915" s="4">
        <f>IFERROR(VLOOKUP(I915,Товары_очищенные!$H$2:$M$502,6,0),"")</f>
        <v>38500</v>
      </c>
      <c r="P915" t="str">
        <f t="shared" si="163"/>
        <v xml:space="preserve">Цена отличается от каталога</v>
      </c>
    </row>
    <row r="916">
      <c r="A916" s="3" t="s">
        <v>3799</v>
      </c>
      <c r="B916" s="3" t="s">
        <v>2551</v>
      </c>
      <c r="C916" s="3" t="s">
        <v>1938</v>
      </c>
      <c r="D916" s="3" t="s">
        <v>1939</v>
      </c>
      <c r="E916" s="3" t="s">
        <v>3800</v>
      </c>
      <c r="F916" s="3" t="s">
        <v>1676</v>
      </c>
      <c r="G916" s="3" t="s">
        <v>1908</v>
      </c>
      <c r="H916" s="5">
        <f t="shared" si="159"/>
        <v>46129</v>
      </c>
      <c r="I916" t="str">
        <f t="shared" si="160"/>
        <v>АРТ-311</v>
      </c>
      <c r="J916" s="6">
        <f t="shared" si="161"/>
        <v>1</v>
      </c>
      <c r="K916" s="4">
        <f>VALUE(SUBSTITUTE(SUBSTITUTE(SUBSTITUTE(SUBSTITUTE(D916,"$",""),"€",""),"₽","")," ",""))*IF(ISNUMBER(FIND("$",D916)),Справочники!$H$3,IF(ISNUMBER(FIND("€",D916)),Справочники!$H$4,1))</f>
        <v>6500</v>
      </c>
      <c r="L916" t="str">
        <f>IFERROR(VLOOKUP(TRIM(G916),Справочники!$D$3:$E$13,2,0),"Нет в справочнике")</f>
        <v>Завершен</v>
      </c>
      <c r="M916" t="str">
        <f t="shared" si="162"/>
        <v/>
      </c>
      <c r="N916" t="str">
        <f>IFERROR(VLOOKUP(I916,Товары_очищенные!$H$2:$J$502,3,0),"Нет в каталоге")</f>
        <v>Планшеты</v>
      </c>
      <c r="O916" s="4">
        <f>IFERROR(VLOOKUP(I916,Товары_очищенные!$H$2:$M$502,6,0),"")</f>
        <v>62500</v>
      </c>
      <c r="P916" t="str">
        <f t="shared" si="163"/>
        <v xml:space="preserve">Цена отличается от каталога</v>
      </c>
    </row>
    <row r="917">
      <c r="A917" s="3" t="s">
        <v>3799</v>
      </c>
      <c r="B917" s="3" t="s">
        <v>3801</v>
      </c>
      <c r="C917" s="3" t="s">
        <v>1915</v>
      </c>
      <c r="D917" s="3" t="s">
        <v>1916</v>
      </c>
      <c r="E917" s="3" t="s">
        <v>3802</v>
      </c>
      <c r="F917" s="3" t="s">
        <v>1772</v>
      </c>
      <c r="G917" s="3" t="s">
        <v>1913</v>
      </c>
      <c r="H917" s="5">
        <f t="shared" si="159"/>
        <v>46129</v>
      </c>
      <c r="I917" t="str">
        <f t="shared" si="160"/>
        <v>АРТ-309</v>
      </c>
      <c r="J917" s="6">
        <f t="shared" si="161"/>
        <v>-1</v>
      </c>
      <c r="K917" s="4">
        <f>VALUE(SUBSTITUTE(SUBSTITUTE(SUBSTITUTE(SUBSTITUTE(D917,"$",""),"€",""),"₽","")," ",""))*IF(ISNUMBER(FIND("$",D917)),Справочники!$H$3,IF(ISNUMBER(FIND("€",D917)),Справочники!$H$4,1))</f>
        <v>10450</v>
      </c>
      <c r="L917" t="str">
        <f>IFERROR(VLOOKUP(TRIM(G917),Справочники!$D$3:$E$13,2,0),"Нет в справочнике")</f>
        <v>Завершен</v>
      </c>
      <c r="M917" t="str">
        <f t="shared" si="162"/>
        <v/>
      </c>
      <c r="N917" t="str">
        <f>IFERROR(VLOOKUP(I917,Товары_очищенные!$H$2:$J$502,3,0),"Нет в каталоге")</f>
        <v>Аксессуары</v>
      </c>
      <c r="O917" s="4">
        <f>IFERROR(VLOOKUP(I917,Товары_очищенные!$H$2:$M$502,6,0),"")</f>
        <v>9800</v>
      </c>
      <c r="P917" t="str">
        <f t="shared" si="163"/>
        <v>ОК</v>
      </c>
    </row>
    <row r="918">
      <c r="A918" s="3" t="s">
        <v>3803</v>
      </c>
      <c r="B918" s="3" t="s">
        <v>3377</v>
      </c>
      <c r="C918" s="3" t="s">
        <v>1930</v>
      </c>
      <c r="D918" s="3" t="s">
        <v>1922</v>
      </c>
      <c r="E918" s="3" t="s">
        <v>3804</v>
      </c>
      <c r="F918" s="3" t="s">
        <v>1874</v>
      </c>
      <c r="G918" s="3" t="s">
        <v>1903</v>
      </c>
      <c r="H918" s="5">
        <f t="shared" si="159"/>
        <v>46130</v>
      </c>
      <c r="I918" t="str">
        <f t="shared" si="160"/>
        <v>АРТ-282</v>
      </c>
      <c r="J918" s="6">
        <f t="shared" si="161"/>
        <v>3</v>
      </c>
      <c r="K918" s="4">
        <f>VALUE(SUBSTITUTE(SUBSTITUTE(SUBSTITUTE(SUBSTITUTE(D918,"$",""),"€",""),"₽","")," ",""))*IF(ISNUMBER(FIND("$",D918)),Справочники!$H$3,IF(ISNUMBER(FIND("€",D918)),Справочники!$H$4,1))</f>
        <v>9000</v>
      </c>
      <c r="L918" t="str">
        <f>IFERROR(VLOOKUP(TRIM(G918),Справочники!$D$3:$E$13,2,0),"Нет в справочнике")</f>
        <v>Завершен</v>
      </c>
      <c r="M918" t="str">
        <f t="shared" si="162"/>
        <v/>
      </c>
      <c r="N918" t="str">
        <f>IFERROR(VLOOKUP(I918,Товары_очищенные!$H$2:$J$502,3,0),"Нет в каталоге")</f>
        <v>Наушники</v>
      </c>
      <c r="O918" s="4">
        <f>IFERROR(VLOOKUP(I918,Товары_очищенные!$H$2:$M$502,6,0),"")</f>
        <v>34500</v>
      </c>
      <c r="P918" t="str">
        <f t="shared" si="163"/>
        <v xml:space="preserve">Цена отличается от каталога</v>
      </c>
    </row>
    <row r="919">
      <c r="A919" s="3" t="s">
        <v>3803</v>
      </c>
      <c r="B919" s="3" t="s">
        <v>3320</v>
      </c>
      <c r="C919" s="3" t="s">
        <v>1900</v>
      </c>
      <c r="D919" s="3" t="s">
        <v>1925</v>
      </c>
      <c r="E919" s="3" t="s">
        <v>3805</v>
      </c>
      <c r="F919" s="3" t="s">
        <v>1601</v>
      </c>
      <c r="G919" s="3" t="s">
        <v>1924</v>
      </c>
      <c r="H919" s="5">
        <f t="shared" si="159"/>
        <v>46130</v>
      </c>
      <c r="I919" t="str">
        <f t="shared" si="160"/>
        <v>АРТ-242</v>
      </c>
      <c r="J919" s="6">
        <f t="shared" si="161"/>
        <v>2</v>
      </c>
      <c r="K919" s="4">
        <f>VALUE(SUBSTITUTE(SUBSTITUTE(SUBSTITUTE(SUBSTITUTE(D919,"$",""),"€",""),"₽","")," ",""))*IF(ISNUMBER(FIND("$",D919)),Справочники!$H$3,IF(ISNUMBER(FIND("€",D919)),Справочники!$H$4,1))</f>
        <v>8000</v>
      </c>
      <c r="L919" t="str">
        <f>IFERROR(VLOOKUP(TRIM(G919),Справочники!$D$3:$E$13,2,0),"Нет в справочнике")</f>
        <v>Отменен</v>
      </c>
      <c r="M919" t="str">
        <f t="shared" si="162"/>
        <v/>
      </c>
      <c r="N919" t="str">
        <f>IFERROR(VLOOKUP(I919,Товары_очищенные!$H$2:$J$502,3,0),"Нет в каталоге")</f>
        <v>Наушники</v>
      </c>
      <c r="O919" s="4">
        <f>IFERROR(VLOOKUP(I919,Товары_очищенные!$H$2:$M$502,6,0),"")</f>
        <v>58000</v>
      </c>
      <c r="P919" t="str">
        <f t="shared" si="163"/>
        <v xml:space="preserve">Цена отличается от каталога</v>
      </c>
    </row>
    <row r="920">
      <c r="A920" s="3" t="s">
        <v>3806</v>
      </c>
      <c r="B920" s="3" t="s">
        <v>2194</v>
      </c>
      <c r="C920" s="3" t="s">
        <v>1905</v>
      </c>
      <c r="D920" s="3" t="s">
        <v>1964</v>
      </c>
      <c r="E920" s="3" t="s">
        <v>3807</v>
      </c>
      <c r="F920" s="3" t="s">
        <v>1721</v>
      </c>
      <c r="G920" s="3" t="s">
        <v>1918</v>
      </c>
      <c r="H920" s="5">
        <f t="shared" si="159"/>
        <v>46131</v>
      </c>
      <c r="I920" t="str">
        <f t="shared" si="160"/>
        <v>АРТ-159</v>
      </c>
      <c r="J920" s="6">
        <f t="shared" si="161"/>
        <v>1</v>
      </c>
      <c r="K920" s="4">
        <f>VALUE(SUBSTITUTE(SUBSTITUTE(SUBSTITUTE(SUBSTITUTE(D920,"$",""),"€",""),"₽","")," ",""))*IF(ISNUMBER(FIND("$",D920)),Справочники!$H$3,IF(ISNUMBER(FIND("€",D920)),Справочники!$H$4,1))</f>
        <v>9025</v>
      </c>
      <c r="L920" t="str">
        <f>IFERROR(VLOOKUP(TRIM(G920),Справочники!$D$3:$E$13,2,0),"Нет в справочнике")</f>
        <v>Отменен</v>
      </c>
      <c r="M920" t="str">
        <f t="shared" si="162"/>
        <v/>
      </c>
      <c r="N920" t="str">
        <f>IFERROR(VLOOKUP(I920,Товары_очищенные!$H$2:$J$502,3,0),"Нет в каталоге")</f>
        <v>Мониторы</v>
      </c>
      <c r="O920" s="4">
        <f>IFERROR(VLOOKUP(I920,Товары_очищенные!$H$2:$M$502,6,0),"")</f>
        <v>95500</v>
      </c>
      <c r="P920" t="str">
        <f t="shared" si="163"/>
        <v xml:space="preserve">Цена отличается от каталога</v>
      </c>
    </row>
    <row r="921">
      <c r="A921" s="3" t="s">
        <v>3806</v>
      </c>
      <c r="B921" s="3" t="s">
        <v>1510</v>
      </c>
      <c r="C921" s="3" t="s">
        <v>1900</v>
      </c>
      <c r="D921" s="3" t="s">
        <v>1968</v>
      </c>
      <c r="E921" s="3" t="s">
        <v>3808</v>
      </c>
      <c r="F921" s="3" t="s">
        <v>1663</v>
      </c>
      <c r="G921" s="3" t="s">
        <v>1927</v>
      </c>
      <c r="H921" s="5">
        <f t="shared" si="159"/>
        <v>46131</v>
      </c>
      <c r="I921" t="str">
        <f t="shared" si="160"/>
        <v>АРТ-482</v>
      </c>
      <c r="J921" s="6">
        <f t="shared" si="161"/>
        <v>2</v>
      </c>
      <c r="K921" s="4">
        <f>VALUE(SUBSTITUTE(SUBSTITUTE(SUBSTITUTE(SUBSTITUTE(D921,"$",""),"€",""),"₽","")," ",""))*IF(ISNUMBER(FIND("$",D921)),Справочники!$H$3,IF(ISNUMBER(FIND("€",D921)),Справочники!$H$4,1))</f>
        <v>7500</v>
      </c>
      <c r="L921" t="str">
        <f>IFERROR(VLOOKUP(TRIM(G921),Справочники!$D$3:$E$13,2,0),"Нет в справочнике")</f>
        <v>Возврат</v>
      </c>
      <c r="M921" t="str">
        <f t="shared" si="162"/>
        <v/>
      </c>
      <c r="N921" t="str">
        <f>IFERROR(VLOOKUP(I921,Товары_очищенные!$H$2:$J$502,3,0),"Нет в каталоге")</f>
        <v>Планшеты</v>
      </c>
      <c r="O921" s="4">
        <f>IFERROR(VLOOKUP(I921,Товары_очищенные!$H$2:$M$502,6,0),"")</f>
        <v>38500</v>
      </c>
      <c r="P921" t="str">
        <f t="shared" si="163"/>
        <v xml:space="preserve">Цена отличается от каталога</v>
      </c>
    </row>
    <row r="922">
      <c r="A922" s="3" t="s">
        <v>3809</v>
      </c>
      <c r="B922" s="3" t="s">
        <v>2473</v>
      </c>
      <c r="C922" s="3" t="s">
        <v>1910</v>
      </c>
      <c r="D922" s="3" t="s">
        <v>1971</v>
      </c>
      <c r="E922" s="3" t="s">
        <v>3810</v>
      </c>
      <c r="F922" s="3" t="s">
        <v>1802</v>
      </c>
      <c r="G922" s="3" t="s">
        <v>1903</v>
      </c>
      <c r="H922" s="5">
        <f t="shared" si="159"/>
        <v>46132</v>
      </c>
      <c r="I922" t="str">
        <f t="shared" si="160"/>
        <v>АРТ-335</v>
      </c>
      <c r="J922" s="6">
        <f t="shared" si="161"/>
        <v>3</v>
      </c>
      <c r="K922" s="4">
        <f>VALUE(SUBSTITUTE(SUBSTITUTE(SUBSTITUTE(SUBSTITUTE(D922,"$",""),"€",""),"₽","")," ",""))*IF(ISNUMBER(FIND("$",D922)),Справочники!$H$3,IF(ISNUMBER(FIND("€",D922)),Справочники!$H$4,1))</f>
        <v>7000</v>
      </c>
      <c r="L922" t="str">
        <f>IFERROR(VLOOKUP(TRIM(G922),Справочники!$D$3:$E$13,2,0),"Нет в справочнике")</f>
        <v>Завершен</v>
      </c>
      <c r="M922" t="str">
        <f t="shared" si="162"/>
        <v/>
      </c>
      <c r="N922" t="str">
        <f>IFERROR(VLOOKUP(I922,Товары_очищенные!$H$2:$J$502,3,0),"Нет в каталоге")</f>
        <v>Планшеты</v>
      </c>
      <c r="O922" s="4">
        <f>IFERROR(VLOOKUP(I922,Товары_очищенные!$H$2:$M$502,6,0),"")</f>
        <v>47000</v>
      </c>
      <c r="P922" t="str">
        <f t="shared" si="163"/>
        <v xml:space="preserve">Цена отличается от каталога</v>
      </c>
    </row>
    <row r="923">
      <c r="A923" s="3" t="s">
        <v>3809</v>
      </c>
      <c r="B923" s="3" t="s">
        <v>3811</v>
      </c>
      <c r="C923" s="3" t="s">
        <v>1942</v>
      </c>
      <c r="D923" s="3" t="s">
        <v>1943</v>
      </c>
      <c r="E923" s="3" t="s">
        <v>3812</v>
      </c>
      <c r="F923" s="3" t="s">
        <v>1868</v>
      </c>
      <c r="G923" s="3" t="s">
        <v>1908</v>
      </c>
      <c r="H923" s="5">
        <f t="shared" si="159"/>
        <v>46132</v>
      </c>
      <c r="I923" t="str">
        <f t="shared" si="160"/>
        <v>АРТ-314</v>
      </c>
      <c r="J923" s="6">
        <f t="shared" si="161"/>
        <v>-2</v>
      </c>
      <c r="K923" s="4">
        <f>VALUE(SUBSTITUTE(SUBSTITUTE(SUBSTITUTE(SUBSTITUTE(D923,"$",""),"€",""),"₽","")," ",""))*IF(ISNUMBER(FIND("$",D923)),Справочники!$H$3,IF(ISNUMBER(FIND("€",D923)),Справочники!$H$4,1))</f>
        <v>10925</v>
      </c>
      <c r="L923" t="str">
        <f>IFERROR(VLOOKUP(TRIM(G923),Справочники!$D$3:$E$13,2,0),"Нет в справочнике")</f>
        <v>Завершен</v>
      </c>
      <c r="M923" t="str">
        <f t="shared" si="162"/>
        <v/>
      </c>
      <c r="N923" t="str">
        <f>IFERROR(VLOOKUP(I923,Товары_очищенные!$H$2:$J$502,3,0),"Нет в каталоге")</f>
        <v>Смартфоны</v>
      </c>
      <c r="O923" s="4">
        <f>IFERROR(VLOOKUP(I923,Товары_очищенные!$H$2:$M$502,6,0),"")</f>
        <v>67500</v>
      </c>
      <c r="P923" t="str">
        <f t="shared" si="163"/>
        <v xml:space="preserve">Цена отличается от каталога</v>
      </c>
    </row>
    <row r="924">
      <c r="A924" s="3" t="s">
        <v>3813</v>
      </c>
      <c r="B924" s="3" t="s">
        <v>2617</v>
      </c>
      <c r="C924" s="3" t="s">
        <v>1905</v>
      </c>
      <c r="D924" s="3" t="s">
        <v>1934</v>
      </c>
      <c r="E924" s="3" t="s">
        <v>3814</v>
      </c>
      <c r="F924" s="3" t="s">
        <v>1587</v>
      </c>
      <c r="G924" s="3" t="s">
        <v>1913</v>
      </c>
      <c r="H924" s="5">
        <f t="shared" si="159"/>
        <v>46133</v>
      </c>
      <c r="I924" t="str">
        <f t="shared" si="160"/>
        <v>АРТ-268</v>
      </c>
      <c r="J924" s="6">
        <f t="shared" si="161"/>
        <v>1</v>
      </c>
      <c r="K924" s="4">
        <f>VALUE(SUBSTITUTE(SUBSTITUTE(SUBSTITUTE(SUBSTITUTE(D924,"$",""),"€",""),"₽","")," ",""))*IF(ISNUMBER(FIND("$",D924)),Справочники!$H$3,IF(ISNUMBER(FIND("€",D924)),Справочники!$H$4,1))</f>
        <v>9500</v>
      </c>
      <c r="L924" t="str">
        <f>IFERROR(VLOOKUP(TRIM(G924),Справочники!$D$3:$E$13,2,0),"Нет в справочнике")</f>
        <v>Завершен</v>
      </c>
      <c r="M924" t="str">
        <f t="shared" si="162"/>
        <v/>
      </c>
      <c r="N924" t="str">
        <f>IFERROR(VLOOKUP(I924,Товары_очищенные!$H$2:$J$502,3,0),"Нет в каталоге")</f>
        <v>Аксессуары</v>
      </c>
      <c r="O924" s="4">
        <f>IFERROR(VLOOKUP(I924,Товары_очищенные!$H$2:$M$502,6,0),"")</f>
        <v>22990</v>
      </c>
      <c r="P924" t="str">
        <f t="shared" si="163"/>
        <v xml:space="preserve">Цена отличается от каталога</v>
      </c>
    </row>
    <row r="925">
      <c r="A925" s="3" t="s">
        <v>3813</v>
      </c>
      <c r="B925" s="3" t="s">
        <v>3815</v>
      </c>
      <c r="C925" s="3" t="s">
        <v>1900</v>
      </c>
      <c r="D925" s="3" t="s">
        <v>1951</v>
      </c>
      <c r="E925" s="3" t="s">
        <v>3816</v>
      </c>
      <c r="F925" s="3" t="s">
        <v>1734</v>
      </c>
      <c r="G925" s="3" t="s">
        <v>1918</v>
      </c>
      <c r="H925" s="5">
        <f t="shared" si="159"/>
        <v>46133</v>
      </c>
      <c r="I925" t="str">
        <f t="shared" si="160"/>
        <v>АРТ-287</v>
      </c>
      <c r="J925" s="6">
        <f t="shared" si="161"/>
        <v>2</v>
      </c>
      <c r="K925" s="4">
        <f>VALUE(SUBSTITUTE(SUBSTITUTE(SUBSTITUTE(SUBSTITUTE(D925,"$",""),"€",""),"₽","")," ",""))*IF(ISNUMBER(FIND("$",D925)),Справочники!$H$3,IF(ISNUMBER(FIND("€",D925)),Справочники!$H$4,1))</f>
        <v>8500</v>
      </c>
      <c r="L925" t="str">
        <f>IFERROR(VLOOKUP(TRIM(G925),Справочники!$D$3:$E$13,2,0),"Нет в справочнике")</f>
        <v>Отменен</v>
      </c>
      <c r="M925" t="str">
        <f t="shared" si="162"/>
        <v/>
      </c>
      <c r="N925" t="str">
        <f>IFERROR(VLOOKUP(I925,Товары_очищенные!$H$2:$J$502,3,0),"Нет в каталоге")</f>
        <v>Аксессуары</v>
      </c>
      <c r="O925" s="4">
        <f>IFERROR(VLOOKUP(I925,Товары_очищенные!$H$2:$M$502,6,0),"")</f>
        <v>7000</v>
      </c>
      <c r="P925" t="str">
        <f t="shared" si="163"/>
        <v xml:space="preserve">Цена отличается от каталога</v>
      </c>
    </row>
    <row r="926">
      <c r="A926" s="3" t="s">
        <v>3817</v>
      </c>
      <c r="B926" s="3" t="s">
        <v>3818</v>
      </c>
      <c r="C926" s="3" t="s">
        <v>1930</v>
      </c>
      <c r="D926" s="3" t="s">
        <v>1931</v>
      </c>
      <c r="E926" s="3" t="s">
        <v>3819</v>
      </c>
      <c r="F926" s="3" t="s">
        <v>1649</v>
      </c>
      <c r="G926" s="3" t="s">
        <v>1924</v>
      </c>
      <c r="H926" s="5">
        <f t="shared" si="159"/>
        <v>46134</v>
      </c>
      <c r="I926" t="str">
        <f t="shared" si="160"/>
        <v>АРТ-048</v>
      </c>
      <c r="J926" s="6">
        <f t="shared" si="161"/>
        <v>3</v>
      </c>
      <c r="K926" s="4">
        <f>VALUE(SUBSTITUTE(SUBSTITUTE(SUBSTITUTE(SUBSTITUTE(D926,"$",""),"€",""),"₽","")," ",""))*IF(ISNUMBER(FIND("$",D926)),Справочники!$H$3,IF(ISNUMBER(FIND("€",D926)),Справочники!$H$4,1))</f>
        <v>9975</v>
      </c>
      <c r="L926" t="str">
        <f>IFERROR(VLOOKUP(TRIM(G926),Справочники!$D$3:$E$13,2,0),"Нет в справочнике")</f>
        <v>Отменен</v>
      </c>
      <c r="M926" t="str">
        <f t="shared" si="162"/>
        <v/>
      </c>
      <c r="N926" t="str">
        <f>IFERROR(VLOOKUP(I926,Товары_очищенные!$H$2:$J$502,3,0),"Нет в каталоге")</f>
        <v>Наушники</v>
      </c>
      <c r="O926" s="4">
        <f>IFERROR(VLOOKUP(I926,Товары_очищенные!$H$2:$M$502,6,0),"")</f>
        <v>25800</v>
      </c>
      <c r="P926" t="str">
        <f t="shared" si="163"/>
        <v xml:space="preserve">Цена отличается от каталога</v>
      </c>
    </row>
    <row r="927">
      <c r="A927" s="3" t="s">
        <v>3817</v>
      </c>
      <c r="B927" s="3" t="s">
        <v>1459</v>
      </c>
      <c r="C927" s="3" t="s">
        <v>1900</v>
      </c>
      <c r="D927" s="3" t="s">
        <v>1906</v>
      </c>
      <c r="E927" s="3" t="s">
        <v>3820</v>
      </c>
      <c r="F927" s="3" t="s">
        <v>1784</v>
      </c>
      <c r="G927" s="3" t="s">
        <v>1903</v>
      </c>
      <c r="H927" s="5">
        <f t="shared" si="159"/>
        <v>46134</v>
      </c>
      <c r="I927" t="str">
        <f t="shared" si="160"/>
        <v>АРТ-458</v>
      </c>
      <c r="J927" s="6">
        <f t="shared" si="161"/>
        <v>2</v>
      </c>
      <c r="K927" s="4">
        <f>VALUE(SUBSTITUTE(SUBSTITUTE(SUBSTITUTE(SUBSTITUTE(D927,"$",""),"€",""),"₽","")," ",""))*IF(ISNUMBER(FIND("$",D927)),Справочники!$H$3,IF(ISNUMBER(FIND("€",D927)),Справочники!$H$4,1))</f>
        <v>8500</v>
      </c>
      <c r="L927" t="str">
        <f>IFERROR(VLOOKUP(TRIM(G927),Справочники!$D$3:$E$13,2,0),"Нет в справочнике")</f>
        <v>Завершен</v>
      </c>
      <c r="M927" t="str">
        <f t="shared" si="162"/>
        <v/>
      </c>
      <c r="N927" t="str">
        <f>IFERROR(VLOOKUP(I927,Товары_очищенные!$H$2:$J$502,3,0),"Нет в каталоге")</f>
        <v>Аксессуары</v>
      </c>
      <c r="O927" s="4">
        <f>IFERROR(VLOOKUP(I927,Товары_очищенные!$H$2:$M$502,6,0),"")</f>
        <v>6500</v>
      </c>
      <c r="P927" t="str">
        <f t="shared" si="163"/>
        <v xml:space="preserve">Цена отличается от каталога</v>
      </c>
    </row>
    <row r="928">
      <c r="A928" s="3" t="s">
        <v>3821</v>
      </c>
      <c r="B928" s="3" t="s">
        <v>3279</v>
      </c>
      <c r="C928" s="3" t="s">
        <v>1938</v>
      </c>
      <c r="D928" s="3" t="s">
        <v>2166</v>
      </c>
      <c r="E928" s="3" t="s">
        <v>3822</v>
      </c>
      <c r="F928" s="3" t="s">
        <v>1844</v>
      </c>
      <c r="G928" s="3" t="s">
        <v>1927</v>
      </c>
      <c r="H928" s="5">
        <f t="shared" si="159"/>
        <v>46135</v>
      </c>
      <c r="I928" t="str">
        <f t="shared" si="160"/>
        <v>АРТ-365</v>
      </c>
      <c r="J928" s="6">
        <f t="shared" si="161"/>
        <v>1</v>
      </c>
      <c r="K928" s="4">
        <f>VALUE(SUBSTITUTE(SUBSTITUTE(SUBSTITUTE(SUBSTITUTE(D928,"$",""),"€",""),"₽","")," ",""))*IF(ISNUMBER(FIND("$",D928)),Справочники!$H$3,IF(ISNUMBER(FIND("€",D928)),Справочники!$H$4,1))</f>
        <v>7800</v>
      </c>
      <c r="L928" t="str">
        <f>IFERROR(VLOOKUP(TRIM(G928),Справочники!$D$3:$E$13,2,0),"Нет в справочнике")</f>
        <v>Возврат</v>
      </c>
      <c r="M928" t="str">
        <f t="shared" si="162"/>
        <v/>
      </c>
      <c r="N928" t="str">
        <f>IFERROR(VLOOKUP(I928,Товары_очищенные!$H$2:$J$502,3,0),"Нет в каталоге")</f>
        <v>Телевизоры</v>
      </c>
      <c r="O928" s="4">
        <f>IFERROR(VLOOKUP(I928,Товары_очищенные!$H$2:$M$502,6,0),"")</f>
        <v>137000</v>
      </c>
      <c r="P928" t="str">
        <f t="shared" si="163"/>
        <v xml:space="preserve">Цена отличается от каталога</v>
      </c>
    </row>
    <row r="929">
      <c r="A929" s="3" t="s">
        <v>3821</v>
      </c>
      <c r="B929" s="3" t="s">
        <v>3823</v>
      </c>
      <c r="C929" s="3" t="s">
        <v>1985</v>
      </c>
      <c r="D929" s="3" t="s">
        <v>2044</v>
      </c>
      <c r="E929" s="3" t="s">
        <v>3824</v>
      </c>
      <c r="F929" s="3" t="s">
        <v>1566</v>
      </c>
      <c r="G929" s="3" t="s">
        <v>1908</v>
      </c>
      <c r="H929" s="5">
        <f t="shared" si="159"/>
        <v>46135</v>
      </c>
      <c r="I929" t="str">
        <f t="shared" si="160"/>
        <v>АРТ-395</v>
      </c>
      <c r="J929" s="6">
        <f t="shared" si="161"/>
        <v>-3</v>
      </c>
      <c r="K929" s="4">
        <f>VALUE(SUBSTITUTE(SUBSTITUTE(SUBSTITUTE(SUBSTITUTE(D929,"$",""),"€",""),"₽","")," ",""))*IF(ISNUMBER(FIND("$",D929)),Справочники!$H$3,IF(ISNUMBER(FIND("€",D929)),Справочники!$H$4,1))</f>
        <v>11400</v>
      </c>
      <c r="L929" t="str">
        <f>IFERROR(VLOOKUP(TRIM(G929),Справочники!$D$3:$E$13,2,0),"Нет в справочнике")</f>
        <v>Завершен</v>
      </c>
      <c r="M929" t="str">
        <f t="shared" si="162"/>
        <v/>
      </c>
      <c r="N929" t="str">
        <f>IFERROR(VLOOKUP(I929,Товары_очищенные!$H$2:$J$502,3,0),"Нет в каталоге")</f>
        <v>Мониторы</v>
      </c>
      <c r="O929" s="4">
        <f>IFERROR(VLOOKUP(I929,Товары_очищенные!$H$2:$M$502,6,0),"")</f>
        <v>62500</v>
      </c>
      <c r="P929" t="str">
        <f t="shared" si="163"/>
        <v xml:space="preserve">Цена отличается от каталога</v>
      </c>
    </row>
    <row r="930">
      <c r="A930" s="3" t="s">
        <v>3825</v>
      </c>
      <c r="B930" s="3" t="s">
        <v>1050</v>
      </c>
      <c r="C930" s="3" t="s">
        <v>1900</v>
      </c>
      <c r="D930" s="3" t="s">
        <v>2046</v>
      </c>
      <c r="E930" s="3" t="s">
        <v>3826</v>
      </c>
      <c r="F930" s="3" t="s">
        <v>1701</v>
      </c>
      <c r="G930" s="3" t="s">
        <v>1913</v>
      </c>
      <c r="H930" s="5">
        <f t="shared" si="159"/>
        <v>46136</v>
      </c>
      <c r="I930" t="str">
        <f t="shared" si="160"/>
        <v>АРТ-284</v>
      </c>
      <c r="J930" s="6">
        <f t="shared" si="161"/>
        <v>2</v>
      </c>
      <c r="K930" s="4">
        <f>VALUE(SUBSTITUTE(SUBSTITUTE(SUBSTITUTE(SUBSTITUTE(D930,"$",""),"€",""),"₽","")," ",""))*IF(ISNUMBER(FIND("$",D930)),Справочники!$H$3,IF(ISNUMBER(FIND("€",D930)),Справочники!$H$4,1))</f>
        <v>10000</v>
      </c>
      <c r="L930" t="str">
        <f>IFERROR(VLOOKUP(TRIM(G930),Справочники!$D$3:$E$13,2,0),"Нет в справочнике")</f>
        <v>Завершен</v>
      </c>
      <c r="M930" t="str">
        <f t="shared" si="162"/>
        <v/>
      </c>
      <c r="N930" t="str">
        <f>IFERROR(VLOOKUP(I930,Товары_очищенные!$H$2:$J$502,3,0),"Нет в каталоге")</f>
        <v>Мониторы</v>
      </c>
      <c r="O930" s="4">
        <f>IFERROR(VLOOKUP(I930,Товары_очищенные!$H$2:$M$502,6,0),"")</f>
        <v>82000</v>
      </c>
      <c r="P930" t="str">
        <f t="shared" si="163"/>
        <v xml:space="preserve">Цена отличается от каталога</v>
      </c>
    </row>
    <row r="931">
      <c r="A931" s="3" t="s">
        <v>3825</v>
      </c>
      <c r="B931" s="3" t="s">
        <v>3827</v>
      </c>
      <c r="C931" s="3" t="s">
        <v>1905</v>
      </c>
      <c r="D931" s="3" t="s">
        <v>2087</v>
      </c>
      <c r="E931" s="3" t="s">
        <v>3828</v>
      </c>
      <c r="F931" s="3" t="s">
        <v>1814</v>
      </c>
      <c r="G931" s="3" t="s">
        <v>1903</v>
      </c>
      <c r="H931" s="5">
        <f t="shared" si="159"/>
        <v>46136</v>
      </c>
      <c r="I931" t="str">
        <f t="shared" si="160"/>
        <v>АРТ-230</v>
      </c>
      <c r="J931" s="6">
        <f t="shared" si="161"/>
        <v>1</v>
      </c>
      <c r="K931" s="4">
        <f>VALUE(SUBSTITUTE(SUBSTITUTE(SUBSTITUTE(SUBSTITUTE(D931,"$",""),"€",""),"₽","")," ",""))*IF(ISNUMBER(FIND("$",D931)),Справочники!$H$3,IF(ISNUMBER(FIND("€",D931)),Справочники!$H$4,1))</f>
        <v>9200</v>
      </c>
      <c r="L931" t="str">
        <f>IFERROR(VLOOKUP(TRIM(G931),Справочники!$D$3:$E$13,2,0),"Нет в справочнике")</f>
        <v>Завершен</v>
      </c>
      <c r="M931" t="str">
        <f t="shared" si="162"/>
        <v/>
      </c>
      <c r="N931" t="str">
        <f>IFERROR(VLOOKUP(I931,Товары_очищенные!$H$2:$J$502,3,0),"Нет в каталоге")</f>
        <v>Ноутбуки</v>
      </c>
      <c r="O931" s="4">
        <f>IFERROR(VLOOKUP(I931,Товары_очищенные!$H$2:$M$502,6,0),"")</f>
        <v>117000</v>
      </c>
      <c r="P931" t="str">
        <f t="shared" si="163"/>
        <v xml:space="preserve">Цена отличается от каталога</v>
      </c>
    </row>
    <row r="932">
      <c r="A932" s="3" t="s">
        <v>3829</v>
      </c>
      <c r="B932" s="3" t="s">
        <v>3370</v>
      </c>
      <c r="C932" s="3" t="s">
        <v>1930</v>
      </c>
      <c r="D932" s="3" t="s">
        <v>1986</v>
      </c>
      <c r="E932" s="3" t="s">
        <v>3830</v>
      </c>
      <c r="F932" s="3" t="s">
        <v>1880</v>
      </c>
      <c r="G932" s="3" t="s">
        <v>1924</v>
      </c>
      <c r="H932" s="5">
        <f t="shared" ref="H932:H995" si="164">DATE(VALUE(RIGHT(A932,4)),VALUE(LEFT(A932,2)),VALUE(MID(A932,4,2)))</f>
        <v>46137</v>
      </c>
      <c r="I932" t="str">
        <f t="shared" ref="I932:I995" si="165">"АРТ-"&amp;TEXT(VALUE(LEFT(SUBSTITUTE(SUBSTITUTE(SUBSTITUTE(SUBSTITUTE(TRIM(B932),"№",""),"АРТ-",""),"АРТ_",""),"АРТ",""),3)),"000")</f>
        <v>АРТ-066</v>
      </c>
      <c r="J932" s="6">
        <f t="shared" ref="J932:J995" si="166">VALUE(TRIM(SUBSTITUTE(SUBSTITUTE(TRIM(C932),"шт.",""),"шт","")))</f>
        <v>3</v>
      </c>
      <c r="K932" s="4">
        <f>VALUE(SUBSTITUTE(SUBSTITUTE(SUBSTITUTE(SUBSTITUTE(D932,"$",""),"€",""),"₽","")," ",""))*IF(ISNUMBER(FIND("$",D932)),Справочники!$H$3,IF(ISNUMBER(FIND("€",D932)),Справочники!$H$4,1))</f>
        <v>8550</v>
      </c>
      <c r="L932" t="str">
        <f>IFERROR(VLOOKUP(TRIM(G932),Справочники!$D$3:$E$13,2,0),"Нет в справочнике")</f>
        <v>Отменен</v>
      </c>
      <c r="M932" t="str">
        <f t="shared" ref="M932:M995" si="167">IF(COUNTIFS($H$2:H932,H932,$I$2:I932,I932,$E$2:E932,E932)&gt;1,"Дубликат","")</f>
        <v/>
      </c>
      <c r="N932" t="str">
        <f>IFERROR(VLOOKUP(I932,Товары_очищенные!$H$2:$J$502,3,0),"Нет в каталоге")</f>
        <v>Смартфоны</v>
      </c>
      <c r="O932" s="4">
        <f>IFERROR(VLOOKUP(I932,Товары_очищенные!$H$2:$M$502,6,0),"")</f>
        <v>57800</v>
      </c>
      <c r="P932" t="str">
        <f t="shared" ref="P932:P995" si="168">IF(O932="","Нет в каталоге",IF(ABS(K932/O932-1)&lt;=0.2,"ОК","Цена отличается от каталога"))</f>
        <v xml:space="preserve">Цена отличается от каталога</v>
      </c>
    </row>
    <row r="933">
      <c r="A933" s="3" t="s">
        <v>3829</v>
      </c>
      <c r="B933" s="3" t="s">
        <v>1418</v>
      </c>
      <c r="C933" s="3" t="s">
        <v>1900</v>
      </c>
      <c r="D933" s="3" t="s">
        <v>1989</v>
      </c>
      <c r="E933" s="3" t="s">
        <v>3831</v>
      </c>
      <c r="F933" s="3" t="s">
        <v>1636</v>
      </c>
      <c r="G933" s="3" t="s">
        <v>1918</v>
      </c>
      <c r="H933" s="5">
        <f t="shared" si="164"/>
        <v>46137</v>
      </c>
      <c r="I933" t="str">
        <f t="shared" si="165"/>
        <v>АРТ-440</v>
      </c>
      <c r="J933" s="6">
        <f t="shared" si="166"/>
        <v>2</v>
      </c>
      <c r="K933" s="4">
        <f>VALUE(SUBSTITUTE(SUBSTITUTE(SUBSTITUTE(SUBSTITUTE(D933,"$",""),"€",""),"₽","")," ",""))*IF(ISNUMBER(FIND("$",D933)),Справочники!$H$3,IF(ISNUMBER(FIND("€",D933)),Справочники!$H$4,1))</f>
        <v>7000</v>
      </c>
      <c r="L933" t="str">
        <f>IFERROR(VLOOKUP(TRIM(G933),Справочники!$D$3:$E$13,2,0),"Нет в справочнике")</f>
        <v>Отменен</v>
      </c>
      <c r="M933" t="str">
        <f t="shared" si="167"/>
        <v/>
      </c>
      <c r="N933" t="str">
        <f>IFERROR(VLOOKUP(I933,Товары_очищенные!$H$2:$J$502,3,0),"Нет в каталоге")</f>
        <v>Планшеты</v>
      </c>
      <c r="O933" s="4">
        <f>IFERROR(VLOOKUP(I933,Товары_очищенные!$H$2:$M$502,6,0),"")</f>
        <v>28500</v>
      </c>
      <c r="P933" t="str">
        <f t="shared" si="168"/>
        <v xml:space="preserve">Цена отличается от каталога</v>
      </c>
    </row>
    <row r="934">
      <c r="A934" s="3" t="s">
        <v>3832</v>
      </c>
      <c r="B934" s="3" t="s">
        <v>3833</v>
      </c>
      <c r="C934" s="3" t="s">
        <v>1938</v>
      </c>
      <c r="D934" s="3" t="s">
        <v>1939</v>
      </c>
      <c r="E934" s="3" t="s">
        <v>3834</v>
      </c>
      <c r="F934" s="3" t="s">
        <v>1740</v>
      </c>
      <c r="G934" s="3" t="s">
        <v>1927</v>
      </c>
      <c r="H934" s="5">
        <f t="shared" si="164"/>
        <v>46138</v>
      </c>
      <c r="I934" t="str">
        <f t="shared" si="165"/>
        <v>АРТ-332</v>
      </c>
      <c r="J934" s="6">
        <f t="shared" si="166"/>
        <v>1</v>
      </c>
      <c r="K934" s="4">
        <f>VALUE(SUBSTITUTE(SUBSTITUTE(SUBSTITUTE(SUBSTITUTE(D934,"$",""),"€",""),"₽","")," ",""))*IF(ISNUMBER(FIND("$",D934)),Справочники!$H$3,IF(ISNUMBER(FIND("€",D934)),Справочники!$H$4,1))</f>
        <v>6500</v>
      </c>
      <c r="L934" t="str">
        <f>IFERROR(VLOOKUP(TRIM(G934),Справочники!$D$3:$E$13,2,0),"Нет в справочнике")</f>
        <v>Возврат</v>
      </c>
      <c r="M934" t="str">
        <f t="shared" si="167"/>
        <v/>
      </c>
      <c r="N934" t="str">
        <f>IFERROR(VLOOKUP(I934,Товары_очищенные!$H$2:$J$502,3,0),"Нет в каталоге")</f>
        <v>Часы</v>
      </c>
      <c r="O934" s="4">
        <f>IFERROR(VLOOKUP(I934,Товары_очищенные!$H$2:$M$502,6,0),"")</f>
        <v>67500</v>
      </c>
      <c r="P934" t="str">
        <f t="shared" si="168"/>
        <v xml:space="preserve">Цена отличается от каталога</v>
      </c>
    </row>
    <row r="935">
      <c r="A935" s="3" t="s">
        <v>3832</v>
      </c>
      <c r="B935" s="3" t="s">
        <v>1974</v>
      </c>
      <c r="C935" s="3" t="s">
        <v>1915</v>
      </c>
      <c r="D935" s="3" t="s">
        <v>1916</v>
      </c>
      <c r="E935" s="3" t="s">
        <v>3835</v>
      </c>
      <c r="F935" s="3" t="s">
        <v>1682</v>
      </c>
      <c r="G935" s="3" t="s">
        <v>1903</v>
      </c>
      <c r="H935" s="5">
        <f t="shared" si="164"/>
        <v>46138</v>
      </c>
      <c r="I935" t="str">
        <f t="shared" si="165"/>
        <v>АРТ-278</v>
      </c>
      <c r="J935" s="6">
        <f t="shared" si="166"/>
        <v>-1</v>
      </c>
      <c r="K935" s="4">
        <f>VALUE(SUBSTITUTE(SUBSTITUTE(SUBSTITUTE(SUBSTITUTE(D935,"$",""),"€",""),"₽","")," ",""))*IF(ISNUMBER(FIND("$",D935)),Справочники!$H$3,IF(ISNUMBER(FIND("€",D935)),Справочники!$H$4,1))</f>
        <v>10450</v>
      </c>
      <c r="L935" t="str">
        <f>IFERROR(VLOOKUP(TRIM(G935),Справочники!$D$3:$E$13,2,0),"Нет в справочнике")</f>
        <v>Завершен</v>
      </c>
      <c r="M935" t="str">
        <f t="shared" si="167"/>
        <v/>
      </c>
      <c r="N935" t="str">
        <f>IFERROR(VLOOKUP(I935,Товары_очищенные!$H$2:$J$502,3,0),"Нет в каталоге")</f>
        <v>Телевизоры</v>
      </c>
      <c r="O935" s="4">
        <f>IFERROR(VLOOKUP(I935,Товары_очищенные!$H$2:$M$502,6,0),"")</f>
        <v>112000</v>
      </c>
      <c r="P935" t="str">
        <f t="shared" si="168"/>
        <v xml:space="preserve">Цена отличается от каталога</v>
      </c>
    </row>
    <row r="936">
      <c r="A936" s="3" t="s">
        <v>3836</v>
      </c>
      <c r="B936" s="3" t="s">
        <v>3365</v>
      </c>
      <c r="C936" s="3" t="s">
        <v>1930</v>
      </c>
      <c r="D936" s="3" t="s">
        <v>1922</v>
      </c>
      <c r="E936" s="3" t="s">
        <v>3837</v>
      </c>
      <c r="F936" s="3" t="s">
        <v>1820</v>
      </c>
      <c r="G936" s="3" t="s">
        <v>1908</v>
      </c>
      <c r="H936" s="5">
        <f t="shared" si="164"/>
        <v>46139</v>
      </c>
      <c r="I936" t="str">
        <f t="shared" si="165"/>
        <v>АРТ-379</v>
      </c>
      <c r="J936" s="6">
        <f t="shared" si="166"/>
        <v>3</v>
      </c>
      <c r="K936" s="4">
        <f>VALUE(SUBSTITUTE(SUBSTITUTE(SUBSTITUTE(SUBSTITUTE(D936,"$",""),"€",""),"₽","")," ",""))*IF(ISNUMBER(FIND("$",D936)),Справочники!$H$3,IF(ISNUMBER(FIND("€",D936)),Справочники!$H$4,1))</f>
        <v>9000</v>
      </c>
      <c r="L936" t="str">
        <f>IFERROR(VLOOKUP(TRIM(G936),Справочники!$D$3:$E$13,2,0),"Нет в справочнике")</f>
        <v>Завершен</v>
      </c>
      <c r="M936" t="str">
        <f t="shared" si="167"/>
        <v/>
      </c>
      <c r="N936" t="str">
        <f>IFERROR(VLOOKUP(I936,Товары_очищенные!$H$2:$J$502,3,0),"Нет в каталоге")</f>
        <v>Планшеты</v>
      </c>
      <c r="O936" s="4">
        <f>IFERROR(VLOOKUP(I936,Товары_очищенные!$H$2:$M$502,6,0),"")</f>
        <v>36990</v>
      </c>
      <c r="P936" t="str">
        <f t="shared" si="168"/>
        <v xml:space="preserve">Цена отличается от каталога</v>
      </c>
    </row>
    <row r="937">
      <c r="A937" s="3" t="s">
        <v>3836</v>
      </c>
      <c r="B937" s="3" t="s">
        <v>3838</v>
      </c>
      <c r="C937" s="3" t="s">
        <v>1900</v>
      </c>
      <c r="D937" s="3" t="s">
        <v>1925</v>
      </c>
      <c r="E937" s="3" t="s">
        <v>3839</v>
      </c>
      <c r="F937" s="3" t="s">
        <v>1580</v>
      </c>
      <c r="G937" s="3" t="s">
        <v>1913</v>
      </c>
      <c r="H937" s="5">
        <f t="shared" si="164"/>
        <v>46139</v>
      </c>
      <c r="I937" t="str">
        <f t="shared" si="165"/>
        <v>АРТ-109</v>
      </c>
      <c r="J937" s="6">
        <f t="shared" si="166"/>
        <v>2</v>
      </c>
      <c r="K937" s="4">
        <f>VALUE(SUBSTITUTE(SUBSTITUTE(SUBSTITUTE(SUBSTITUTE(D937,"$",""),"€",""),"₽","")," ",""))*IF(ISNUMBER(FIND("$",D937)),Справочники!$H$3,IF(ISNUMBER(FIND("€",D937)),Справочники!$H$4,1))</f>
        <v>8000</v>
      </c>
      <c r="L937" t="str">
        <f>IFERROR(VLOOKUP(TRIM(G937),Справочники!$D$3:$E$13,2,0),"Нет в справочнике")</f>
        <v>Завершен</v>
      </c>
      <c r="M937" t="str">
        <f t="shared" si="167"/>
        <v/>
      </c>
      <c r="N937" t="str">
        <f>IFERROR(VLOOKUP(I937,Товары_очищенные!$H$2:$J$502,3,0),"Нет в каталоге")</f>
        <v>Телевизоры</v>
      </c>
      <c r="O937" s="4">
        <f>IFERROR(VLOOKUP(I937,Товары_очищенные!$H$2:$M$502,6,0),"")</f>
        <v>119999</v>
      </c>
      <c r="P937" t="str">
        <f t="shared" si="168"/>
        <v xml:space="preserve">Цена отличается от каталога</v>
      </c>
    </row>
    <row r="938">
      <c r="A938" s="3" t="s">
        <v>3840</v>
      </c>
      <c r="B938" s="3" t="s">
        <v>3841</v>
      </c>
      <c r="C938" s="3" t="s">
        <v>1905</v>
      </c>
      <c r="D938" s="3" t="s">
        <v>1964</v>
      </c>
      <c r="E938" s="3" t="s">
        <v>3842</v>
      </c>
      <c r="F938" s="3" t="s">
        <v>1727</v>
      </c>
      <c r="G938" s="3" t="s">
        <v>1918</v>
      </c>
      <c r="H938" s="5">
        <f t="shared" si="164"/>
        <v>46140</v>
      </c>
      <c r="I938" t="str">
        <f t="shared" si="165"/>
        <v>АРТ-098</v>
      </c>
      <c r="J938" s="6">
        <f t="shared" si="166"/>
        <v>1</v>
      </c>
      <c r="K938" s="4">
        <f>VALUE(SUBSTITUTE(SUBSTITUTE(SUBSTITUTE(SUBSTITUTE(D938,"$",""),"€",""),"₽","")," ",""))*IF(ISNUMBER(FIND("$",D938)),Справочники!$H$3,IF(ISNUMBER(FIND("€",D938)),Справочники!$H$4,1))</f>
        <v>9025</v>
      </c>
      <c r="L938" t="str">
        <f>IFERROR(VLOOKUP(TRIM(G938),Справочники!$D$3:$E$13,2,0),"Нет в справочнике")</f>
        <v>Отменен</v>
      </c>
      <c r="M938" t="str">
        <f t="shared" si="167"/>
        <v/>
      </c>
      <c r="N938" t="str">
        <f>IFERROR(VLOOKUP(I938,Товары_очищенные!$H$2:$J$502,3,0),"Нет в каталоге")</f>
        <v>Аксессуары</v>
      </c>
      <c r="O938" s="4">
        <f>IFERROR(VLOOKUP(I938,Товары_очищенные!$H$2:$M$502,6,0),"")</f>
        <v>6500</v>
      </c>
      <c r="P938" t="str">
        <f t="shared" si="168"/>
        <v xml:space="preserve">Цена отличается от каталога</v>
      </c>
    </row>
    <row r="939">
      <c r="A939" s="3" t="s">
        <v>3840</v>
      </c>
      <c r="B939" s="3" t="s">
        <v>2561</v>
      </c>
      <c r="C939" s="3" t="s">
        <v>1900</v>
      </c>
      <c r="D939" s="3" t="s">
        <v>1968</v>
      </c>
      <c r="E939" s="3" t="s">
        <v>3843</v>
      </c>
      <c r="F939" s="3" t="s">
        <v>1629</v>
      </c>
      <c r="G939" s="3" t="s">
        <v>1924</v>
      </c>
      <c r="H939" s="5">
        <f t="shared" si="164"/>
        <v>46140</v>
      </c>
      <c r="I939" t="str">
        <f t="shared" si="165"/>
        <v>АРТ-462</v>
      </c>
      <c r="J939" s="6">
        <f t="shared" si="166"/>
        <v>2</v>
      </c>
      <c r="K939" s="4">
        <f>VALUE(SUBSTITUTE(SUBSTITUTE(SUBSTITUTE(SUBSTITUTE(D939,"$",""),"€",""),"₽","")," ",""))*IF(ISNUMBER(FIND("$",D939)),Справочники!$H$3,IF(ISNUMBER(FIND("€",D939)),Справочники!$H$4,1))</f>
        <v>7500</v>
      </c>
      <c r="L939" t="str">
        <f>IFERROR(VLOOKUP(TRIM(G939),Справочники!$D$3:$E$13,2,0),"Нет в справочнике")</f>
        <v>Отменен</v>
      </c>
      <c r="M939" t="str">
        <f t="shared" si="167"/>
        <v/>
      </c>
      <c r="N939" t="str">
        <f>IFERROR(VLOOKUP(I939,Товары_очищенные!$H$2:$J$502,3,0),"Нет в каталоге")</f>
        <v>Часы</v>
      </c>
      <c r="O939" s="4">
        <f>IFERROR(VLOOKUP(I939,Товары_очищенные!$H$2:$M$502,6,0),"")</f>
        <v>49500</v>
      </c>
      <c r="P939" t="str">
        <f t="shared" si="168"/>
        <v xml:space="preserve">Цена отличается от каталога</v>
      </c>
    </row>
    <row r="940">
      <c r="A940" s="3" t="s">
        <v>3844</v>
      </c>
      <c r="B940" s="3" t="s">
        <v>2165</v>
      </c>
      <c r="C940" s="3" t="s">
        <v>1910</v>
      </c>
      <c r="D940" s="3" t="s">
        <v>1971</v>
      </c>
      <c r="E940" s="3" t="s">
        <v>3845</v>
      </c>
      <c r="F940" s="3" t="s">
        <v>1778</v>
      </c>
      <c r="G940" s="3" t="s">
        <v>1903</v>
      </c>
      <c r="H940" s="5">
        <f t="shared" si="164"/>
        <v>46141</v>
      </c>
      <c r="I940" t="str">
        <f t="shared" si="165"/>
        <v>АРТ-336</v>
      </c>
      <c r="J940" s="6">
        <f t="shared" si="166"/>
        <v>3</v>
      </c>
      <c r="K940" s="4">
        <f>VALUE(SUBSTITUTE(SUBSTITUTE(SUBSTITUTE(SUBSTITUTE(D940,"$",""),"€",""),"₽","")," ",""))*IF(ISNUMBER(FIND("$",D940)),Справочники!$H$3,IF(ISNUMBER(FIND("€",D940)),Справочники!$H$4,1))</f>
        <v>7000</v>
      </c>
      <c r="L940" t="str">
        <f>IFERROR(VLOOKUP(TRIM(G940),Справочники!$D$3:$E$13,2,0),"Нет в справочнике")</f>
        <v>Завершен</v>
      </c>
      <c r="M940" t="str">
        <f t="shared" si="167"/>
        <v/>
      </c>
      <c r="N940" t="str">
        <f>IFERROR(VLOOKUP(I940,Товары_очищенные!$H$2:$J$502,3,0),"Нет в каталоге")</f>
        <v>Планшеты</v>
      </c>
      <c r="O940" s="4">
        <f>IFERROR(VLOOKUP(I940,Товары_очищенные!$H$2:$M$502,6,0),"")</f>
        <v>50500</v>
      </c>
      <c r="P940" t="str">
        <f t="shared" si="168"/>
        <v xml:space="preserve">Цена отличается от каталога</v>
      </c>
    </row>
    <row r="941">
      <c r="A941" s="3" t="s">
        <v>3844</v>
      </c>
      <c r="B941" s="3" t="s">
        <v>2898</v>
      </c>
      <c r="C941" s="3" t="s">
        <v>1942</v>
      </c>
      <c r="D941" s="3" t="s">
        <v>1943</v>
      </c>
      <c r="E941" s="3" t="s">
        <v>3846</v>
      </c>
      <c r="F941" s="3" t="s">
        <v>1862</v>
      </c>
      <c r="G941" s="3" t="s">
        <v>1927</v>
      </c>
      <c r="H941" s="5">
        <f t="shared" si="164"/>
        <v>46141</v>
      </c>
      <c r="I941" t="str">
        <f t="shared" si="165"/>
        <v>АРТ-333</v>
      </c>
      <c r="J941" s="6">
        <f t="shared" si="166"/>
        <v>-2</v>
      </c>
      <c r="K941" s="4">
        <f>VALUE(SUBSTITUTE(SUBSTITUTE(SUBSTITUTE(SUBSTITUTE(D941,"$",""),"€",""),"₽","")," ",""))*IF(ISNUMBER(FIND("$",D941)),Справочники!$H$3,IF(ISNUMBER(FIND("€",D941)),Справочники!$H$4,1))</f>
        <v>10925</v>
      </c>
      <c r="L941" t="str">
        <f>IFERROR(VLOOKUP(TRIM(G941),Справочники!$D$3:$E$13,2,0),"Нет в справочнике")</f>
        <v>Возврат</v>
      </c>
      <c r="M941" t="str">
        <f t="shared" si="167"/>
        <v/>
      </c>
      <c r="N941" t="str">
        <f>IFERROR(VLOOKUP(I941,Товары_очищенные!$H$2:$J$502,3,0),"Нет в каталоге")</f>
        <v>Часы</v>
      </c>
      <c r="O941" s="4">
        <f>IFERROR(VLOOKUP(I941,Товары_очищенные!$H$2:$M$502,6,0),"")</f>
        <v>72000</v>
      </c>
      <c r="P941" t="str">
        <f t="shared" si="168"/>
        <v xml:space="preserve">Цена отличается от каталога</v>
      </c>
    </row>
    <row r="942">
      <c r="A942" s="3" t="s">
        <v>3847</v>
      </c>
      <c r="B942" s="3" t="s">
        <v>1078</v>
      </c>
      <c r="C942" s="3" t="s">
        <v>1905</v>
      </c>
      <c r="D942" s="3" t="s">
        <v>1934</v>
      </c>
      <c r="E942" s="3" t="s">
        <v>3848</v>
      </c>
      <c r="F942" s="3" t="s">
        <v>1695</v>
      </c>
      <c r="G942" s="3" t="s">
        <v>1908</v>
      </c>
      <c r="H942" s="5">
        <f t="shared" si="164"/>
        <v>46142</v>
      </c>
      <c r="I942" t="str">
        <f t="shared" si="165"/>
        <v>АРТ-293</v>
      </c>
      <c r="J942" s="6">
        <f t="shared" si="166"/>
        <v>1</v>
      </c>
      <c r="K942" s="4">
        <f>VALUE(SUBSTITUTE(SUBSTITUTE(SUBSTITUTE(SUBSTITUTE(D942,"$",""),"€",""),"₽","")," ",""))*IF(ISNUMBER(FIND("$",D942)),Справочники!$H$3,IF(ISNUMBER(FIND("€",D942)),Справочники!$H$4,1))</f>
        <v>9500</v>
      </c>
      <c r="L942" t="str">
        <f>IFERROR(VLOOKUP(TRIM(G942),Справочники!$D$3:$E$13,2,0),"Нет в справочнике")</f>
        <v>Завершен</v>
      </c>
      <c r="M942" t="str">
        <f t="shared" si="167"/>
        <v/>
      </c>
      <c r="N942" t="str">
        <f>IFERROR(VLOOKUP(I942,Товары_очищенные!$H$2:$J$502,3,0),"Нет в каталоге")</f>
        <v>Ноутбуки</v>
      </c>
      <c r="O942" s="4">
        <f>IFERROR(VLOOKUP(I942,Товары_очищенные!$H$2:$M$502,6,0),"")</f>
        <v>132000</v>
      </c>
      <c r="P942" t="str">
        <f t="shared" si="168"/>
        <v xml:space="preserve">Цена отличается от каталога</v>
      </c>
    </row>
    <row r="943">
      <c r="A943" s="3" t="s">
        <v>3847</v>
      </c>
      <c r="B943" s="3" t="s">
        <v>3849</v>
      </c>
      <c r="C943" s="3" t="s">
        <v>1900</v>
      </c>
      <c r="D943" s="3" t="s">
        <v>1951</v>
      </c>
      <c r="E943" s="3" t="s">
        <v>3850</v>
      </c>
      <c r="F943" s="3" t="s">
        <v>1573</v>
      </c>
      <c r="G943" s="3" t="s">
        <v>1913</v>
      </c>
      <c r="H943" s="5">
        <f t="shared" si="164"/>
        <v>46142</v>
      </c>
      <c r="I943" t="str">
        <f t="shared" si="165"/>
        <v>АРТ-244</v>
      </c>
      <c r="J943" s="6">
        <f t="shared" si="166"/>
        <v>2</v>
      </c>
      <c r="K943" s="4">
        <f>VALUE(SUBSTITUTE(SUBSTITUTE(SUBSTITUTE(SUBSTITUTE(D943,"$",""),"€",""),"₽","")," ",""))*IF(ISNUMBER(FIND("$",D943)),Справочники!$H$3,IF(ISNUMBER(FIND("€",D943)),Справочники!$H$4,1))</f>
        <v>8500</v>
      </c>
      <c r="L943" t="str">
        <f>IFERROR(VLOOKUP(TRIM(G943),Справочники!$D$3:$E$13,2,0),"Нет в справочнике")</f>
        <v>Завершен</v>
      </c>
      <c r="M943" t="str">
        <f t="shared" si="167"/>
        <v/>
      </c>
      <c r="N943" t="str">
        <f>IFERROR(VLOOKUP(I943,Товары_очищенные!$H$2:$J$502,3,0),"Нет в каталоге")</f>
        <v>Мониторы</v>
      </c>
      <c r="O943" s="4">
        <f>IFERROR(VLOOKUP(I943,Товары_очищенные!$H$2:$M$502,6,0),"")</f>
        <v>77990</v>
      </c>
      <c r="P943" t="str">
        <f t="shared" si="168"/>
        <v xml:space="preserve">Цена отличается от каталога</v>
      </c>
    </row>
    <row r="944">
      <c r="A944" s="3" t="s">
        <v>3851</v>
      </c>
      <c r="B944" s="3" t="s">
        <v>2758</v>
      </c>
      <c r="C944" s="3" t="s">
        <v>1930</v>
      </c>
      <c r="D944" s="3" t="s">
        <v>1931</v>
      </c>
      <c r="E944" s="3" t="s">
        <v>3852</v>
      </c>
      <c r="F944" s="3" t="s">
        <v>1808</v>
      </c>
      <c r="G944" s="3" t="s">
        <v>1903</v>
      </c>
      <c r="H944" s="5">
        <f t="shared" si="164"/>
        <v>46143</v>
      </c>
      <c r="I944" t="str">
        <f t="shared" si="165"/>
        <v>АРТ-179</v>
      </c>
      <c r="J944" s="6">
        <f t="shared" si="166"/>
        <v>3</v>
      </c>
      <c r="K944" s="4">
        <f>VALUE(SUBSTITUTE(SUBSTITUTE(SUBSTITUTE(SUBSTITUTE(D944,"$",""),"€",""),"₽","")," ",""))*IF(ISNUMBER(FIND("$",D944)),Справочники!$H$3,IF(ISNUMBER(FIND("€",D944)),Справочники!$H$4,1))</f>
        <v>9975</v>
      </c>
      <c r="L944" t="str">
        <f>IFERROR(VLOOKUP(TRIM(G944),Справочники!$D$3:$E$13,2,0),"Нет в справочнике")</f>
        <v>Завершен</v>
      </c>
      <c r="M944" t="str">
        <f t="shared" si="167"/>
        <v/>
      </c>
      <c r="N944" t="str">
        <f>IFERROR(VLOOKUP(I944,Товары_очищенные!$H$2:$J$502,3,0),"Нет в каталоге")</f>
        <v>Наушники</v>
      </c>
      <c r="O944" s="4">
        <f>IFERROR(VLOOKUP(I944,Товары_очищенные!$H$2:$M$502,6,0),"")</f>
        <v>13000</v>
      </c>
      <c r="P944" t="str">
        <f t="shared" si="168"/>
        <v xml:space="preserve">Цена отличается от каталога</v>
      </c>
    </row>
    <row r="945">
      <c r="A945" s="3" t="s">
        <v>3851</v>
      </c>
      <c r="B945" s="3" t="s">
        <v>3637</v>
      </c>
      <c r="C945" s="3" t="s">
        <v>1900</v>
      </c>
      <c r="D945" s="3" t="s">
        <v>1906</v>
      </c>
      <c r="E945" s="3" t="s">
        <v>3853</v>
      </c>
      <c r="F945" s="3" t="s">
        <v>1670</v>
      </c>
      <c r="G945" s="3" t="s">
        <v>1924</v>
      </c>
      <c r="H945" s="5">
        <f t="shared" si="164"/>
        <v>46143</v>
      </c>
      <c r="I945" t="str">
        <f t="shared" si="165"/>
        <v>АРТ-421</v>
      </c>
      <c r="J945" s="6">
        <f t="shared" si="166"/>
        <v>2</v>
      </c>
      <c r="K945" s="4">
        <f>VALUE(SUBSTITUTE(SUBSTITUTE(SUBSTITUTE(SUBSTITUTE(D945,"$",""),"€",""),"₽","")," ",""))*IF(ISNUMBER(FIND("$",D945)),Справочники!$H$3,IF(ISNUMBER(FIND("€",D945)),Справочники!$H$4,1))</f>
        <v>8500</v>
      </c>
      <c r="L945" t="str">
        <f>IFERROR(VLOOKUP(TRIM(G945),Справочники!$D$3:$E$13,2,0),"Нет в справочнике")</f>
        <v>Отменен</v>
      </c>
      <c r="M945" t="str">
        <f t="shared" si="167"/>
        <v/>
      </c>
      <c r="N945" t="str">
        <f>IFERROR(VLOOKUP(I945,Товары_очищенные!$H$2:$J$502,3,0),"Нет в каталоге")</f>
        <v>Ноутбуки</v>
      </c>
      <c r="O945" s="4">
        <f>IFERROR(VLOOKUP(I945,Товары_очищенные!$H$2:$M$502,6,0),"")</f>
        <v>126990</v>
      </c>
      <c r="P945" t="str">
        <f t="shared" si="168"/>
        <v xml:space="preserve">Цена отличается от каталога</v>
      </c>
    </row>
    <row r="946">
      <c r="A946" s="3" t="s">
        <v>3854</v>
      </c>
      <c r="B946" s="3" t="s">
        <v>1261</v>
      </c>
      <c r="C946" s="3" t="s">
        <v>1938</v>
      </c>
      <c r="D946" s="3" t="s">
        <v>2166</v>
      </c>
      <c r="E946" s="3" t="s">
        <v>3855</v>
      </c>
      <c r="F946" s="3" t="s">
        <v>1752</v>
      </c>
      <c r="G946" s="3" t="s">
        <v>1918</v>
      </c>
      <c r="H946" s="5">
        <f t="shared" si="164"/>
        <v>46144</v>
      </c>
      <c r="I946" t="str">
        <f t="shared" si="165"/>
        <v>АРТ-369</v>
      </c>
      <c r="J946" s="6">
        <f t="shared" si="166"/>
        <v>1</v>
      </c>
      <c r="K946" s="4">
        <f>VALUE(SUBSTITUTE(SUBSTITUTE(SUBSTITUTE(SUBSTITUTE(D946,"$",""),"€",""),"₽","")," ",""))*IF(ISNUMBER(FIND("$",D946)),Справочники!$H$3,IF(ISNUMBER(FIND("€",D946)),Справочники!$H$4,1))</f>
        <v>7800</v>
      </c>
      <c r="L946" t="str">
        <f>IFERROR(VLOOKUP(TRIM(G946),Справочники!$D$3:$E$13,2,0),"Нет в справочнике")</f>
        <v>Отменен</v>
      </c>
      <c r="M946" t="str">
        <f t="shared" si="167"/>
        <v/>
      </c>
      <c r="N946" t="str">
        <f>IFERROR(VLOOKUP(I946,Товары_очищенные!$H$2:$J$502,3,0),"Нет в каталоге")</f>
        <v>Наушники</v>
      </c>
      <c r="O946" s="4">
        <f>IFERROR(VLOOKUP(I946,Товары_очищенные!$H$2:$M$502,6,0),"")</f>
        <v>20800</v>
      </c>
      <c r="P946" t="str">
        <f t="shared" si="168"/>
        <v xml:space="preserve">Цена отличается от каталога</v>
      </c>
    </row>
    <row r="947">
      <c r="A947" s="3" t="s">
        <v>3854</v>
      </c>
      <c r="B947" s="3" t="s">
        <v>3856</v>
      </c>
      <c r="C947" s="3" t="s">
        <v>1985</v>
      </c>
      <c r="D947" s="3" t="s">
        <v>2044</v>
      </c>
      <c r="E947" s="3" t="s">
        <v>3857</v>
      </c>
      <c r="F947" s="3" t="s">
        <v>1790</v>
      </c>
      <c r="G947" s="3" t="s">
        <v>1927</v>
      </c>
      <c r="H947" s="5">
        <f t="shared" si="164"/>
        <v>46144</v>
      </c>
      <c r="I947" t="str">
        <f t="shared" si="165"/>
        <v>АРТ-170</v>
      </c>
      <c r="J947" s="6">
        <f t="shared" si="166"/>
        <v>-3</v>
      </c>
      <c r="K947" s="4">
        <f>VALUE(SUBSTITUTE(SUBSTITUTE(SUBSTITUTE(SUBSTITUTE(D947,"$",""),"€",""),"₽","")," ",""))*IF(ISNUMBER(FIND("$",D947)),Справочники!$H$3,IF(ISNUMBER(FIND("€",D947)),Справочники!$H$4,1))</f>
        <v>11400</v>
      </c>
      <c r="L947" t="str">
        <f>IFERROR(VLOOKUP(TRIM(G947),Справочники!$D$3:$E$13,2,0),"Нет в справочнике")</f>
        <v>Возврат</v>
      </c>
      <c r="M947" t="str">
        <f t="shared" si="167"/>
        <v/>
      </c>
      <c r="N947" t="str">
        <f>IFERROR(VLOOKUP(I947,Товары_очищенные!$H$2:$J$502,3,0),"Нет в каталоге")</f>
        <v>Смартфоны</v>
      </c>
      <c r="O947" s="4">
        <f>IFERROR(VLOOKUP(I947,Товары_очищенные!$H$2:$M$502,6,0),"")</f>
        <v>56500</v>
      </c>
      <c r="P947" t="str">
        <f t="shared" si="168"/>
        <v xml:space="preserve">Цена отличается от каталога</v>
      </c>
    </row>
    <row r="948">
      <c r="A948" s="3" t="s">
        <v>3858</v>
      </c>
      <c r="B948" s="3" t="s">
        <v>3501</v>
      </c>
      <c r="C948" s="3" t="s">
        <v>1900</v>
      </c>
      <c r="D948" s="3" t="s">
        <v>2046</v>
      </c>
      <c r="E948" s="3" t="s">
        <v>3859</v>
      </c>
      <c r="F948" s="3" t="s">
        <v>1856</v>
      </c>
      <c r="G948" s="3" t="s">
        <v>1903</v>
      </c>
      <c r="H948" s="5">
        <f t="shared" si="164"/>
        <v>46145</v>
      </c>
      <c r="I948" t="str">
        <f t="shared" si="165"/>
        <v>АРТ-315</v>
      </c>
      <c r="J948" s="6">
        <f t="shared" si="166"/>
        <v>2</v>
      </c>
      <c r="K948" s="4">
        <f>VALUE(SUBSTITUTE(SUBSTITUTE(SUBSTITUTE(SUBSTITUTE(D948,"$",""),"€",""),"₽","")," ",""))*IF(ISNUMBER(FIND("$",D948)),Справочники!$H$3,IF(ISNUMBER(FIND("€",D948)),Справочники!$H$4,1))</f>
        <v>10000</v>
      </c>
      <c r="L948" t="str">
        <f>IFERROR(VLOOKUP(TRIM(G948),Справочники!$D$3:$E$13,2,0),"Нет в справочнике")</f>
        <v>Завершен</v>
      </c>
      <c r="M948" t="str">
        <f t="shared" si="167"/>
        <v/>
      </c>
      <c r="N948" t="str">
        <f>IFERROR(VLOOKUP(I948,Товары_очищенные!$H$2:$J$502,3,0),"Нет в каталоге")</f>
        <v>Смартфоны</v>
      </c>
      <c r="O948" s="4">
        <f>IFERROR(VLOOKUP(I948,Товары_очищенные!$H$2:$M$502,6,0),"")</f>
        <v>72000</v>
      </c>
      <c r="P948" t="str">
        <f t="shared" si="168"/>
        <v xml:space="preserve">Цена отличается от каталога</v>
      </c>
    </row>
    <row r="949">
      <c r="A949" s="3" t="s">
        <v>3858</v>
      </c>
      <c r="B949" s="3" t="s">
        <v>3860</v>
      </c>
      <c r="C949" s="3" t="s">
        <v>1905</v>
      </c>
      <c r="D949" s="3" t="s">
        <v>2087</v>
      </c>
      <c r="E949" s="3" t="s">
        <v>3861</v>
      </c>
      <c r="F949" s="3" t="s">
        <v>1708</v>
      </c>
      <c r="G949" s="3" t="s">
        <v>1908</v>
      </c>
      <c r="H949" s="5">
        <f t="shared" si="164"/>
        <v>46145</v>
      </c>
      <c r="I949" t="str">
        <f t="shared" si="165"/>
        <v>АРТ-273</v>
      </c>
      <c r="J949" s="6">
        <f t="shared" si="166"/>
        <v>1</v>
      </c>
      <c r="K949" s="4">
        <f>VALUE(SUBSTITUTE(SUBSTITUTE(SUBSTITUTE(SUBSTITUTE(D949,"$",""),"€",""),"₽","")," ",""))*IF(ISNUMBER(FIND("$",D949)),Справочники!$H$3,IF(ISNUMBER(FIND("€",D949)),Справочники!$H$4,1))</f>
        <v>9200</v>
      </c>
      <c r="L949" t="str">
        <f>IFERROR(VLOOKUP(TRIM(G949),Справочники!$D$3:$E$13,2,0),"Нет в справочнике")</f>
        <v>Завершен</v>
      </c>
      <c r="M949" t="str">
        <f t="shared" si="167"/>
        <v/>
      </c>
      <c r="N949" t="str">
        <f>IFERROR(VLOOKUP(I949,Товары_очищенные!$H$2:$J$502,3,0),"Нет в каталоге")</f>
        <v>Смартфоны</v>
      </c>
      <c r="O949" s="4">
        <f>IFERROR(VLOOKUP(I949,Товары_очищенные!$H$2:$M$502,6,0),"")</f>
        <v>46500</v>
      </c>
      <c r="P949" t="str">
        <f t="shared" si="168"/>
        <v xml:space="preserve">Цена отличается от каталога</v>
      </c>
    </row>
    <row r="950">
      <c r="A950" s="3" t="s">
        <v>3862</v>
      </c>
      <c r="B950" s="3" t="s">
        <v>575</v>
      </c>
      <c r="C950" s="3" t="s">
        <v>1930</v>
      </c>
      <c r="D950" s="3" t="s">
        <v>1986</v>
      </c>
      <c r="E950" s="3" t="s">
        <v>3863</v>
      </c>
      <c r="F950" s="3" t="s">
        <v>1838</v>
      </c>
      <c r="G950" s="3" t="s">
        <v>1913</v>
      </c>
      <c r="H950" s="5">
        <f t="shared" si="164"/>
        <v>46146</v>
      </c>
      <c r="I950" t="str">
        <f t="shared" si="165"/>
        <v>АРТ-133</v>
      </c>
      <c r="J950" s="6">
        <f t="shared" si="166"/>
        <v>3</v>
      </c>
      <c r="K950" s="4">
        <f>VALUE(SUBSTITUTE(SUBSTITUTE(SUBSTITUTE(SUBSTITUTE(D950,"$",""),"€",""),"₽","")," ",""))*IF(ISNUMBER(FIND("$",D950)),Справочники!$H$3,IF(ISNUMBER(FIND("€",D950)),Справочники!$H$4,1))</f>
        <v>8550</v>
      </c>
      <c r="L950" t="str">
        <f>IFERROR(VLOOKUP(TRIM(G950),Справочники!$D$3:$E$13,2,0),"Нет в справочнике")</f>
        <v>Завершен</v>
      </c>
      <c r="M950" t="str">
        <f t="shared" si="167"/>
        <v/>
      </c>
      <c r="N950" t="str">
        <f>IFERROR(VLOOKUP(I950,Товары_очищенные!$H$2:$J$502,3,0),"Нет в каталоге")</f>
        <v>Телевизоры</v>
      </c>
      <c r="O950" s="4">
        <f>IFERROR(VLOOKUP(I950,Товары_очищенные!$H$2:$M$502,6,0),"")</f>
        <v>126990</v>
      </c>
      <c r="P950" t="str">
        <f t="shared" si="168"/>
        <v xml:space="preserve">Цена отличается от каталога</v>
      </c>
    </row>
    <row r="951">
      <c r="A951" s="3" t="s">
        <v>3862</v>
      </c>
      <c r="B951" s="3" t="s">
        <v>2250</v>
      </c>
      <c r="C951" s="3" t="s">
        <v>1900</v>
      </c>
      <c r="D951" s="3" t="s">
        <v>1989</v>
      </c>
      <c r="E951" s="3" t="s">
        <v>3864</v>
      </c>
      <c r="F951" s="3" t="s">
        <v>1759</v>
      </c>
      <c r="G951" s="3" t="s">
        <v>1918</v>
      </c>
      <c r="H951" s="5">
        <f t="shared" si="164"/>
        <v>46146</v>
      </c>
      <c r="I951" t="str">
        <f t="shared" si="165"/>
        <v>АРТ-480</v>
      </c>
      <c r="J951" s="6">
        <f t="shared" si="166"/>
        <v>2</v>
      </c>
      <c r="K951" s="4">
        <f>VALUE(SUBSTITUTE(SUBSTITUTE(SUBSTITUTE(SUBSTITUTE(D951,"$",""),"€",""),"₽","")," ",""))*IF(ISNUMBER(FIND("$",D951)),Справочники!$H$3,IF(ISNUMBER(FIND("€",D951)),Справочники!$H$4,1))</f>
        <v>7000</v>
      </c>
      <c r="L951" t="str">
        <f>IFERROR(VLOOKUP(TRIM(G951),Справочники!$D$3:$E$13,2,0),"Нет в справочнике")</f>
        <v>Отменен</v>
      </c>
      <c r="M951" t="str">
        <f t="shared" si="167"/>
        <v/>
      </c>
      <c r="N951" t="str">
        <f>IFERROR(VLOOKUP(I951,Товары_очищенные!$H$2:$J$502,3,0),"Нет в каталоге")</f>
        <v>Аксессуары</v>
      </c>
      <c r="O951" s="4">
        <f>IFERROR(VLOOKUP(I951,Товары_очищенные!$H$2:$M$502,6,0),"")</f>
        <v>13800</v>
      </c>
      <c r="P951" t="str">
        <f t="shared" si="168"/>
        <v xml:space="preserve">Цена отличается от каталога</v>
      </c>
    </row>
    <row r="952">
      <c r="A952" s="3" t="s">
        <v>3865</v>
      </c>
      <c r="B952" s="3" t="s">
        <v>2770</v>
      </c>
      <c r="C952" s="3" t="s">
        <v>1938</v>
      </c>
      <c r="D952" s="3" t="s">
        <v>1939</v>
      </c>
      <c r="E952" s="3" t="s">
        <v>3866</v>
      </c>
      <c r="F952" s="3" t="s">
        <v>1642</v>
      </c>
      <c r="G952" s="3" t="s">
        <v>1924</v>
      </c>
      <c r="H952" s="5">
        <f t="shared" si="164"/>
        <v>46147</v>
      </c>
      <c r="I952" t="str">
        <f t="shared" si="165"/>
        <v>АРТ-389</v>
      </c>
      <c r="J952" s="6">
        <f t="shared" si="166"/>
        <v>1</v>
      </c>
      <c r="K952" s="4">
        <f>VALUE(SUBSTITUTE(SUBSTITUTE(SUBSTITUTE(SUBSTITUTE(D952,"$",""),"€",""),"₽","")," ",""))*IF(ISNUMBER(FIND("$",D952)),Справочники!$H$3,IF(ISNUMBER(FIND("€",D952)),Справочники!$H$4,1))</f>
        <v>6500</v>
      </c>
      <c r="L952" t="str">
        <f>IFERROR(VLOOKUP(TRIM(G952),Справочники!$D$3:$E$13,2,0),"Нет в справочнике")</f>
        <v>Отменен</v>
      </c>
      <c r="M952" t="str">
        <f t="shared" si="167"/>
        <v/>
      </c>
      <c r="N952" t="str">
        <f>IFERROR(VLOOKUP(I952,Товары_очищенные!$H$2:$J$502,3,0),"Нет в каталоге")</f>
        <v>Телевизоры</v>
      </c>
      <c r="O952" s="4">
        <f>IFERROR(VLOOKUP(I952,Товары_очищенные!$H$2:$M$502,6,0),"")</f>
        <v>75000</v>
      </c>
      <c r="P952" t="str">
        <f t="shared" si="168"/>
        <v xml:space="preserve">Цена отличается от каталога</v>
      </c>
    </row>
    <row r="953">
      <c r="A953" s="3" t="s">
        <v>3865</v>
      </c>
      <c r="B953" s="3" t="s">
        <v>3867</v>
      </c>
      <c r="C953" s="3" t="s">
        <v>1915</v>
      </c>
      <c r="D953" s="3" t="s">
        <v>1916</v>
      </c>
      <c r="E953" s="3" t="s">
        <v>3868</v>
      </c>
      <c r="F953" s="3" t="s">
        <v>1608</v>
      </c>
      <c r="G953" s="3" t="s">
        <v>1903</v>
      </c>
      <c r="H953" s="5">
        <f t="shared" si="164"/>
        <v>46147</v>
      </c>
      <c r="I953" t="str">
        <f t="shared" si="165"/>
        <v>АРТ-369</v>
      </c>
      <c r="J953" s="6">
        <f t="shared" si="166"/>
        <v>-1</v>
      </c>
      <c r="K953" s="4">
        <f>VALUE(SUBSTITUTE(SUBSTITUTE(SUBSTITUTE(SUBSTITUTE(D953,"$",""),"€",""),"₽","")," ",""))*IF(ISNUMBER(FIND("$",D953)),Справочники!$H$3,IF(ISNUMBER(FIND("€",D953)),Справочники!$H$4,1))</f>
        <v>10450</v>
      </c>
      <c r="L953" t="str">
        <f>IFERROR(VLOOKUP(TRIM(G953),Справочники!$D$3:$E$13,2,0),"Нет в справочнике")</f>
        <v>Завершен</v>
      </c>
      <c r="M953" t="str">
        <f t="shared" si="167"/>
        <v/>
      </c>
      <c r="N953" t="str">
        <f>IFERROR(VLOOKUP(I953,Товары_очищенные!$H$2:$J$502,3,0),"Нет в каталоге")</f>
        <v>Наушники</v>
      </c>
      <c r="O953" s="4">
        <f>IFERROR(VLOOKUP(I953,Товары_очищенные!$H$2:$M$502,6,0),"")</f>
        <v>20800</v>
      </c>
      <c r="P953" t="str">
        <f t="shared" si="168"/>
        <v xml:space="preserve">Цена отличается от каталога</v>
      </c>
    </row>
    <row r="954">
      <c r="A954" s="3" t="s">
        <v>3869</v>
      </c>
      <c r="B954" s="3" t="s">
        <v>938</v>
      </c>
      <c r="C954" s="3" t="s">
        <v>1930</v>
      </c>
      <c r="D954" s="3" t="s">
        <v>1922</v>
      </c>
      <c r="E954" s="3" t="s">
        <v>3870</v>
      </c>
      <c r="F954" s="3" t="s">
        <v>1715</v>
      </c>
      <c r="G954" s="3" t="s">
        <v>1927</v>
      </c>
      <c r="H954" s="5">
        <f t="shared" si="164"/>
        <v>46148</v>
      </c>
      <c r="I954" t="str">
        <f t="shared" si="165"/>
        <v>АРТ-245</v>
      </c>
      <c r="J954" s="6">
        <f t="shared" si="166"/>
        <v>3</v>
      </c>
      <c r="K954" s="4">
        <f>VALUE(SUBSTITUTE(SUBSTITUTE(SUBSTITUTE(SUBSTITUTE(D954,"$",""),"€",""),"₽","")," ",""))*IF(ISNUMBER(FIND("$",D954)),Справочники!$H$3,IF(ISNUMBER(FIND("€",D954)),Справочники!$H$4,1))</f>
        <v>9000</v>
      </c>
      <c r="L954" t="str">
        <f>IFERROR(VLOOKUP(TRIM(G954),Справочники!$D$3:$E$13,2,0),"Нет в справочнике")</f>
        <v>Возврат</v>
      </c>
      <c r="M954" t="str">
        <f t="shared" si="167"/>
        <v/>
      </c>
      <c r="N954" t="str">
        <f>IFERROR(VLOOKUP(I954,Товары_очищенные!$H$2:$J$502,3,0),"Нет в каталоге")</f>
        <v>Мониторы</v>
      </c>
      <c r="O954" s="4">
        <f>IFERROR(VLOOKUP(I954,Товары_очищенные!$H$2:$M$502,6,0),"")</f>
        <v>75000</v>
      </c>
      <c r="P954" t="str">
        <f t="shared" si="168"/>
        <v xml:space="preserve">Цена отличается от каталога</v>
      </c>
    </row>
    <row r="955">
      <c r="A955" s="3" t="s">
        <v>3869</v>
      </c>
      <c r="B955" s="3" t="s">
        <v>2388</v>
      </c>
      <c r="C955" s="3" t="s">
        <v>1900</v>
      </c>
      <c r="D955" s="3" t="s">
        <v>1925</v>
      </c>
      <c r="E955" s="3" t="s">
        <v>3871</v>
      </c>
      <c r="F955" s="3" t="s">
        <v>1850</v>
      </c>
      <c r="G955" s="3" t="s">
        <v>1908</v>
      </c>
      <c r="H955" s="5">
        <f t="shared" si="164"/>
        <v>46148</v>
      </c>
      <c r="I955" t="str">
        <f t="shared" si="165"/>
        <v>АРТ-289</v>
      </c>
      <c r="J955" s="6">
        <f t="shared" si="166"/>
        <v>2</v>
      </c>
      <c r="K955" s="4">
        <f>VALUE(SUBSTITUTE(SUBSTITUTE(SUBSTITUTE(SUBSTITUTE(D955,"$",""),"€",""),"₽","")," ",""))*IF(ISNUMBER(FIND("$",D955)),Справочники!$H$3,IF(ISNUMBER(FIND("€",D955)),Справочники!$H$4,1))</f>
        <v>8000</v>
      </c>
      <c r="L955" t="str">
        <f>IFERROR(VLOOKUP(TRIM(G955),Справочники!$D$3:$E$13,2,0),"Нет в справочнике")</f>
        <v>Завершен</v>
      </c>
      <c r="M955" t="str">
        <f t="shared" si="167"/>
        <v/>
      </c>
      <c r="N955" t="str">
        <f>IFERROR(VLOOKUP(I955,Товары_очищенные!$H$2:$J$502,3,0),"Нет в каталоге")</f>
        <v>Часы</v>
      </c>
      <c r="O955" s="4">
        <f>IFERROR(VLOOKUP(I955,Товары_очищенные!$H$2:$M$502,6,0),"")</f>
        <v>62990</v>
      </c>
      <c r="P955" t="str">
        <f t="shared" si="168"/>
        <v xml:space="preserve">Цена отличается от каталога</v>
      </c>
    </row>
    <row r="956">
      <c r="A956" s="3" t="s">
        <v>3872</v>
      </c>
      <c r="B956" s="3" t="s">
        <v>308</v>
      </c>
      <c r="C956" s="3" t="s">
        <v>1905</v>
      </c>
      <c r="D956" s="3" t="s">
        <v>1964</v>
      </c>
      <c r="E956" s="3" t="s">
        <v>3873</v>
      </c>
      <c r="F956" s="3" t="s">
        <v>1615</v>
      </c>
      <c r="G956" s="3" t="s">
        <v>1913</v>
      </c>
      <c r="H956" s="5">
        <f t="shared" si="164"/>
        <v>46149</v>
      </c>
      <c r="I956" t="str">
        <f t="shared" si="165"/>
        <v>АРТ-064</v>
      </c>
      <c r="J956" s="6">
        <f t="shared" si="166"/>
        <v>1</v>
      </c>
      <c r="K956" s="4">
        <f>VALUE(SUBSTITUTE(SUBSTITUTE(SUBSTITUTE(SUBSTITUTE(D956,"$",""),"€",""),"₽","")," ",""))*IF(ISNUMBER(FIND("$",D956)),Справочники!$H$3,IF(ISNUMBER(FIND("€",D956)),Справочники!$H$4,1))</f>
        <v>9025</v>
      </c>
      <c r="L956" t="str">
        <f>IFERROR(VLOOKUP(TRIM(G956),Справочники!$D$3:$E$13,2,0),"Нет в справочнике")</f>
        <v>Завершен</v>
      </c>
      <c r="M956" t="str">
        <f t="shared" si="167"/>
        <v/>
      </c>
      <c r="N956" t="str">
        <f>IFERROR(VLOOKUP(I956,Товары_очищенные!$H$2:$J$502,3,0),"Нет в каталоге")</f>
        <v>Смартфоны</v>
      </c>
      <c r="O956" s="4">
        <f>IFERROR(VLOOKUP(I956,Товары_очищенные!$H$2:$M$502,6,0),"")</f>
        <v>56990</v>
      </c>
      <c r="P956" t="str">
        <f t="shared" si="168"/>
        <v xml:space="preserve">Цена отличается от каталога</v>
      </c>
    </row>
    <row r="957">
      <c r="A957" s="3" t="s">
        <v>3872</v>
      </c>
      <c r="B957" s="3" t="s">
        <v>3874</v>
      </c>
      <c r="C957" s="3" t="s">
        <v>1900</v>
      </c>
      <c r="D957" s="3" t="s">
        <v>1968</v>
      </c>
      <c r="E957" s="3" t="s">
        <v>3875</v>
      </c>
      <c r="F957" s="3" t="s">
        <v>1765</v>
      </c>
      <c r="G957" s="3" t="s">
        <v>1903</v>
      </c>
      <c r="H957" s="5">
        <f t="shared" si="164"/>
        <v>46149</v>
      </c>
      <c r="I957" t="str">
        <f t="shared" si="165"/>
        <v>АРТ-499</v>
      </c>
      <c r="J957" s="6">
        <f t="shared" si="166"/>
        <v>2</v>
      </c>
      <c r="K957" s="4">
        <f>VALUE(SUBSTITUTE(SUBSTITUTE(SUBSTITUTE(SUBSTITUTE(D957,"$",""),"€",""),"₽","")," ",""))*IF(ISNUMBER(FIND("$",D957)),Справочники!$H$3,IF(ISNUMBER(FIND("€",D957)),Справочники!$H$4,1))</f>
        <v>7500</v>
      </c>
      <c r="L957" t="str">
        <f>IFERROR(VLOOKUP(TRIM(G957),Справочники!$D$3:$E$13,2,0),"Нет в справочнике")</f>
        <v>Завершен</v>
      </c>
      <c r="M957" t="str">
        <f t="shared" si="167"/>
        <v/>
      </c>
      <c r="N957" t="str">
        <f>IFERROR(VLOOKUP(I957,Товары_очищенные!$H$2:$J$502,3,0),"Нет в каталоге")</f>
        <v>Аксессуары</v>
      </c>
      <c r="O957" s="4">
        <f>IFERROR(VLOOKUP(I957,Товары_очищенные!$H$2:$M$502,6,0),"")</f>
        <v>5990</v>
      </c>
      <c r="P957" t="str">
        <f t="shared" si="168"/>
        <v xml:space="preserve">Цена отличается от каталога</v>
      </c>
    </row>
    <row r="958">
      <c r="A958" s="3" t="s">
        <v>3876</v>
      </c>
      <c r="B958" s="3" t="s">
        <v>1273</v>
      </c>
      <c r="C958" s="3" t="s">
        <v>1910</v>
      </c>
      <c r="D958" s="3" t="s">
        <v>1971</v>
      </c>
      <c r="E958" s="3" t="s">
        <v>3877</v>
      </c>
      <c r="F958" s="3" t="s">
        <v>1688</v>
      </c>
      <c r="G958" s="3" t="s">
        <v>1924</v>
      </c>
      <c r="H958" s="5">
        <f t="shared" si="164"/>
        <v>46150</v>
      </c>
      <c r="I958" t="str">
        <f t="shared" si="165"/>
        <v>АРТ-375</v>
      </c>
      <c r="J958" s="6">
        <f t="shared" si="166"/>
        <v>3</v>
      </c>
      <c r="K958" s="4">
        <f>VALUE(SUBSTITUTE(SUBSTITUTE(SUBSTITUTE(SUBSTITUTE(D958,"$",""),"€",""),"₽","")," ",""))*IF(ISNUMBER(FIND("$",D958)),Справочники!$H$3,IF(ISNUMBER(FIND("€",D958)),Справочники!$H$4,1))</f>
        <v>7000</v>
      </c>
      <c r="L958" t="str">
        <f>IFERROR(VLOOKUP(TRIM(G958),Справочники!$D$3:$E$13,2,0),"Нет в справочнике")</f>
        <v>Отменен</v>
      </c>
      <c r="M958" t="str">
        <f t="shared" si="167"/>
        <v/>
      </c>
      <c r="N958" t="str">
        <f>IFERROR(VLOOKUP(I958,Товары_очищенные!$H$2:$J$502,3,0),"Нет в каталоге")</f>
        <v>Аксессуары</v>
      </c>
      <c r="O958" s="4">
        <f>IFERROR(VLOOKUP(I958,Товары_очищенные!$H$2:$M$502,6,0),"")</f>
        <v>14800</v>
      </c>
      <c r="P958" t="str">
        <f t="shared" si="168"/>
        <v xml:space="preserve">Цена отличается от каталога</v>
      </c>
    </row>
    <row r="959">
      <c r="A959" s="3" t="s">
        <v>3876</v>
      </c>
      <c r="B959" s="3" t="s">
        <v>1083</v>
      </c>
      <c r="C959" s="3" t="s">
        <v>1942</v>
      </c>
      <c r="D959" s="3" t="s">
        <v>1943</v>
      </c>
      <c r="E959" s="3" t="s">
        <v>3878</v>
      </c>
      <c r="F959" s="3" t="s">
        <v>1832</v>
      </c>
      <c r="G959" s="3" t="s">
        <v>1918</v>
      </c>
      <c r="H959" s="5">
        <f t="shared" si="164"/>
        <v>46150</v>
      </c>
      <c r="I959" t="str">
        <f t="shared" si="165"/>
        <v>АРТ-295</v>
      </c>
      <c r="J959" s="6">
        <f t="shared" si="166"/>
        <v>-2</v>
      </c>
      <c r="K959" s="4">
        <f>VALUE(SUBSTITUTE(SUBSTITUTE(SUBSTITUTE(SUBSTITUTE(D959,"$",""),"€",""),"₽","")," ",""))*IF(ISNUMBER(FIND("$",D959)),Справочники!$H$3,IF(ISNUMBER(FIND("€",D959)),Справочники!$H$4,1))</f>
        <v>10925</v>
      </c>
      <c r="L959" t="str">
        <f>IFERROR(VLOOKUP(TRIM(G959),Справочники!$D$3:$E$13,2,0),"Нет в справочнике")</f>
        <v>Отменен</v>
      </c>
      <c r="M959" t="str">
        <f t="shared" si="167"/>
        <v/>
      </c>
      <c r="N959" t="str">
        <f>IFERROR(VLOOKUP(I959,Товары_очищенные!$H$2:$J$502,3,0),"Нет в каталоге")</f>
        <v>Смартфоны</v>
      </c>
      <c r="O959" s="4">
        <f>IFERROR(VLOOKUP(I959,Товары_очищенные!$H$2:$M$502,6,0),"")</f>
        <v>34990</v>
      </c>
      <c r="P959" t="str">
        <f t="shared" si="168"/>
        <v xml:space="preserve">Цена отличается от каталога</v>
      </c>
    </row>
    <row r="960">
      <c r="A960" s="3" t="s">
        <v>3879</v>
      </c>
      <c r="B960" s="3" t="s">
        <v>3038</v>
      </c>
      <c r="C960" s="3" t="s">
        <v>1905</v>
      </c>
      <c r="D960" s="3" t="s">
        <v>1934</v>
      </c>
      <c r="E960" s="3" t="s">
        <v>3880</v>
      </c>
      <c r="F960" s="3" t="s">
        <v>1594</v>
      </c>
      <c r="G960" s="3" t="s">
        <v>1927</v>
      </c>
      <c r="H960" s="5">
        <f t="shared" si="164"/>
        <v>46151</v>
      </c>
      <c r="I960" t="str">
        <f t="shared" si="165"/>
        <v>АРТ-309</v>
      </c>
      <c r="J960" s="6">
        <f t="shared" si="166"/>
        <v>1</v>
      </c>
      <c r="K960" s="4">
        <f>VALUE(SUBSTITUTE(SUBSTITUTE(SUBSTITUTE(SUBSTITUTE(D960,"$",""),"€",""),"₽","")," ",""))*IF(ISNUMBER(FIND("$",D960)),Справочники!$H$3,IF(ISNUMBER(FIND("€",D960)),Справочники!$H$4,1))</f>
        <v>9500</v>
      </c>
      <c r="L960" t="str">
        <f>IFERROR(VLOOKUP(TRIM(G960),Справочники!$D$3:$E$13,2,0),"Нет в справочнике")</f>
        <v>Возврат</v>
      </c>
      <c r="M960" t="str">
        <f t="shared" si="167"/>
        <v/>
      </c>
      <c r="N960" t="str">
        <f>IFERROR(VLOOKUP(I960,Товары_очищенные!$H$2:$J$502,3,0),"Нет в каталоге")</f>
        <v>Аксессуары</v>
      </c>
      <c r="O960" s="4">
        <f>IFERROR(VLOOKUP(I960,Товары_очищенные!$H$2:$M$502,6,0),"")</f>
        <v>9800</v>
      </c>
      <c r="P960" t="str">
        <f t="shared" si="168"/>
        <v>ОК</v>
      </c>
    </row>
    <row r="961">
      <c r="A961" s="3" t="s">
        <v>3879</v>
      </c>
      <c r="B961" s="3" t="s">
        <v>573</v>
      </c>
      <c r="C961" s="3" t="s">
        <v>1900</v>
      </c>
      <c r="D961" s="3" t="s">
        <v>1951</v>
      </c>
      <c r="E961" s="3" t="s">
        <v>3881</v>
      </c>
      <c r="F961" s="3" t="s">
        <v>1796</v>
      </c>
      <c r="G961" s="3" t="s">
        <v>1903</v>
      </c>
      <c r="H961" s="5">
        <f t="shared" si="164"/>
        <v>46151</v>
      </c>
      <c r="I961" t="str">
        <f t="shared" si="165"/>
        <v>АРТ-132</v>
      </c>
      <c r="J961" s="6">
        <f t="shared" si="166"/>
        <v>2</v>
      </c>
      <c r="K961" s="4">
        <f>VALUE(SUBSTITUTE(SUBSTITUTE(SUBSTITUTE(SUBSTITUTE(D961,"$",""),"€",""),"₽","")," ",""))*IF(ISNUMBER(FIND("$",D961)),Справочники!$H$3,IF(ISNUMBER(FIND("€",D961)),Справочники!$H$4,1))</f>
        <v>8500</v>
      </c>
      <c r="L961" t="str">
        <f>IFERROR(VLOOKUP(TRIM(G961),Справочники!$D$3:$E$13,2,0),"Нет в справочнике")</f>
        <v>Завершен</v>
      </c>
      <c r="M961" t="str">
        <f t="shared" si="167"/>
        <v/>
      </c>
      <c r="N961" t="str">
        <f>IFERROR(VLOOKUP(I961,Товары_очищенные!$H$2:$J$502,3,0),"Нет в каталоге")</f>
        <v>Планшеты</v>
      </c>
      <c r="O961" s="4">
        <f>IFERROR(VLOOKUP(I961,Товары_очищенные!$H$2:$M$502,6,0),"")</f>
        <v>44500</v>
      </c>
      <c r="P961" t="str">
        <f t="shared" si="168"/>
        <v xml:space="preserve">Цена отличается от каталога</v>
      </c>
    </row>
    <row r="962">
      <c r="A962" s="3" t="s">
        <v>3882</v>
      </c>
      <c r="B962" s="3" t="s">
        <v>363</v>
      </c>
      <c r="C962" s="3" t="s">
        <v>1930</v>
      </c>
      <c r="D962" s="3" t="s">
        <v>1931</v>
      </c>
      <c r="E962" s="3" t="s">
        <v>3883</v>
      </c>
      <c r="F962" s="3" t="s">
        <v>1656</v>
      </c>
      <c r="G962" s="3" t="s">
        <v>1908</v>
      </c>
      <c r="H962" s="5">
        <f t="shared" si="164"/>
        <v>46152</v>
      </c>
      <c r="I962" t="str">
        <f t="shared" si="165"/>
        <v>АРТ-076</v>
      </c>
      <c r="J962" s="6">
        <f t="shared" si="166"/>
        <v>3</v>
      </c>
      <c r="K962" s="4">
        <f>VALUE(SUBSTITUTE(SUBSTITUTE(SUBSTITUTE(SUBSTITUTE(D962,"$",""),"€",""),"₽","")," ",""))*IF(ISNUMBER(FIND("$",D962)),Справочники!$H$3,IF(ISNUMBER(FIND("€",D962)),Справочники!$H$4,1))</f>
        <v>9975</v>
      </c>
      <c r="L962" t="str">
        <f>IFERROR(VLOOKUP(TRIM(G962),Справочники!$D$3:$E$13,2,0),"Нет в справочнике")</f>
        <v>Завершен</v>
      </c>
      <c r="M962" t="str">
        <f t="shared" si="167"/>
        <v/>
      </c>
      <c r="N962" t="str">
        <f>IFERROR(VLOOKUP(I962,Товары_очищенные!$H$2:$J$502,3,0),"Нет в каталоге")</f>
        <v>Аксессуары</v>
      </c>
      <c r="O962" s="4">
        <f>IFERROR(VLOOKUP(I962,Товары_очищенные!$H$2:$M$502,6,0),"")</f>
        <v>12990</v>
      </c>
      <c r="P962" t="str">
        <f t="shared" si="168"/>
        <v xml:space="preserve">Цена отличается от каталога</v>
      </c>
    </row>
    <row r="963">
      <c r="A963" s="3" t="s">
        <v>3882</v>
      </c>
      <c r="B963" s="3" t="s">
        <v>2690</v>
      </c>
      <c r="C963" s="3" t="s">
        <v>1900</v>
      </c>
      <c r="D963" s="3" t="s">
        <v>1906</v>
      </c>
      <c r="E963" s="3" t="s">
        <v>3884</v>
      </c>
      <c r="F963" s="3" t="s">
        <v>1746</v>
      </c>
      <c r="G963" s="3" t="s">
        <v>1913</v>
      </c>
      <c r="H963" s="5">
        <f t="shared" si="164"/>
        <v>46152</v>
      </c>
      <c r="I963" t="str">
        <f t="shared" si="165"/>
        <v>АРТ-454</v>
      </c>
      <c r="J963" s="6">
        <f t="shared" si="166"/>
        <v>2</v>
      </c>
      <c r="K963" s="4">
        <f>VALUE(SUBSTITUTE(SUBSTITUTE(SUBSTITUTE(SUBSTITUTE(D963,"$",""),"€",""),"₽","")," ",""))*IF(ISNUMBER(FIND("$",D963)),Справочники!$H$3,IF(ISNUMBER(FIND("€",D963)),Справочники!$H$4,1))</f>
        <v>8500</v>
      </c>
      <c r="L963" t="str">
        <f>IFERROR(VLOOKUP(TRIM(G963),Справочники!$D$3:$E$13,2,0),"Нет в справочнике")</f>
        <v>Завершен</v>
      </c>
      <c r="M963" t="str">
        <f t="shared" si="167"/>
        <v/>
      </c>
      <c r="N963" t="str">
        <f>IFERROR(VLOOKUP(I963,Товары_очищенные!$H$2:$J$502,3,0),"Нет в каталоге")</f>
        <v>Мониторы</v>
      </c>
      <c r="O963" s="4">
        <f>IFERROR(VLOOKUP(I963,Товары_очищенные!$H$2:$M$502,6,0),"")</f>
        <v>74990</v>
      </c>
      <c r="P963" t="str">
        <f t="shared" si="168"/>
        <v xml:space="preserve">Цена отличается от каталога</v>
      </c>
    </row>
    <row r="964">
      <c r="A964" s="3" t="s">
        <v>3885</v>
      </c>
      <c r="B964" s="3" t="s">
        <v>3124</v>
      </c>
      <c r="C964" s="3" t="s">
        <v>1938</v>
      </c>
      <c r="D964" s="3" t="s">
        <v>2166</v>
      </c>
      <c r="E964" s="3" t="s">
        <v>3886</v>
      </c>
      <c r="F964" s="3" t="s">
        <v>1622</v>
      </c>
      <c r="G964" s="3" t="s">
        <v>1918</v>
      </c>
      <c r="H964" s="5">
        <f t="shared" si="164"/>
        <v>46153</v>
      </c>
      <c r="I964" t="str">
        <f t="shared" si="165"/>
        <v>АРТ-330</v>
      </c>
      <c r="J964" s="6">
        <f t="shared" si="166"/>
        <v>1</v>
      </c>
      <c r="K964" s="4">
        <f>VALUE(SUBSTITUTE(SUBSTITUTE(SUBSTITUTE(SUBSTITUTE(D964,"$",""),"€",""),"₽","")," ",""))*IF(ISNUMBER(FIND("$",D964)),Справочники!$H$3,IF(ISNUMBER(FIND("€",D964)),Справочники!$H$4,1))</f>
        <v>7800</v>
      </c>
      <c r="L964" t="str">
        <f>IFERROR(VLOOKUP(TRIM(G964),Справочники!$D$3:$E$13,2,0),"Нет в справочнике")</f>
        <v>Отменен</v>
      </c>
      <c r="M964" t="str">
        <f t="shared" si="167"/>
        <v/>
      </c>
      <c r="N964" t="str">
        <f>IFERROR(VLOOKUP(I964,Товары_очищенные!$H$2:$J$502,3,0),"Нет в каталоге")</f>
        <v>Аксессуары</v>
      </c>
      <c r="O964" s="4">
        <f>IFERROR(VLOOKUP(I964,Товары_очищенные!$H$2:$M$502,6,0),"")</f>
        <v>12800</v>
      </c>
      <c r="P964" t="str">
        <f t="shared" si="168"/>
        <v xml:space="preserve">Цена отличается от каталога</v>
      </c>
    </row>
    <row r="965">
      <c r="A965" s="3" t="s">
        <v>3885</v>
      </c>
      <c r="B965" s="3" t="s">
        <v>1212</v>
      </c>
      <c r="C965" s="3" t="s">
        <v>1985</v>
      </c>
      <c r="D965" s="3" t="s">
        <v>2044</v>
      </c>
      <c r="E965" s="3" t="s">
        <v>3887</v>
      </c>
      <c r="F965" s="3" t="s">
        <v>1826</v>
      </c>
      <c r="G965" s="3" t="s">
        <v>1924</v>
      </c>
      <c r="H965" s="5">
        <f t="shared" si="164"/>
        <v>46153</v>
      </c>
      <c r="I965" t="str">
        <f t="shared" si="165"/>
        <v>АРТ-346</v>
      </c>
      <c r="J965" s="6">
        <f t="shared" si="166"/>
        <v>-3</v>
      </c>
      <c r="K965" s="4">
        <f>VALUE(SUBSTITUTE(SUBSTITUTE(SUBSTITUTE(SUBSTITUTE(D965,"$",""),"€",""),"₽","")," ",""))*IF(ISNUMBER(FIND("$",D965)),Справочники!$H$3,IF(ISNUMBER(FIND("€",D965)),Справочники!$H$4,1))</f>
        <v>11400</v>
      </c>
      <c r="L965" t="str">
        <f>IFERROR(VLOOKUP(TRIM(G965),Справочники!$D$3:$E$13,2,0),"Нет в справочнике")</f>
        <v>Отменен</v>
      </c>
      <c r="M965" t="str">
        <f t="shared" si="167"/>
        <v/>
      </c>
      <c r="N965" t="str">
        <f>IFERROR(VLOOKUP(I965,Товары_очищенные!$H$2:$J$502,3,0),"Нет в каталоге")</f>
        <v>Наушники</v>
      </c>
      <c r="O965" s="4">
        <f>IFERROR(VLOOKUP(I965,Товары_очищенные!$H$2:$M$502,6,0),"")</f>
        <v>19990</v>
      </c>
      <c r="P965" t="str">
        <f t="shared" si="168"/>
        <v xml:space="preserve">Цена отличается от каталога</v>
      </c>
    </row>
    <row r="966">
      <c r="A966" s="3" t="s">
        <v>3888</v>
      </c>
      <c r="B966" s="3" t="s">
        <v>987</v>
      </c>
      <c r="C966" s="3" t="s">
        <v>1900</v>
      </c>
      <c r="D966" s="3" t="s">
        <v>2046</v>
      </c>
      <c r="E966" s="3" t="s">
        <v>3889</v>
      </c>
      <c r="F966" s="3" t="s">
        <v>1676</v>
      </c>
      <c r="G966" s="3" t="s">
        <v>1903</v>
      </c>
      <c r="H966" s="5">
        <f t="shared" si="164"/>
        <v>46154</v>
      </c>
      <c r="I966" t="str">
        <f t="shared" si="165"/>
        <v>АРТ-263</v>
      </c>
      <c r="J966" s="6">
        <f t="shared" si="166"/>
        <v>2</v>
      </c>
      <c r="K966" s="4">
        <f>VALUE(SUBSTITUTE(SUBSTITUTE(SUBSTITUTE(SUBSTITUTE(D966,"$",""),"€",""),"₽","")," ",""))*IF(ISNUMBER(FIND("$",D966)),Справочники!$H$3,IF(ISNUMBER(FIND("€",D966)),Справочники!$H$4,1))</f>
        <v>10000</v>
      </c>
      <c r="L966" t="str">
        <f>IFERROR(VLOOKUP(TRIM(G966),Справочники!$D$3:$E$13,2,0),"Нет в справочнике")</f>
        <v>Завершен</v>
      </c>
      <c r="M966" t="str">
        <f t="shared" si="167"/>
        <v/>
      </c>
      <c r="N966" t="str">
        <f>IFERROR(VLOOKUP(I966,Товары_очищенные!$H$2:$J$502,3,0),"Нет в каталоге")</f>
        <v>Наушники</v>
      </c>
      <c r="O966" s="4">
        <f>IFERROR(VLOOKUP(I966,Товары_очищенные!$H$2:$M$502,6,0),"")</f>
        <v>11000</v>
      </c>
      <c r="P966" t="str">
        <f t="shared" si="168"/>
        <v>ОК</v>
      </c>
    </row>
    <row r="967">
      <c r="A967" s="3" t="s">
        <v>3888</v>
      </c>
      <c r="B967" s="3" t="s">
        <v>874</v>
      </c>
      <c r="C967" s="3" t="s">
        <v>1905</v>
      </c>
      <c r="D967" s="3" t="s">
        <v>2087</v>
      </c>
      <c r="E967" s="3" t="s">
        <v>3890</v>
      </c>
      <c r="F967" s="3" t="s">
        <v>1772</v>
      </c>
      <c r="G967" s="3" t="s">
        <v>1927</v>
      </c>
      <c r="H967" s="5">
        <f t="shared" si="164"/>
        <v>46154</v>
      </c>
      <c r="I967" t="str">
        <f t="shared" si="165"/>
        <v>АРТ-222</v>
      </c>
      <c r="J967" s="6">
        <f t="shared" si="166"/>
        <v>1</v>
      </c>
      <c r="K967" s="4">
        <f>VALUE(SUBSTITUTE(SUBSTITUTE(SUBSTITUTE(SUBSTITUTE(D967,"$",""),"€",""),"₽","")," ",""))*IF(ISNUMBER(FIND("$",D967)),Справочники!$H$3,IF(ISNUMBER(FIND("€",D967)),Справочники!$H$4,1))</f>
        <v>9200</v>
      </c>
      <c r="L967" t="str">
        <f>IFERROR(VLOOKUP(TRIM(G967),Справочники!$D$3:$E$13,2,0),"Нет в справочнике")</f>
        <v>Возврат</v>
      </c>
      <c r="M967" t="str">
        <f t="shared" si="167"/>
        <v/>
      </c>
      <c r="N967" t="str">
        <f>IFERROR(VLOOKUP(I967,Товары_очищенные!$H$2:$J$502,3,0),"Нет в каталоге")</f>
        <v>Наушники</v>
      </c>
      <c r="O967" s="4">
        <f>IFERROR(VLOOKUP(I967,Товары_очищенные!$H$2:$M$502,6,0),"")</f>
        <v>26000</v>
      </c>
      <c r="P967" t="str">
        <f t="shared" si="168"/>
        <v xml:space="preserve">Цена отличается от каталога</v>
      </c>
    </row>
    <row r="968">
      <c r="A968" s="3" t="s">
        <v>3891</v>
      </c>
      <c r="B968" s="3" t="s">
        <v>3493</v>
      </c>
      <c r="C968" s="3" t="s">
        <v>1930</v>
      </c>
      <c r="D968" s="3" t="s">
        <v>1986</v>
      </c>
      <c r="E968" s="3" t="s">
        <v>3892</v>
      </c>
      <c r="F968" s="3" t="s">
        <v>1874</v>
      </c>
      <c r="G968" s="3" t="s">
        <v>1908</v>
      </c>
      <c r="H968" s="5">
        <f t="shared" si="164"/>
        <v>46155</v>
      </c>
      <c r="I968" t="str">
        <f t="shared" si="165"/>
        <v>АРТ-083</v>
      </c>
      <c r="J968" s="6">
        <f t="shared" si="166"/>
        <v>3</v>
      </c>
      <c r="K968" s="4">
        <f>VALUE(SUBSTITUTE(SUBSTITUTE(SUBSTITUTE(SUBSTITUTE(D968,"$",""),"€",""),"₽","")," ",""))*IF(ISNUMBER(FIND("$",D968)),Справочники!$H$3,IF(ISNUMBER(FIND("€",D968)),Справочники!$H$4,1))</f>
        <v>8550</v>
      </c>
      <c r="L968" t="str">
        <f>IFERROR(VLOOKUP(TRIM(G968),Справочники!$D$3:$E$13,2,0),"Нет в справочнике")</f>
        <v>Завершен</v>
      </c>
      <c r="M968" t="str">
        <f t="shared" si="167"/>
        <v/>
      </c>
      <c r="N968" t="str">
        <f>IFERROR(VLOOKUP(I968,Товары_очищенные!$H$2:$J$502,3,0),"Нет в каталоге")</f>
        <v>Часы</v>
      </c>
      <c r="O968" s="4">
        <f>IFERROR(VLOOKUP(I968,Товары_очищенные!$H$2:$M$502,6,0),"")</f>
        <v>38500</v>
      </c>
      <c r="P968" t="str">
        <f t="shared" si="168"/>
        <v xml:space="preserve">Цена отличается от каталога</v>
      </c>
    </row>
    <row r="969">
      <c r="A969" s="3" t="s">
        <v>3891</v>
      </c>
      <c r="B969" s="3" t="s">
        <v>1352</v>
      </c>
      <c r="C969" s="3" t="s">
        <v>1900</v>
      </c>
      <c r="D969" s="3" t="s">
        <v>1989</v>
      </c>
      <c r="E969" s="3" t="s">
        <v>3893</v>
      </c>
      <c r="F969" s="3" t="s">
        <v>1601</v>
      </c>
      <c r="G969" s="3" t="s">
        <v>1913</v>
      </c>
      <c r="H969" s="5">
        <f t="shared" si="164"/>
        <v>46155</v>
      </c>
      <c r="I969" t="str">
        <f t="shared" si="165"/>
        <v>АРТ-410</v>
      </c>
      <c r="J969" s="6">
        <f t="shared" si="166"/>
        <v>2</v>
      </c>
      <c r="K969" s="4">
        <f>VALUE(SUBSTITUTE(SUBSTITUTE(SUBSTITUTE(SUBSTITUTE(D969,"$",""),"€",""),"₽","")," ",""))*IF(ISNUMBER(FIND("$",D969)),Справочники!$H$3,IF(ISNUMBER(FIND("€",D969)),Справочники!$H$4,1))</f>
        <v>7000</v>
      </c>
      <c r="L969" t="str">
        <f>IFERROR(VLOOKUP(TRIM(G969),Справочники!$D$3:$E$13,2,0),"Нет в справочнике")</f>
        <v>Завершен</v>
      </c>
      <c r="M969" t="str">
        <f t="shared" si="167"/>
        <v/>
      </c>
      <c r="N969" t="str">
        <f>IFERROR(VLOOKUP(I969,Товары_очищенные!$H$2:$J$502,3,0),"Нет в каталоге")</f>
        <v>Наушники</v>
      </c>
      <c r="O969" s="4">
        <f>IFERROR(VLOOKUP(I969,Товары_очищенные!$H$2:$M$502,6,0),"")</f>
        <v>38500</v>
      </c>
      <c r="P969" t="str">
        <f t="shared" si="168"/>
        <v xml:space="preserve">Цена отличается от каталога</v>
      </c>
    </row>
    <row r="970">
      <c r="A970" s="3" t="s">
        <v>3894</v>
      </c>
      <c r="B970" s="3" t="s">
        <v>2540</v>
      </c>
      <c r="C970" s="3" t="s">
        <v>1938</v>
      </c>
      <c r="D970" s="3" t="s">
        <v>1939</v>
      </c>
      <c r="E970" s="3" t="s">
        <v>3895</v>
      </c>
      <c r="F970" s="3" t="s">
        <v>1721</v>
      </c>
      <c r="G970" s="3" t="s">
        <v>1903</v>
      </c>
      <c r="H970" s="5">
        <f t="shared" si="164"/>
        <v>46156</v>
      </c>
      <c r="I970" t="str">
        <f t="shared" si="165"/>
        <v>АРТ-312</v>
      </c>
      <c r="J970" s="6">
        <f t="shared" si="166"/>
        <v>1</v>
      </c>
      <c r="K970" s="4">
        <f>VALUE(SUBSTITUTE(SUBSTITUTE(SUBSTITUTE(SUBSTITUTE(D970,"$",""),"€",""),"₽","")," ",""))*IF(ISNUMBER(FIND("$",D970)),Справочники!$H$3,IF(ISNUMBER(FIND("€",D970)),Справочники!$H$4,1))</f>
        <v>6500</v>
      </c>
      <c r="L970" t="str">
        <f>IFERROR(VLOOKUP(TRIM(G970),Справочники!$D$3:$E$13,2,0),"Нет в справочнике")</f>
        <v>Завершен</v>
      </c>
      <c r="M970" t="str">
        <f t="shared" si="167"/>
        <v/>
      </c>
      <c r="N970" t="str">
        <f>IFERROR(VLOOKUP(I970,Товары_очищенные!$H$2:$J$502,3,0),"Нет в каталоге")</f>
        <v>Планшеты</v>
      </c>
      <c r="O970" s="4">
        <f>IFERROR(VLOOKUP(I970,Товары_очищенные!$H$2:$M$502,6,0),"")</f>
        <v>67000</v>
      </c>
      <c r="P970" t="str">
        <f t="shared" si="168"/>
        <v xml:space="preserve">Цена отличается от каталога</v>
      </c>
    </row>
    <row r="971">
      <c r="A971" s="3" t="s">
        <v>3894</v>
      </c>
      <c r="B971" s="3" t="s">
        <v>2233</v>
      </c>
      <c r="C971" s="3" t="s">
        <v>1915</v>
      </c>
      <c r="D971" s="3" t="s">
        <v>1916</v>
      </c>
      <c r="E971" s="3" t="s">
        <v>3896</v>
      </c>
      <c r="F971" s="3" t="s">
        <v>1663</v>
      </c>
      <c r="G971" s="3" t="s">
        <v>1924</v>
      </c>
      <c r="H971" s="5">
        <f t="shared" si="164"/>
        <v>46156</v>
      </c>
      <c r="I971" t="str">
        <f t="shared" si="165"/>
        <v>АРТ-344</v>
      </c>
      <c r="J971" s="6">
        <f t="shared" si="166"/>
        <v>-1</v>
      </c>
      <c r="K971" s="4">
        <f>VALUE(SUBSTITUTE(SUBSTITUTE(SUBSTITUTE(SUBSTITUTE(D971,"$",""),"€",""),"₽","")," ",""))*IF(ISNUMBER(FIND("$",D971)),Справочники!$H$3,IF(ISNUMBER(FIND("€",D971)),Справочники!$H$4,1))</f>
        <v>10450</v>
      </c>
      <c r="L971" t="str">
        <f>IFERROR(VLOOKUP(TRIM(G971),Справочники!$D$3:$E$13,2,0),"Нет в справочнике")</f>
        <v>Отменен</v>
      </c>
      <c r="M971" t="str">
        <f t="shared" si="167"/>
        <v/>
      </c>
      <c r="N971" t="str">
        <f>IFERROR(VLOOKUP(I971,Товары_очищенные!$H$2:$J$502,3,0),"Нет в каталоге")</f>
        <v>Телевизоры</v>
      </c>
      <c r="O971" s="4">
        <f>IFERROR(VLOOKUP(I971,Товары_очищенные!$H$2:$M$502,6,0),"")</f>
        <v>82000</v>
      </c>
      <c r="P971" t="str">
        <f t="shared" si="168"/>
        <v xml:space="preserve">Цена отличается от каталога</v>
      </c>
    </row>
    <row r="972">
      <c r="A972" s="3" t="s">
        <v>3897</v>
      </c>
      <c r="B972" s="3" t="s">
        <v>1265</v>
      </c>
      <c r="C972" s="3" t="s">
        <v>1930</v>
      </c>
      <c r="D972" s="3" t="s">
        <v>1922</v>
      </c>
      <c r="E972" s="3" t="s">
        <v>3898</v>
      </c>
      <c r="F972" s="3" t="s">
        <v>1802</v>
      </c>
      <c r="G972" s="3" t="s">
        <v>1918</v>
      </c>
      <c r="H972" s="5">
        <f t="shared" si="164"/>
        <v>46157</v>
      </c>
      <c r="I972" t="str">
        <f t="shared" si="165"/>
        <v>АРТ-371</v>
      </c>
      <c r="J972" s="6">
        <f t="shared" si="166"/>
        <v>3</v>
      </c>
      <c r="K972" s="4">
        <f>VALUE(SUBSTITUTE(SUBSTITUTE(SUBSTITUTE(SUBSTITUTE(D972,"$",""),"€",""),"₽","")," ",""))*IF(ISNUMBER(FIND("$",D972)),Справочники!$H$3,IF(ISNUMBER(FIND("€",D972)),Справочники!$H$4,1))</f>
        <v>9000</v>
      </c>
      <c r="L972" t="str">
        <f>IFERROR(VLOOKUP(TRIM(G972),Справочники!$D$3:$E$13,2,0),"Нет в справочнике")</f>
        <v>Отменен</v>
      </c>
      <c r="M972" t="str">
        <f t="shared" si="167"/>
        <v/>
      </c>
      <c r="N972" t="str">
        <f>IFERROR(VLOOKUP(I972,Товары_очищенные!$H$2:$J$502,3,0),"Нет в каталоге")</f>
        <v>Мониторы</v>
      </c>
      <c r="O972" s="4">
        <f>IFERROR(VLOOKUP(I972,Товары_очищенные!$H$2:$M$502,6,0),"")</f>
        <v>48000</v>
      </c>
      <c r="P972" t="str">
        <f t="shared" si="168"/>
        <v xml:space="preserve">Цена отличается от каталога</v>
      </c>
    </row>
    <row r="973">
      <c r="A973" s="3" t="s">
        <v>3897</v>
      </c>
      <c r="B973" s="3" t="s">
        <v>3899</v>
      </c>
      <c r="C973" s="3" t="s">
        <v>1900</v>
      </c>
      <c r="D973" s="3" t="s">
        <v>1925</v>
      </c>
      <c r="E973" s="3" t="s">
        <v>3900</v>
      </c>
      <c r="F973" s="3" t="s">
        <v>1868</v>
      </c>
      <c r="G973" s="3" t="s">
        <v>1927</v>
      </c>
      <c r="H973" s="5">
        <f t="shared" si="164"/>
        <v>46157</v>
      </c>
      <c r="I973" t="str">
        <f t="shared" si="165"/>
        <v>АРТ-154</v>
      </c>
      <c r="J973" s="6">
        <f t="shared" si="166"/>
        <v>2</v>
      </c>
      <c r="K973" s="4">
        <f>VALUE(SUBSTITUTE(SUBSTITUTE(SUBSTITUTE(SUBSTITUTE(D973,"$",""),"€",""),"₽","")," ",""))*IF(ISNUMBER(FIND("$",D973)),Справочники!$H$3,IF(ISNUMBER(FIND("€",D973)),Справочники!$H$4,1))</f>
        <v>8000</v>
      </c>
      <c r="L973" t="str">
        <f>IFERROR(VLOOKUP(TRIM(G973),Справочники!$D$3:$E$13,2,0),"Нет в справочнике")</f>
        <v>Возврат</v>
      </c>
      <c r="M973" t="str">
        <f t="shared" si="167"/>
        <v/>
      </c>
      <c r="N973" t="str">
        <f>IFERROR(VLOOKUP(I973,Товары_очищенные!$H$2:$J$502,3,0),"Нет в каталоге")</f>
        <v>Наушники</v>
      </c>
      <c r="O973" s="4">
        <f>IFERROR(VLOOKUP(I973,Товары_очищенные!$H$2:$M$502,6,0),"")</f>
        <v>16990</v>
      </c>
      <c r="P973" t="str">
        <f t="shared" si="168"/>
        <v xml:space="preserve">Цена отличается от каталога</v>
      </c>
    </row>
    <row r="974">
      <c r="A974" s="3" t="s">
        <v>3901</v>
      </c>
      <c r="B974" s="3" t="s">
        <v>3345</v>
      </c>
      <c r="C974" s="3" t="s">
        <v>1905</v>
      </c>
      <c r="D974" s="3" t="s">
        <v>1964</v>
      </c>
      <c r="E974" s="3" t="s">
        <v>3902</v>
      </c>
      <c r="F974" s="3" t="s">
        <v>1587</v>
      </c>
      <c r="G974" s="3" t="s">
        <v>1903</v>
      </c>
      <c r="H974" s="5">
        <f t="shared" si="164"/>
        <v>46158</v>
      </c>
      <c r="I974" t="str">
        <f t="shared" si="165"/>
        <v>АРТ-039</v>
      </c>
      <c r="J974" s="6">
        <f t="shared" si="166"/>
        <v>1</v>
      </c>
      <c r="K974" s="4">
        <f>VALUE(SUBSTITUTE(SUBSTITUTE(SUBSTITUTE(SUBSTITUTE(D974,"$",""),"€",""),"₽","")," ",""))*IF(ISNUMBER(FIND("$",D974)),Справочники!$H$3,IF(ISNUMBER(FIND("€",D974)),Справочники!$H$4,1))</f>
        <v>9025</v>
      </c>
      <c r="L974" t="str">
        <f>IFERROR(VLOOKUP(TRIM(G974),Справочники!$D$3:$E$13,2,0),"Нет в справочнике")</f>
        <v>Завершен</v>
      </c>
      <c r="M974" t="str">
        <f t="shared" si="167"/>
        <v/>
      </c>
      <c r="N974" t="str">
        <f>IFERROR(VLOOKUP(I974,Товары_очищенные!$H$2:$J$502,3,0),"Нет в каталоге")</f>
        <v>Часы</v>
      </c>
      <c r="O974" s="4">
        <f>IFERROR(VLOOKUP(I974,Товары_очищенные!$H$2:$M$502,6,0),"")</f>
        <v>71000</v>
      </c>
      <c r="P974" t="str">
        <f t="shared" si="168"/>
        <v xml:space="preserve">Цена отличается от каталога</v>
      </c>
    </row>
    <row r="975">
      <c r="A975" s="3" t="s">
        <v>3901</v>
      </c>
      <c r="B975" s="3" t="s">
        <v>2832</v>
      </c>
      <c r="C975" s="3" t="s">
        <v>1900</v>
      </c>
      <c r="D975" s="3" t="s">
        <v>1968</v>
      </c>
      <c r="E975" s="3" t="s">
        <v>3903</v>
      </c>
      <c r="F975" s="3" t="s">
        <v>1734</v>
      </c>
      <c r="G975" s="3" t="s">
        <v>1908</v>
      </c>
      <c r="H975" s="5">
        <f t="shared" si="164"/>
        <v>46158</v>
      </c>
      <c r="I975" t="str">
        <f t="shared" si="165"/>
        <v>АРТ-495</v>
      </c>
      <c r="J975" s="6">
        <f t="shared" si="166"/>
        <v>2</v>
      </c>
      <c r="K975" s="4">
        <f>VALUE(SUBSTITUTE(SUBSTITUTE(SUBSTITUTE(SUBSTITUTE(D975,"$",""),"€",""),"₽","")," ",""))*IF(ISNUMBER(FIND("$",D975)),Справочники!$H$3,IF(ISNUMBER(FIND("€",D975)),Справочники!$H$4,1))</f>
        <v>7500</v>
      </c>
      <c r="L975" t="str">
        <f>IFERROR(VLOOKUP(TRIM(G975),Справочники!$D$3:$E$13,2,0),"Нет в справочнике")</f>
        <v>Завершен</v>
      </c>
      <c r="M975" t="str">
        <f t="shared" si="167"/>
        <v/>
      </c>
      <c r="N975" t="str">
        <f>IFERROR(VLOOKUP(I975,Товары_очищенные!$H$2:$J$502,3,0),"Нет в каталоге")</f>
        <v>Наушники</v>
      </c>
      <c r="O975" s="4">
        <f>IFERROR(VLOOKUP(I975,Товары_очищенные!$H$2:$M$502,6,0),"")</f>
        <v>15800</v>
      </c>
      <c r="P975" t="str">
        <f t="shared" si="168"/>
        <v xml:space="preserve">Цена отличается от каталога</v>
      </c>
    </row>
    <row r="976">
      <c r="A976" s="3" t="s">
        <v>3904</v>
      </c>
      <c r="B976" s="3" t="s">
        <v>3349</v>
      </c>
      <c r="C976" s="3" t="s">
        <v>1910</v>
      </c>
      <c r="D976" s="3" t="s">
        <v>1971</v>
      </c>
      <c r="E976" s="3" t="s">
        <v>3905</v>
      </c>
      <c r="F976" s="3" t="s">
        <v>1649</v>
      </c>
      <c r="G976" s="3" t="s">
        <v>1913</v>
      </c>
      <c r="H976" s="5">
        <f t="shared" si="164"/>
        <v>46159</v>
      </c>
      <c r="I976" t="str">
        <f t="shared" si="165"/>
        <v>АРТ-377</v>
      </c>
      <c r="J976" s="6">
        <f t="shared" si="166"/>
        <v>3</v>
      </c>
      <c r="K976" s="4">
        <f>VALUE(SUBSTITUTE(SUBSTITUTE(SUBSTITUTE(SUBSTITUTE(D976,"$",""),"€",""),"₽","")," ",""))*IF(ISNUMBER(FIND("$",D976)),Справочники!$H$3,IF(ISNUMBER(FIND("€",D976)),Справочники!$H$4,1))</f>
        <v>7000</v>
      </c>
      <c r="L976" t="str">
        <f>IFERROR(VLOOKUP(TRIM(G976),Справочники!$D$3:$E$13,2,0),"Нет в справочнике")</f>
        <v>Завершен</v>
      </c>
      <c r="M976" t="str">
        <f t="shared" si="167"/>
        <v/>
      </c>
      <c r="N976" t="str">
        <f>IFERROR(VLOOKUP(I976,Товары_очищенные!$H$2:$J$502,3,0),"Нет в каталоге")</f>
        <v>Часы</v>
      </c>
      <c r="O976" s="4">
        <f>IFERROR(VLOOKUP(I976,Товары_очищенные!$H$2:$M$502,6,0),"")</f>
        <v>23500</v>
      </c>
      <c r="P976" t="str">
        <f t="shared" si="168"/>
        <v xml:space="preserve">Цена отличается от каталога</v>
      </c>
    </row>
    <row r="977">
      <c r="A977" s="3" t="s">
        <v>3904</v>
      </c>
      <c r="B977" s="3" t="s">
        <v>832</v>
      </c>
      <c r="C977" s="3" t="s">
        <v>1942</v>
      </c>
      <c r="D977" s="3" t="s">
        <v>1943</v>
      </c>
      <c r="E977" s="3" t="s">
        <v>3906</v>
      </c>
      <c r="F977" s="3" t="s">
        <v>1784</v>
      </c>
      <c r="G977" s="3" t="s">
        <v>1918</v>
      </c>
      <c r="H977" s="5">
        <f t="shared" si="164"/>
        <v>46159</v>
      </c>
      <c r="I977" t="str">
        <f t="shared" si="165"/>
        <v>АРТ-208</v>
      </c>
      <c r="J977" s="6">
        <f t="shared" si="166"/>
        <v>-2</v>
      </c>
      <c r="K977" s="4">
        <f>VALUE(SUBSTITUTE(SUBSTITUTE(SUBSTITUTE(SUBSTITUTE(D977,"$",""),"€",""),"₽","")," ",""))*IF(ISNUMBER(FIND("$",D977)),Справочники!$H$3,IF(ISNUMBER(FIND("€",D977)),Справочники!$H$4,1))</f>
        <v>10925</v>
      </c>
      <c r="L977" t="str">
        <f>IFERROR(VLOOKUP(TRIM(G977),Справочники!$D$3:$E$13,2,0),"Нет в справочнике")</f>
        <v>Отменен</v>
      </c>
      <c r="M977" t="str">
        <f t="shared" si="167"/>
        <v/>
      </c>
      <c r="N977" t="str">
        <f>IFERROR(VLOOKUP(I977,Товары_очищенные!$H$2:$J$502,3,0),"Нет в каталоге")</f>
        <v>Аксессуары</v>
      </c>
      <c r="O977" s="4">
        <f>IFERROR(VLOOKUP(I977,Товары_очищенные!$H$2:$M$502,6,0),"")</f>
        <v>10990</v>
      </c>
      <c r="P977" t="str">
        <f t="shared" si="168"/>
        <v>ОК</v>
      </c>
    </row>
    <row r="978">
      <c r="A978" s="3" t="s">
        <v>3907</v>
      </c>
      <c r="B978" s="3" t="s">
        <v>987</v>
      </c>
      <c r="C978" s="3" t="s">
        <v>1905</v>
      </c>
      <c r="D978" s="3" t="s">
        <v>1934</v>
      </c>
      <c r="E978" s="3" t="s">
        <v>3908</v>
      </c>
      <c r="F978" s="3" t="s">
        <v>1844</v>
      </c>
      <c r="G978" s="3" t="s">
        <v>1924</v>
      </c>
      <c r="H978" s="5">
        <f t="shared" si="164"/>
        <v>46160</v>
      </c>
      <c r="I978" t="str">
        <f t="shared" si="165"/>
        <v>АРТ-263</v>
      </c>
      <c r="J978" s="6">
        <f t="shared" si="166"/>
        <v>1</v>
      </c>
      <c r="K978" s="4">
        <f>VALUE(SUBSTITUTE(SUBSTITUTE(SUBSTITUTE(SUBSTITUTE(D978,"$",""),"€",""),"₽","")," ",""))*IF(ISNUMBER(FIND("$",D978)),Справочники!$H$3,IF(ISNUMBER(FIND("€",D978)),Справочники!$H$4,1))</f>
        <v>9500</v>
      </c>
      <c r="L978" t="str">
        <f>IFERROR(VLOOKUP(TRIM(G978),Справочники!$D$3:$E$13,2,0),"Нет в справочнике")</f>
        <v>Отменен</v>
      </c>
      <c r="M978" t="str">
        <f t="shared" si="167"/>
        <v/>
      </c>
      <c r="N978" t="str">
        <f>IFERROR(VLOOKUP(I978,Товары_очищенные!$H$2:$J$502,3,0),"Нет в каталоге")</f>
        <v>Наушники</v>
      </c>
      <c r="O978" s="4">
        <f>IFERROR(VLOOKUP(I978,Товары_очищенные!$H$2:$M$502,6,0),"")</f>
        <v>11000</v>
      </c>
      <c r="P978" t="str">
        <f t="shared" si="168"/>
        <v>ОК</v>
      </c>
    </row>
    <row r="979">
      <c r="A979" s="3" t="s">
        <v>3907</v>
      </c>
      <c r="B979" s="3" t="s">
        <v>3559</v>
      </c>
      <c r="C979" s="3" t="s">
        <v>1900</v>
      </c>
      <c r="D979" s="3" t="s">
        <v>1951</v>
      </c>
      <c r="E979" s="3" t="s">
        <v>3909</v>
      </c>
      <c r="F979" s="3" t="s">
        <v>1566</v>
      </c>
      <c r="G979" s="3" t="s">
        <v>1903</v>
      </c>
      <c r="H979" s="5">
        <f t="shared" si="164"/>
        <v>46160</v>
      </c>
      <c r="I979" t="str">
        <f t="shared" si="165"/>
        <v>АРТ-193</v>
      </c>
      <c r="J979" s="6">
        <f t="shared" si="166"/>
        <v>2</v>
      </c>
      <c r="K979" s="4">
        <f>VALUE(SUBSTITUTE(SUBSTITUTE(SUBSTITUTE(SUBSTITUTE(D979,"$",""),"€",""),"₽","")," ",""))*IF(ISNUMBER(FIND("$",D979)),Справочники!$H$3,IF(ISNUMBER(FIND("€",D979)),Справочники!$H$4,1))</f>
        <v>8500</v>
      </c>
      <c r="L979" t="str">
        <f>IFERROR(VLOOKUP(TRIM(G979),Справочники!$D$3:$E$13,2,0),"Нет в справочнике")</f>
        <v>Завершен</v>
      </c>
      <c r="M979" t="str">
        <f t="shared" si="167"/>
        <v/>
      </c>
      <c r="N979" t="str">
        <f>IFERROR(VLOOKUP(I979,Товары_очищенные!$H$2:$J$502,3,0),"Нет в каталоге")</f>
        <v>Ноутбуки</v>
      </c>
      <c r="O979" s="4">
        <f>IFERROR(VLOOKUP(I979,Товары_очищенные!$H$2:$M$502,6,0),"")</f>
        <v>129990</v>
      </c>
      <c r="P979" t="str">
        <f t="shared" si="168"/>
        <v xml:space="preserve">Цена отличается от каталога</v>
      </c>
    </row>
    <row r="980">
      <c r="A980" s="3" t="s">
        <v>3910</v>
      </c>
      <c r="B980" s="3" t="s">
        <v>3751</v>
      </c>
      <c r="C980" s="3" t="s">
        <v>1930</v>
      </c>
      <c r="D980" s="3" t="s">
        <v>1931</v>
      </c>
      <c r="E980" s="3" t="s">
        <v>3911</v>
      </c>
      <c r="F980" s="3" t="s">
        <v>1701</v>
      </c>
      <c r="G980" s="3" t="s">
        <v>1927</v>
      </c>
      <c r="H980" s="5">
        <f t="shared" si="164"/>
        <v>46161</v>
      </c>
      <c r="I980" t="str">
        <f t="shared" si="165"/>
        <v>АРТ-111</v>
      </c>
      <c r="J980" s="6">
        <f t="shared" si="166"/>
        <v>3</v>
      </c>
      <c r="K980" s="4">
        <f>VALUE(SUBSTITUTE(SUBSTITUTE(SUBSTITUTE(SUBSTITUTE(D980,"$",""),"€",""),"₽","")," ",""))*IF(ISNUMBER(FIND("$",D980)),Справочники!$H$3,IF(ISNUMBER(FIND("€",D980)),Справочники!$H$4,1))</f>
        <v>9975</v>
      </c>
      <c r="L980" t="str">
        <f>IFERROR(VLOOKUP(TRIM(G980),Справочники!$D$3:$E$13,2,0),"Нет в справочнике")</f>
        <v>Возврат</v>
      </c>
      <c r="M980" t="str">
        <f t="shared" si="167"/>
        <v/>
      </c>
      <c r="N980" t="str">
        <f>IFERROR(VLOOKUP(I980,Товары_очищенные!$H$2:$J$502,3,0),"Нет в каталоге")</f>
        <v>Телевизоры</v>
      </c>
      <c r="O980" s="4">
        <f>IFERROR(VLOOKUP(I980,Товары_очищенные!$H$2:$M$502,6,0),"")</f>
        <v>122500</v>
      </c>
      <c r="P980" t="str">
        <f t="shared" si="168"/>
        <v xml:space="preserve">Цена отличается от каталога</v>
      </c>
    </row>
    <row r="981">
      <c r="A981" s="3" t="s">
        <v>3910</v>
      </c>
      <c r="B981" s="3" t="s">
        <v>2062</v>
      </c>
      <c r="C981" s="3" t="s">
        <v>1900</v>
      </c>
      <c r="D981" s="3" t="s">
        <v>1906</v>
      </c>
      <c r="E981" s="3" t="s">
        <v>3912</v>
      </c>
      <c r="F981" s="3" t="s">
        <v>1814</v>
      </c>
      <c r="G981" s="3" t="s">
        <v>1908</v>
      </c>
      <c r="H981" s="5">
        <f t="shared" si="164"/>
        <v>46161</v>
      </c>
      <c r="I981" t="str">
        <f t="shared" si="165"/>
        <v>АРТ-423</v>
      </c>
      <c r="J981" s="6">
        <f t="shared" si="166"/>
        <v>2</v>
      </c>
      <c r="K981" s="4">
        <f>VALUE(SUBSTITUTE(SUBSTITUTE(SUBSTITUTE(SUBSTITUTE(D981,"$",""),"€",""),"₽","")," ",""))*IF(ISNUMBER(FIND("$",D981)),Справочники!$H$3,IF(ISNUMBER(FIND("€",D981)),Справочники!$H$4,1))</f>
        <v>8500</v>
      </c>
      <c r="L981" t="str">
        <f>IFERROR(VLOOKUP(TRIM(G981),Справочники!$D$3:$E$13,2,0),"Нет в справочнике")</f>
        <v>Завершен</v>
      </c>
      <c r="M981" t="str">
        <f t="shared" si="167"/>
        <v/>
      </c>
      <c r="N981" t="str">
        <f>IFERROR(VLOOKUP(I981,Товары_очищенные!$H$2:$J$502,3,0),"Нет в каталоге")</f>
        <v>Ноутбуки</v>
      </c>
      <c r="O981" s="4">
        <f>IFERROR(VLOOKUP(I981,Товары_очищенные!$H$2:$M$502,6,0),"")</f>
        <v>129500</v>
      </c>
      <c r="P981" t="str">
        <f t="shared" si="168"/>
        <v xml:space="preserve">Цена отличается от каталога</v>
      </c>
    </row>
    <row r="982">
      <c r="A982" s="3" t="s">
        <v>3913</v>
      </c>
      <c r="B982" s="3" t="s">
        <v>1135</v>
      </c>
      <c r="C982" s="3" t="s">
        <v>1938</v>
      </c>
      <c r="D982" s="3" t="s">
        <v>2166</v>
      </c>
      <c r="E982" s="3" t="s">
        <v>3914</v>
      </c>
      <c r="F982" s="3" t="s">
        <v>1880</v>
      </c>
      <c r="G982" s="3" t="s">
        <v>1913</v>
      </c>
      <c r="H982" s="5">
        <f t="shared" si="164"/>
        <v>46162</v>
      </c>
      <c r="I982" t="str">
        <f t="shared" si="165"/>
        <v>АРТ-315</v>
      </c>
      <c r="J982" s="6">
        <f t="shared" si="166"/>
        <v>1</v>
      </c>
      <c r="K982" s="4">
        <f>VALUE(SUBSTITUTE(SUBSTITUTE(SUBSTITUTE(SUBSTITUTE(D982,"$",""),"€",""),"₽","")," ",""))*IF(ISNUMBER(FIND("$",D982)),Справочники!$H$3,IF(ISNUMBER(FIND("€",D982)),Справочники!$H$4,1))</f>
        <v>7800</v>
      </c>
      <c r="L982" t="str">
        <f>IFERROR(VLOOKUP(TRIM(G982),Справочники!$D$3:$E$13,2,0),"Нет в справочнике")</f>
        <v>Завершен</v>
      </c>
      <c r="M982" t="str">
        <f t="shared" si="167"/>
        <v/>
      </c>
      <c r="N982" t="str">
        <f>IFERROR(VLOOKUP(I982,Товары_очищенные!$H$2:$J$502,3,0),"Нет в каталоге")</f>
        <v>Смартфоны</v>
      </c>
      <c r="O982" s="4">
        <f>IFERROR(VLOOKUP(I982,Товары_очищенные!$H$2:$M$502,6,0),"")</f>
        <v>72000</v>
      </c>
      <c r="P982" t="str">
        <f t="shared" si="168"/>
        <v xml:space="preserve">Цена отличается от каталога</v>
      </c>
    </row>
    <row r="983">
      <c r="A983" s="3" t="s">
        <v>3913</v>
      </c>
      <c r="B983" s="3" t="s">
        <v>1066</v>
      </c>
      <c r="C983" s="3" t="s">
        <v>1985</v>
      </c>
      <c r="D983" s="3" t="s">
        <v>2044</v>
      </c>
      <c r="E983" s="3" t="s">
        <v>3915</v>
      </c>
      <c r="F983" s="3" t="s">
        <v>1636</v>
      </c>
      <c r="G983" s="3" t="s">
        <v>1903</v>
      </c>
      <c r="H983" s="5">
        <f t="shared" si="164"/>
        <v>46162</v>
      </c>
      <c r="I983" t="str">
        <f t="shared" si="165"/>
        <v>АРТ-289</v>
      </c>
      <c r="J983" s="6">
        <f t="shared" si="166"/>
        <v>-3</v>
      </c>
      <c r="K983" s="4">
        <f>VALUE(SUBSTITUTE(SUBSTITUTE(SUBSTITUTE(SUBSTITUTE(D983,"$",""),"€",""),"₽","")," ",""))*IF(ISNUMBER(FIND("$",D983)),Справочники!$H$3,IF(ISNUMBER(FIND("€",D983)),Справочники!$H$4,1))</f>
        <v>11400</v>
      </c>
      <c r="L983" t="str">
        <f>IFERROR(VLOOKUP(TRIM(G983),Справочники!$D$3:$E$13,2,0),"Нет в справочнике")</f>
        <v>Завершен</v>
      </c>
      <c r="M983" t="str">
        <f t="shared" si="167"/>
        <v/>
      </c>
      <c r="N983" t="str">
        <f>IFERROR(VLOOKUP(I983,Товары_очищенные!$H$2:$J$502,3,0),"Нет в каталоге")</f>
        <v>Часы</v>
      </c>
      <c r="O983" s="4">
        <f>IFERROR(VLOOKUP(I983,Товары_очищенные!$H$2:$M$502,6,0),"")</f>
        <v>62990</v>
      </c>
      <c r="P983" t="str">
        <f t="shared" si="168"/>
        <v xml:space="preserve">Цена отличается от каталога</v>
      </c>
    </row>
    <row r="984">
      <c r="A984" s="3" t="s">
        <v>3916</v>
      </c>
      <c r="B984" s="3" t="s">
        <v>1239</v>
      </c>
      <c r="C984" s="3" t="s">
        <v>1900</v>
      </c>
      <c r="D984" s="3" t="s">
        <v>2046</v>
      </c>
      <c r="E984" s="3" t="s">
        <v>3917</v>
      </c>
      <c r="F984" s="3" t="s">
        <v>1740</v>
      </c>
      <c r="G984" s="3" t="s">
        <v>1924</v>
      </c>
      <c r="H984" s="5">
        <f t="shared" si="164"/>
        <v>46163</v>
      </c>
      <c r="I984" t="str">
        <f t="shared" si="165"/>
        <v>АРТ-359</v>
      </c>
      <c r="J984" s="6">
        <f t="shared" si="166"/>
        <v>2</v>
      </c>
      <c r="K984" s="4">
        <f>VALUE(SUBSTITUTE(SUBSTITUTE(SUBSTITUTE(SUBSTITUTE(D984,"$",""),"€",""),"₽","")," ",""))*IF(ISNUMBER(FIND("$",D984)),Справочники!$H$3,IF(ISNUMBER(FIND("€",D984)),Справочники!$H$4,1))</f>
        <v>10000</v>
      </c>
      <c r="L984" t="str">
        <f>IFERROR(VLOOKUP(TRIM(G984),Справочники!$D$3:$E$13,2,0),"Нет в справочнике")</f>
        <v>Отменен</v>
      </c>
      <c r="M984" t="str">
        <f t="shared" si="167"/>
        <v/>
      </c>
      <c r="N984" t="str">
        <f>IFERROR(VLOOKUP(I984,Товары_очищенные!$H$2:$J$502,3,0),"Нет в каталоге")</f>
        <v>Планшеты</v>
      </c>
      <c r="O984" s="4">
        <f>IFERROR(VLOOKUP(I984,Товары_очищенные!$H$2:$M$502,6,0),"")</f>
        <v>58000</v>
      </c>
      <c r="P984" t="str">
        <f t="shared" si="168"/>
        <v xml:space="preserve">Цена отличается от каталога</v>
      </c>
    </row>
    <row r="985">
      <c r="A985" s="3" t="s">
        <v>3916</v>
      </c>
      <c r="B985" s="3" t="s">
        <v>1046</v>
      </c>
      <c r="C985" s="3" t="s">
        <v>1905</v>
      </c>
      <c r="D985" s="3" t="s">
        <v>2087</v>
      </c>
      <c r="E985" s="3" t="s">
        <v>3918</v>
      </c>
      <c r="F985" s="3" t="s">
        <v>1682</v>
      </c>
      <c r="G985" s="3" t="s">
        <v>1918</v>
      </c>
      <c r="H985" s="5">
        <f t="shared" si="164"/>
        <v>46163</v>
      </c>
      <c r="I985" t="str">
        <f t="shared" si="165"/>
        <v>АРТ-282</v>
      </c>
      <c r="J985" s="6">
        <f t="shared" si="166"/>
        <v>1</v>
      </c>
      <c r="K985" s="4">
        <f>VALUE(SUBSTITUTE(SUBSTITUTE(SUBSTITUTE(SUBSTITUTE(D985,"$",""),"€",""),"₽","")," ",""))*IF(ISNUMBER(FIND("$",D985)),Справочники!$H$3,IF(ISNUMBER(FIND("€",D985)),Справочники!$H$4,1))</f>
        <v>9200</v>
      </c>
      <c r="L985" t="str">
        <f>IFERROR(VLOOKUP(TRIM(G985),Справочники!$D$3:$E$13,2,0),"Нет в справочнике")</f>
        <v>Отменен</v>
      </c>
      <c r="M985" t="str">
        <f t="shared" si="167"/>
        <v/>
      </c>
      <c r="N985" t="str">
        <f>IFERROR(VLOOKUP(I985,Товары_очищенные!$H$2:$J$502,3,0),"Нет в каталоге")</f>
        <v>Наушники</v>
      </c>
      <c r="O985" s="4">
        <f>IFERROR(VLOOKUP(I985,Товары_очищенные!$H$2:$M$502,6,0),"")</f>
        <v>34500</v>
      </c>
      <c r="P985" t="str">
        <f t="shared" si="168"/>
        <v xml:space="preserve">Цена отличается от каталога</v>
      </c>
    </row>
    <row r="986">
      <c r="A986" s="3" t="s">
        <v>3919</v>
      </c>
      <c r="B986" s="3" t="s">
        <v>3818</v>
      </c>
      <c r="C986" s="3" t="s">
        <v>1930</v>
      </c>
      <c r="D986" s="3" t="s">
        <v>1986</v>
      </c>
      <c r="E986" s="3" t="s">
        <v>3920</v>
      </c>
      <c r="F986" s="3" t="s">
        <v>1820</v>
      </c>
      <c r="G986" s="3" t="s">
        <v>1927</v>
      </c>
      <c r="H986" s="5">
        <f t="shared" si="164"/>
        <v>46164</v>
      </c>
      <c r="I986" t="str">
        <f t="shared" si="165"/>
        <v>АРТ-048</v>
      </c>
      <c r="J986" s="6">
        <f t="shared" si="166"/>
        <v>3</v>
      </c>
      <c r="K986" s="4">
        <f>VALUE(SUBSTITUTE(SUBSTITUTE(SUBSTITUTE(SUBSTITUTE(D986,"$",""),"€",""),"₽","")," ",""))*IF(ISNUMBER(FIND("$",D986)),Справочники!$H$3,IF(ISNUMBER(FIND("€",D986)),Справочники!$H$4,1))</f>
        <v>8550</v>
      </c>
      <c r="L986" t="str">
        <f>IFERROR(VLOOKUP(TRIM(G986),Справочники!$D$3:$E$13,2,0),"Нет в справочнике")</f>
        <v>Возврат</v>
      </c>
      <c r="M986" t="str">
        <f t="shared" si="167"/>
        <v/>
      </c>
      <c r="N986" t="str">
        <f>IFERROR(VLOOKUP(I986,Товары_очищенные!$H$2:$J$502,3,0),"Нет в каталоге")</f>
        <v>Наушники</v>
      </c>
      <c r="O986" s="4">
        <f>IFERROR(VLOOKUP(I986,Товары_очищенные!$H$2:$M$502,6,0),"")</f>
        <v>25800</v>
      </c>
      <c r="P986" t="str">
        <f t="shared" si="168"/>
        <v xml:space="preserve">Цена отличается от каталога</v>
      </c>
    </row>
    <row r="987">
      <c r="A987" s="3" t="s">
        <v>3919</v>
      </c>
      <c r="B987" s="3" t="s">
        <v>1431</v>
      </c>
      <c r="C987" s="3" t="s">
        <v>1900</v>
      </c>
      <c r="D987" s="3" t="s">
        <v>1989</v>
      </c>
      <c r="E987" s="3" t="s">
        <v>3921</v>
      </c>
      <c r="F987" s="3" t="s">
        <v>1580</v>
      </c>
      <c r="G987" s="3" t="s">
        <v>1903</v>
      </c>
      <c r="H987" s="5">
        <f t="shared" si="164"/>
        <v>46164</v>
      </c>
      <c r="I987" t="str">
        <f t="shared" si="165"/>
        <v>АРТ-446</v>
      </c>
      <c r="J987" s="6">
        <f t="shared" si="166"/>
        <v>2</v>
      </c>
      <c r="K987" s="4">
        <f>VALUE(SUBSTITUTE(SUBSTITUTE(SUBSTITUTE(SUBSTITUTE(D987,"$",""),"€",""),"₽","")," ",""))*IF(ISNUMBER(FIND("$",D987)),Справочники!$H$3,IF(ISNUMBER(FIND("€",D987)),Справочники!$H$4,1))</f>
        <v>7000</v>
      </c>
      <c r="L987" t="str">
        <f>IFERROR(VLOOKUP(TRIM(G987),Справочники!$D$3:$E$13,2,0),"Нет в справочнике")</f>
        <v>Завершен</v>
      </c>
      <c r="M987" t="str">
        <f t="shared" si="167"/>
        <v/>
      </c>
      <c r="N987" t="str">
        <f>IFERROR(VLOOKUP(I987,Товары_очищенные!$H$2:$J$502,3,0),"Нет в каталоге")</f>
        <v>Ноутбуки</v>
      </c>
      <c r="O987" s="4">
        <f>IFERROR(VLOOKUP(I987,Товары_очищенные!$H$2:$M$502,6,0),"")</f>
        <v>139000</v>
      </c>
      <c r="P987" t="str">
        <f t="shared" si="168"/>
        <v xml:space="preserve">Цена отличается от каталога</v>
      </c>
    </row>
    <row r="988">
      <c r="A988" s="3" t="s">
        <v>3922</v>
      </c>
      <c r="B988" s="3" t="s">
        <v>2369</v>
      </c>
      <c r="C988" s="3" t="s">
        <v>1938</v>
      </c>
      <c r="D988" s="3" t="s">
        <v>1939</v>
      </c>
      <c r="E988" s="3" t="s">
        <v>3923</v>
      </c>
      <c r="F988" s="3" t="s">
        <v>1727</v>
      </c>
      <c r="G988" s="3" t="s">
        <v>1908</v>
      </c>
      <c r="H988" s="5">
        <f t="shared" si="164"/>
        <v>46165</v>
      </c>
      <c r="I988" t="str">
        <f t="shared" si="165"/>
        <v>АРТ-358</v>
      </c>
      <c r="J988" s="6">
        <f t="shared" si="166"/>
        <v>1</v>
      </c>
      <c r="K988" s="4">
        <f>VALUE(SUBSTITUTE(SUBSTITUTE(SUBSTITUTE(SUBSTITUTE(D988,"$",""),"€",""),"₽","")," ",""))*IF(ISNUMBER(FIND("$",D988)),Справочники!$H$3,IF(ISNUMBER(FIND("€",D988)),Справочники!$H$4,1))</f>
        <v>6500</v>
      </c>
      <c r="L988" t="str">
        <f>IFERROR(VLOOKUP(TRIM(G988),Справочники!$D$3:$E$13,2,0),"Нет в справочнике")</f>
        <v>Завершен</v>
      </c>
      <c r="M988" t="str">
        <f t="shared" si="167"/>
        <v/>
      </c>
      <c r="N988" t="str">
        <f>IFERROR(VLOOKUP(I988,Товары_очищенные!$H$2:$J$502,3,0),"Нет в каталоге")</f>
        <v>Планшеты</v>
      </c>
      <c r="O988" s="4">
        <f>IFERROR(VLOOKUP(I988,Товары_очищенные!$H$2:$M$502,6,0),"")</f>
        <v>59990</v>
      </c>
      <c r="P988" t="str">
        <f t="shared" si="168"/>
        <v xml:space="preserve">Цена отличается от каталога</v>
      </c>
    </row>
    <row r="989">
      <c r="A989" s="3" t="s">
        <v>3922</v>
      </c>
      <c r="B989" s="3" t="s">
        <v>3924</v>
      </c>
      <c r="C989" s="3" t="s">
        <v>1915</v>
      </c>
      <c r="D989" s="3" t="s">
        <v>1916</v>
      </c>
      <c r="E989" s="3" t="s">
        <v>3925</v>
      </c>
      <c r="F989" s="3" t="s">
        <v>1629</v>
      </c>
      <c r="G989" s="3" t="s">
        <v>1913</v>
      </c>
      <c r="H989" s="5">
        <f t="shared" si="164"/>
        <v>46165</v>
      </c>
      <c r="I989" t="str">
        <f t="shared" si="165"/>
        <v>АРТ-140</v>
      </c>
      <c r="J989" s="6">
        <f t="shared" si="166"/>
        <v>-1</v>
      </c>
      <c r="K989" s="4">
        <f>VALUE(SUBSTITUTE(SUBSTITUTE(SUBSTITUTE(SUBSTITUTE(D989,"$",""),"€",""),"₽","")," ",""))*IF(ISNUMBER(FIND("$",D989)),Справочники!$H$3,IF(ISNUMBER(FIND("€",D989)),Справочники!$H$4,1))</f>
        <v>10450</v>
      </c>
      <c r="L989" t="str">
        <f>IFERROR(VLOOKUP(TRIM(G989),Справочники!$D$3:$E$13,2,0),"Нет в справочнике")</f>
        <v>Завершен</v>
      </c>
      <c r="M989" t="str">
        <f t="shared" si="167"/>
        <v/>
      </c>
      <c r="N989" t="str">
        <f>IFERROR(VLOOKUP(I989,Товары_очищенные!$H$2:$J$502,3,0),"Нет в каталоге")</f>
        <v>Мониторы</v>
      </c>
      <c r="O989" s="4">
        <f>IFERROR(VLOOKUP(I989,Товары_очищенные!$H$2:$M$502,6,0),"")</f>
        <v>87000</v>
      </c>
      <c r="P989" t="str">
        <f t="shared" si="168"/>
        <v xml:space="preserve">Цена отличается от каталога</v>
      </c>
    </row>
    <row r="990">
      <c r="A990" s="3" t="s">
        <v>3926</v>
      </c>
      <c r="B990" s="3" t="s">
        <v>3927</v>
      </c>
      <c r="C990" s="3" t="s">
        <v>1930</v>
      </c>
      <c r="D990" s="3" t="s">
        <v>1922</v>
      </c>
      <c r="E990" s="3" t="s">
        <v>3928</v>
      </c>
      <c r="F990" s="3" t="s">
        <v>1778</v>
      </c>
      <c r="G990" s="3" t="s">
        <v>1918</v>
      </c>
      <c r="H990" s="5">
        <f t="shared" si="164"/>
        <v>46166</v>
      </c>
      <c r="I990" t="str">
        <f t="shared" si="165"/>
        <v>АРТ-270</v>
      </c>
      <c r="J990" s="6">
        <f t="shared" si="166"/>
        <v>3</v>
      </c>
      <c r="K990" s="4">
        <f>VALUE(SUBSTITUTE(SUBSTITUTE(SUBSTITUTE(SUBSTITUTE(D990,"$",""),"€",""),"₽","")," ",""))*IF(ISNUMBER(FIND("$",D990)),Справочники!$H$3,IF(ISNUMBER(FIND("€",D990)),Справочники!$H$4,1))</f>
        <v>9000</v>
      </c>
      <c r="L990" t="str">
        <f>IFERROR(VLOOKUP(TRIM(G990),Справочники!$D$3:$E$13,2,0),"Нет в справочнике")</f>
        <v>Отменен</v>
      </c>
      <c r="M990" t="str">
        <f t="shared" si="167"/>
        <v/>
      </c>
      <c r="N990" t="str">
        <f>IFERROR(VLOOKUP(I990,Товары_очищенные!$H$2:$J$502,3,0),"Нет в каталоге")</f>
        <v>Аксессуары</v>
      </c>
      <c r="O990" s="4">
        <f>IFERROR(VLOOKUP(I990,Товары_очищенные!$H$2:$M$502,6,0),"")</f>
        <v>24500</v>
      </c>
      <c r="P990" t="str">
        <f t="shared" si="168"/>
        <v xml:space="preserve">Цена отличается от каталога</v>
      </c>
    </row>
    <row r="991">
      <c r="A991" s="3" t="s">
        <v>3926</v>
      </c>
      <c r="B991" s="3" t="s">
        <v>2619</v>
      </c>
      <c r="C991" s="3" t="s">
        <v>1900</v>
      </c>
      <c r="D991" s="3" t="s">
        <v>1925</v>
      </c>
      <c r="E991" s="3" t="s">
        <v>3929</v>
      </c>
      <c r="F991" s="3" t="s">
        <v>1862</v>
      </c>
      <c r="G991" s="3" t="s">
        <v>1924</v>
      </c>
      <c r="H991" s="5">
        <f t="shared" si="164"/>
        <v>46166</v>
      </c>
      <c r="I991" t="str">
        <f t="shared" si="165"/>
        <v>АРТ-187</v>
      </c>
      <c r="J991" s="6">
        <f t="shared" si="166"/>
        <v>2</v>
      </c>
      <c r="K991" s="4">
        <f>VALUE(SUBSTITUTE(SUBSTITUTE(SUBSTITUTE(SUBSTITUTE(D991,"$",""),"€",""),"₽","")," ",""))*IF(ISNUMBER(FIND("$",D991)),Справочники!$H$3,IF(ISNUMBER(FIND("€",D991)),Справочники!$H$4,1))</f>
        <v>8000</v>
      </c>
      <c r="L991" t="str">
        <f>IFERROR(VLOOKUP(TRIM(G991),Справочники!$D$3:$E$13,2,0),"Нет в справочнике")</f>
        <v>Отменен</v>
      </c>
      <c r="M991" t="str">
        <f t="shared" si="167"/>
        <v/>
      </c>
      <c r="N991" t="str">
        <f>IFERROR(VLOOKUP(I991,Товары_очищенные!$H$2:$J$502,3,0),"Нет в каталоге")</f>
        <v>Часы</v>
      </c>
      <c r="O991" s="4">
        <f>IFERROR(VLOOKUP(I991,Товары_очищенные!$H$2:$M$502,6,0),"")</f>
        <v>49990</v>
      </c>
      <c r="P991" t="str">
        <f t="shared" si="168"/>
        <v xml:space="preserve">Цена отличается от каталога</v>
      </c>
    </row>
    <row r="992">
      <c r="A992" s="3" t="s">
        <v>3930</v>
      </c>
      <c r="B992" s="3" t="s">
        <v>686</v>
      </c>
      <c r="C992" s="3" t="s">
        <v>1905</v>
      </c>
      <c r="D992" s="3" t="s">
        <v>1964</v>
      </c>
      <c r="E992" s="3" t="s">
        <v>3931</v>
      </c>
      <c r="F992" s="3" t="s">
        <v>1695</v>
      </c>
      <c r="G992" s="3" t="s">
        <v>1903</v>
      </c>
      <c r="H992" s="5">
        <f t="shared" si="164"/>
        <v>46167</v>
      </c>
      <c r="I992" t="str">
        <f t="shared" si="165"/>
        <v>АРТ-163</v>
      </c>
      <c r="J992" s="6">
        <f t="shared" si="166"/>
        <v>1</v>
      </c>
      <c r="K992" s="4">
        <f>VALUE(SUBSTITUTE(SUBSTITUTE(SUBSTITUTE(SUBSTITUTE(D992,"$",""),"€",""),"₽","")," ",""))*IF(ISNUMBER(FIND("$",D992)),Справочники!$H$3,IF(ISNUMBER(FIND("€",D992)),Справочники!$H$4,1))</f>
        <v>9025</v>
      </c>
      <c r="L992" t="str">
        <f>IFERROR(VLOOKUP(TRIM(G992),Справочники!$D$3:$E$13,2,0),"Нет в справочнике")</f>
        <v>Завершен</v>
      </c>
      <c r="M992" t="str">
        <f t="shared" si="167"/>
        <v/>
      </c>
      <c r="N992" t="str">
        <f>IFERROR(VLOOKUP(I992,Товары_очищенные!$H$2:$J$502,3,0),"Нет в каталоге")</f>
        <v>Часы</v>
      </c>
      <c r="O992" s="4">
        <f>IFERROR(VLOOKUP(I992,Товары_очищенные!$H$2:$M$502,6,0),"")</f>
        <v>29990</v>
      </c>
      <c r="P992" t="str">
        <f t="shared" si="168"/>
        <v xml:space="preserve">Цена отличается от каталога</v>
      </c>
    </row>
    <row r="993">
      <c r="A993" s="3" t="s">
        <v>3930</v>
      </c>
      <c r="B993" s="3" t="s">
        <v>1542</v>
      </c>
      <c r="C993" s="3" t="s">
        <v>1900</v>
      </c>
      <c r="D993" s="3" t="s">
        <v>1968</v>
      </c>
      <c r="E993" s="3" t="s">
        <v>3932</v>
      </c>
      <c r="F993" s="3" t="s">
        <v>1573</v>
      </c>
      <c r="G993" s="3" t="s">
        <v>1927</v>
      </c>
      <c r="H993" s="5">
        <f t="shared" si="164"/>
        <v>46167</v>
      </c>
      <c r="I993" t="str">
        <f t="shared" si="165"/>
        <v>АРТ-497</v>
      </c>
      <c r="J993" s="6">
        <f t="shared" si="166"/>
        <v>2</v>
      </c>
      <c r="K993" s="4">
        <f>VALUE(SUBSTITUTE(SUBSTITUTE(SUBSTITUTE(SUBSTITUTE(D993,"$",""),"€",""),"₽","")," ",""))*IF(ISNUMBER(FIND("$",D993)),Справочники!$H$3,IF(ISNUMBER(FIND("€",D993)),Справочники!$H$4,1))</f>
        <v>7500</v>
      </c>
      <c r="L993" t="str">
        <f>IFERROR(VLOOKUP(TRIM(G993),Справочники!$D$3:$E$13,2,0),"Нет в справочнике")</f>
        <v>Возврат</v>
      </c>
      <c r="M993" t="str">
        <f t="shared" si="167"/>
        <v/>
      </c>
      <c r="N993" t="str">
        <f>IFERROR(VLOOKUP(I993,Товары_очищенные!$H$2:$J$502,3,0),"Нет в каталоге")</f>
        <v>Мониторы</v>
      </c>
      <c r="O993" s="4">
        <f>IFERROR(VLOOKUP(I993,Товары_очищенные!$H$2:$M$502,6,0),"")</f>
        <v>57500</v>
      </c>
      <c r="P993" t="str">
        <f t="shared" si="168"/>
        <v xml:space="preserve">Цена отличается от каталога</v>
      </c>
    </row>
    <row r="994">
      <c r="A994" s="3" t="s">
        <v>3933</v>
      </c>
      <c r="B994" s="3" t="s">
        <v>1135</v>
      </c>
      <c r="C994" s="3" t="s">
        <v>1910</v>
      </c>
      <c r="D994" s="3" t="s">
        <v>1971</v>
      </c>
      <c r="E994" s="3" t="s">
        <v>3934</v>
      </c>
      <c r="F994" s="3" t="s">
        <v>1808</v>
      </c>
      <c r="G994" s="3" t="s">
        <v>1908</v>
      </c>
      <c r="H994" s="5">
        <f t="shared" si="164"/>
        <v>46168</v>
      </c>
      <c r="I994" t="str">
        <f t="shared" si="165"/>
        <v>АРТ-315</v>
      </c>
      <c r="J994" s="6">
        <f t="shared" si="166"/>
        <v>3</v>
      </c>
      <c r="K994" s="4">
        <f>VALUE(SUBSTITUTE(SUBSTITUTE(SUBSTITUTE(SUBSTITUTE(D994,"$",""),"€",""),"₽","")," ",""))*IF(ISNUMBER(FIND("$",D994)),Справочники!$H$3,IF(ISNUMBER(FIND("€",D994)),Справочники!$H$4,1))</f>
        <v>7000</v>
      </c>
      <c r="L994" t="str">
        <f>IFERROR(VLOOKUP(TRIM(G994),Справочники!$D$3:$E$13,2,0),"Нет в справочнике")</f>
        <v>Завершен</v>
      </c>
      <c r="M994" t="str">
        <f t="shared" si="167"/>
        <v/>
      </c>
      <c r="N994" t="str">
        <f>IFERROR(VLOOKUP(I994,Товары_очищенные!$H$2:$J$502,3,0),"Нет в каталоге")</f>
        <v>Смартфоны</v>
      </c>
      <c r="O994" s="4">
        <f>IFERROR(VLOOKUP(I994,Товары_очищенные!$H$2:$M$502,6,0),"")</f>
        <v>72000</v>
      </c>
      <c r="P994" t="str">
        <f t="shared" si="168"/>
        <v xml:space="preserve">Цена отличается от каталога</v>
      </c>
    </row>
    <row r="995">
      <c r="A995" s="3" t="s">
        <v>3933</v>
      </c>
      <c r="B995" s="3" t="s">
        <v>3935</v>
      </c>
      <c r="C995" s="3" t="s">
        <v>1942</v>
      </c>
      <c r="D995" s="3" t="s">
        <v>1943</v>
      </c>
      <c r="E995" s="3" t="s">
        <v>3936</v>
      </c>
      <c r="F995" s="3" t="s">
        <v>1670</v>
      </c>
      <c r="G995" s="3" t="s">
        <v>1913</v>
      </c>
      <c r="H995" s="5">
        <f t="shared" si="164"/>
        <v>46168</v>
      </c>
      <c r="I995" t="str">
        <f t="shared" si="165"/>
        <v>АРТ-174</v>
      </c>
      <c r="J995" s="6">
        <f t="shared" si="166"/>
        <v>-2</v>
      </c>
      <c r="K995" s="4">
        <f>VALUE(SUBSTITUTE(SUBSTITUTE(SUBSTITUTE(SUBSTITUTE(D995,"$",""),"€",""),"₽","")," ",""))*IF(ISNUMBER(FIND("$",D995)),Справочники!$H$3,IF(ISNUMBER(FIND("€",D995)),Справочники!$H$4,1))</f>
        <v>10925</v>
      </c>
      <c r="L995" t="str">
        <f>IFERROR(VLOOKUP(TRIM(G995),Справочники!$D$3:$E$13,2,0),"Нет в справочнике")</f>
        <v>Завершен</v>
      </c>
      <c r="M995" t="str">
        <f t="shared" si="167"/>
        <v/>
      </c>
      <c r="N995" t="str">
        <f>IFERROR(VLOOKUP(I995,Товары_очищенные!$H$2:$J$502,3,0),"Нет в каталоге")</f>
        <v>Ноутбуки</v>
      </c>
      <c r="O995" s="4">
        <f>IFERROR(VLOOKUP(I995,Товары_очищенные!$H$2:$M$502,6,0),"")</f>
        <v>107500</v>
      </c>
      <c r="P995" t="str">
        <f t="shared" si="168"/>
        <v xml:space="preserve">Цена отличается от каталога</v>
      </c>
    </row>
    <row r="996">
      <c r="A996" s="3" t="s">
        <v>3937</v>
      </c>
      <c r="B996" s="3" t="s">
        <v>1007</v>
      </c>
      <c r="C996" s="3" t="s">
        <v>1905</v>
      </c>
      <c r="D996" s="3" t="s">
        <v>1934</v>
      </c>
      <c r="E996" s="3" t="s">
        <v>3938</v>
      </c>
      <c r="F996" s="3" t="s">
        <v>1752</v>
      </c>
      <c r="G996" s="3" t="s">
        <v>1903</v>
      </c>
      <c r="H996" s="5">
        <f t="shared" ref="H996:H999" si="169">DATE(VALUE(RIGHT(A996,4)),VALUE(LEFT(A996,2)),VALUE(MID(A996,4,2)))</f>
        <v>46169</v>
      </c>
      <c r="I996" t="str">
        <f t="shared" ref="I996:I999" si="170">"АРТ-"&amp;TEXT(VALUE(LEFT(SUBSTITUTE(SUBSTITUTE(SUBSTITUTE(SUBSTITUTE(TRIM(B996),"№",""),"АРТ-",""),"АРТ_",""),"АРТ",""),3)),"000")</f>
        <v>АРТ-269</v>
      </c>
      <c r="J996" s="6">
        <f t="shared" ref="J996:J999" si="171">VALUE(TRIM(SUBSTITUTE(SUBSTITUTE(TRIM(C996),"шт.",""),"шт","")))</f>
        <v>1</v>
      </c>
      <c r="K996" s="4">
        <f>VALUE(SUBSTITUTE(SUBSTITUTE(SUBSTITUTE(SUBSTITUTE(D996,"$",""),"€",""),"₽","")," ",""))*IF(ISNUMBER(FIND("$",D996)),Справочники!$H$3,IF(ISNUMBER(FIND("€",D996)),Справочники!$H$4,1))</f>
        <v>9500</v>
      </c>
      <c r="L996" t="str">
        <f>IFERROR(VLOOKUP(TRIM(G996),Справочники!$D$3:$E$13,2,0),"Нет в справочнике")</f>
        <v>Завершен</v>
      </c>
      <c r="M996" t="str">
        <f t="shared" ref="M996:M999" si="172">IF(COUNTIFS($H$2:H996,H996,$I$2:I996,I996,$E$2:E996,E996)&gt;1,"Дубликат","")</f>
        <v/>
      </c>
      <c r="N996" t="str">
        <f>IFERROR(VLOOKUP(I996,Товары_очищенные!$H$2:$J$502,3,0),"Нет в каталоге")</f>
        <v>Аксессуары</v>
      </c>
      <c r="O996" s="4">
        <f>IFERROR(VLOOKUP(I996,Товары_очищенные!$H$2:$M$502,6,0),"")</f>
        <v>21500</v>
      </c>
      <c r="P996" t="str">
        <f t="shared" ref="P996:P999" si="173">IF(O996="","Нет в каталоге",IF(ABS(K996/O996-1)&lt;=0.2,"ОК","Цена отличается от каталога"))</f>
        <v xml:space="preserve">Цена отличается от каталога</v>
      </c>
    </row>
    <row r="997">
      <c r="A997" s="3" t="s">
        <v>3937</v>
      </c>
      <c r="B997" s="3" t="s">
        <v>2388</v>
      </c>
      <c r="C997" s="3" t="s">
        <v>1900</v>
      </c>
      <c r="D997" s="3" t="s">
        <v>1951</v>
      </c>
      <c r="E997" s="3" t="s">
        <v>3939</v>
      </c>
      <c r="F997" s="3" t="s">
        <v>1790</v>
      </c>
      <c r="G997" s="3" t="s">
        <v>1924</v>
      </c>
      <c r="H997" s="5">
        <f t="shared" si="169"/>
        <v>46169</v>
      </c>
      <c r="I997" t="str">
        <f t="shared" si="170"/>
        <v>АРТ-289</v>
      </c>
      <c r="J997" s="6">
        <f t="shared" si="171"/>
        <v>2</v>
      </c>
      <c r="K997" s="4">
        <f>VALUE(SUBSTITUTE(SUBSTITUTE(SUBSTITUTE(SUBSTITUTE(D997,"$",""),"€",""),"₽","")," ",""))*IF(ISNUMBER(FIND("$",D997)),Справочники!$H$3,IF(ISNUMBER(FIND("€",D997)),Справочники!$H$4,1))</f>
        <v>8500</v>
      </c>
      <c r="L997" t="str">
        <f>IFERROR(VLOOKUP(TRIM(G997),Справочники!$D$3:$E$13,2,0),"Нет в справочнике")</f>
        <v>Отменен</v>
      </c>
      <c r="M997" t="str">
        <f t="shared" si="172"/>
        <v/>
      </c>
      <c r="N997" t="str">
        <f>IFERROR(VLOOKUP(I997,Товары_очищенные!$H$2:$J$502,3,0),"Нет в каталоге")</f>
        <v>Часы</v>
      </c>
      <c r="O997" s="4">
        <f>IFERROR(VLOOKUP(I997,Товары_очищенные!$H$2:$M$502,6,0),"")</f>
        <v>62990</v>
      </c>
      <c r="P997" t="str">
        <f t="shared" si="173"/>
        <v xml:space="preserve">Цена отличается от каталога</v>
      </c>
    </row>
    <row r="998">
      <c r="A998" s="3" t="s">
        <v>3940</v>
      </c>
      <c r="B998" s="3" t="s">
        <v>441</v>
      </c>
      <c r="C998" s="3" t="s">
        <v>1930</v>
      </c>
      <c r="D998" s="3" t="s">
        <v>1931</v>
      </c>
      <c r="E998" s="3" t="s">
        <v>3941</v>
      </c>
      <c r="F998" s="3" t="s">
        <v>1856</v>
      </c>
      <c r="G998" s="3" t="s">
        <v>1918</v>
      </c>
      <c r="H998" s="5">
        <f t="shared" si="169"/>
        <v>46170</v>
      </c>
      <c r="I998" t="str">
        <f t="shared" si="170"/>
        <v>АРТ-097</v>
      </c>
      <c r="J998" s="6">
        <f t="shared" si="171"/>
        <v>3</v>
      </c>
      <c r="K998" s="4">
        <f>VALUE(SUBSTITUTE(SUBSTITUTE(SUBSTITUTE(SUBSTITUTE(D998,"$",""),"€",""),"₽","")," ",""))*IF(ISNUMBER(FIND("$",D998)),Справочники!$H$3,IF(ISNUMBER(FIND("€",D998)),Справочники!$H$4,1))</f>
        <v>9975</v>
      </c>
      <c r="L998" t="str">
        <f>IFERROR(VLOOKUP(TRIM(G998),Справочники!$D$3:$E$13,2,0),"Нет в справочнике")</f>
        <v>Отменен</v>
      </c>
      <c r="M998" t="str">
        <f t="shared" si="172"/>
        <v/>
      </c>
      <c r="N998" t="str">
        <f>IFERROR(VLOOKUP(I998,Товары_очищенные!$H$2:$J$502,3,0),"Нет в каталоге")</f>
        <v>Аксессуары</v>
      </c>
      <c r="O998" s="4">
        <f>IFERROR(VLOOKUP(I998,Товары_очищенные!$H$2:$M$502,6,0),"")</f>
        <v>6990</v>
      </c>
      <c r="P998" t="str">
        <f t="shared" si="173"/>
        <v xml:space="preserve">Цена отличается от каталога</v>
      </c>
    </row>
    <row r="999">
      <c r="A999" s="3" t="s">
        <v>3940</v>
      </c>
      <c r="B999" s="3" t="s">
        <v>2114</v>
      </c>
      <c r="C999" s="3" t="s">
        <v>1900</v>
      </c>
      <c r="D999" s="3" t="s">
        <v>1906</v>
      </c>
      <c r="E999" s="3" t="s">
        <v>3942</v>
      </c>
      <c r="F999" s="3" t="s">
        <v>1708</v>
      </c>
      <c r="G999" s="3" t="s">
        <v>1927</v>
      </c>
      <c r="H999" s="5">
        <f t="shared" si="169"/>
        <v>46170</v>
      </c>
      <c r="I999" t="str">
        <f t="shared" si="170"/>
        <v>АРТ-411</v>
      </c>
      <c r="J999" s="6">
        <f t="shared" si="171"/>
        <v>2</v>
      </c>
      <c r="K999" s="4">
        <f>VALUE(SUBSTITUTE(SUBSTITUTE(SUBSTITUTE(SUBSTITUTE(D999,"$",""),"€",""),"₽","")," ",""))*IF(ISNUMBER(FIND("$",D999)),Справочники!$H$3,IF(ISNUMBER(FIND("€",D999)),Справочники!$H$4,1))</f>
        <v>8500</v>
      </c>
      <c r="L999" t="str">
        <f>IFERROR(VLOOKUP(TRIM(G999),Справочники!$D$3:$E$13,2,0),"Нет в справочнике")</f>
        <v>Возврат</v>
      </c>
      <c r="M999" t="str">
        <f t="shared" si="172"/>
        <v/>
      </c>
      <c r="N999" t="str">
        <f>IFERROR(VLOOKUP(I999,Товары_очищенные!$H$2:$J$502,3,0),"Нет в каталоге")</f>
        <v>Наушники</v>
      </c>
      <c r="O999" s="4">
        <f>IFERROR(VLOOKUP(I999,Товары_очищенные!$H$2:$M$502,6,0),"")</f>
        <v>41500</v>
      </c>
      <c r="P999" t="str">
        <f t="shared" si="173"/>
        <v xml:space="preserve">Цена отличается от каталога</v>
      </c>
    </row>
    <row r="1000">
      <c r="A1000" s="3" t="s">
        <v>3943</v>
      </c>
      <c r="B1000" s="3" t="s">
        <v>3944</v>
      </c>
      <c r="C1000" s="3" t="s">
        <v>1938</v>
      </c>
      <c r="D1000" s="3" t="s">
        <v>2166</v>
      </c>
      <c r="E1000" s="3" t="s">
        <v>3945</v>
      </c>
      <c r="F1000" s="3" t="s">
        <v>1838</v>
      </c>
      <c r="G1000" s="3" t="s">
        <v>1903</v>
      </c>
      <c r="H1000" s="5">
        <f t="shared" ref="H1000:H1001" si="174">DATE(VALUE(RIGHT(A1000,4)),VALUE(LEFT(A1000,2)),VALUE(MID(A1000,4,2)))</f>
        <v>46171</v>
      </c>
      <c r="I1000" t="str">
        <f t="shared" ref="I1000:I1001" si="175">"АРТ-"&amp;TEXT(VALUE(LEFT(SUBSTITUTE(SUBSTITUTE(SUBSTITUTE(SUBSTITUTE(TRIM(B1000),"№",""),"АРТ-",""),"АРТ_",""),"АРТ",""),3)),"000")</f>
        <v>АРТ-372</v>
      </c>
      <c r="J1000" s="6">
        <f t="shared" ref="J1000:J1001" si="176">VALUE(TRIM(SUBSTITUTE(SUBSTITUTE(TRIM(C1000),"шт.",""),"шт","")))</f>
        <v>1</v>
      </c>
      <c r="K1000" s="4">
        <f>VALUE(SUBSTITUTE(SUBSTITUTE(SUBSTITUTE(SUBSTITUTE(D1000,"$",""),"€",""),"₽","")," ",""))*IF(ISNUMBER(FIND("$",D1000)),Справочники!$H$3,IF(ISNUMBER(FIND("€",D1000)),Справочники!$H$4,1))</f>
        <v>7800</v>
      </c>
      <c r="L1000" t="str">
        <f>IFERROR(VLOOKUP(TRIM(G1000),Справочники!$D$3:$E$13,2,0),"Нет в справочнике")</f>
        <v>Завершен</v>
      </c>
      <c r="M1000" t="str">
        <f t="shared" ref="M1000:M1001" si="177">IF(COUNTIFS($H$2:H1000,H1000,$I$2:I1000,I1000,$E$2:E1000,E1000)&gt;1,"Дубликат","")</f>
        <v/>
      </c>
      <c r="N1000" t="str">
        <f>IFERROR(VLOOKUP(I1000,Товары_очищенные!$H$2:$J$502,3,0),"Нет в каталоге")</f>
        <v>Мониторы</v>
      </c>
      <c r="O1000" s="4">
        <f>IFERROR(VLOOKUP(I1000,Товары_очищенные!$H$2:$M$502,6,0),"")</f>
        <v>52000</v>
      </c>
      <c r="P1000" t="str">
        <f t="shared" ref="P1000:P1001" si="178">IF(O1000="","Нет в каталоге",IF(ABS(K1000/O1000-1)&lt;=0.2,"ОК","Цена отличается от каталога"))</f>
        <v xml:space="preserve">Цена отличается от каталога</v>
      </c>
    </row>
    <row r="1001">
      <c r="A1001" s="3" t="s">
        <v>3943</v>
      </c>
      <c r="B1001" s="3" t="s">
        <v>3464</v>
      </c>
      <c r="C1001" s="3" t="s">
        <v>1985</v>
      </c>
      <c r="D1001" s="3" t="s">
        <v>2044</v>
      </c>
      <c r="E1001" s="3" t="s">
        <v>3946</v>
      </c>
      <c r="F1001" s="3" t="s">
        <v>1759</v>
      </c>
      <c r="G1001" s="3" t="s">
        <v>1908</v>
      </c>
      <c r="H1001" s="5">
        <f t="shared" si="174"/>
        <v>46171</v>
      </c>
      <c r="I1001" t="str">
        <f t="shared" si="175"/>
        <v>АРТ-357</v>
      </c>
      <c r="J1001" s="6">
        <f t="shared" si="176"/>
        <v>-3</v>
      </c>
      <c r="K1001" s="4">
        <f>VALUE(SUBSTITUTE(SUBSTITUTE(SUBSTITUTE(SUBSTITUTE(D1001,"$",""),"€",""),"₽","")," ",""))*IF(ISNUMBER(FIND("$",D1001)),Справочники!$H$3,IF(ISNUMBER(FIND("€",D1001)),Справочники!$H$4,1))</f>
        <v>11400</v>
      </c>
      <c r="L1001" t="str">
        <f>IFERROR(VLOOKUP(TRIM(G1001),Справочники!$D$3:$E$13,2,0),"Нет в справочнике")</f>
        <v>Завершен</v>
      </c>
      <c r="M1001" t="str">
        <f t="shared" si="177"/>
        <v/>
      </c>
      <c r="N1001" t="str">
        <f>IFERROR(VLOOKUP(I1001,Товары_очищенные!$H$2:$J$502,3,0),"Нет в каталоге")</f>
        <v>Смартфоны</v>
      </c>
      <c r="O1001" s="4">
        <f>IFERROR(VLOOKUP(I1001,Товары_очищенные!$H$2:$M$502,6,0),"")</f>
        <v>88000</v>
      </c>
      <c r="P1001" t="str">
        <f t="shared" si="178"/>
        <v xml:space="preserve">Цена отличается от каталога</v>
      </c>
    </row>
  </sheetData>
  <autoFilter ref="A1:P10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topLeftCell="H1" zoomScale="100" workbookViewId="0">
      <pane ySplit="1" topLeftCell="A2" activePane="bottomLeft" state="frozen"/>
      <selection activeCell="V14" activeCellId="0" sqref="V14"/>
    </sheetView>
  </sheetViews>
  <sheetFormatPr baseColWidth="10" defaultColWidth="8.83203125" defaultRowHeight="14.25"/>
  <cols>
    <col customWidth="1" min="1" max="1" width="16"/>
    <col customWidth="1" min="2" max="2" width="32"/>
    <col customWidth="1" min="3" max="7" width="16"/>
    <col customWidth="1" min="8" max="8" width="14"/>
    <col customWidth="1" min="9" max="9" width="17"/>
    <col customWidth="1" min="10" max="10" width="14"/>
    <col customWidth="1" min="11" max="11" width="26"/>
    <col customWidth="1" min="12" max="12" width="20"/>
    <col customWidth="1" min="13" max="14" width="14"/>
    <col customWidth="1" min="15" max="15" width="18"/>
    <col customWidth="1" min="16" max="16" width="14"/>
    <col customWidth="1" min="17" max="39" width="9"/>
  </cols>
  <sheetData>
    <row r="1" ht="32" customHeight="1">
      <c r="A1" s="1" t="s">
        <v>1889</v>
      </c>
      <c r="B1" s="1" t="s">
        <v>3947</v>
      </c>
      <c r="C1" s="1" t="s">
        <v>3948</v>
      </c>
      <c r="D1" s="1" t="s">
        <v>1556</v>
      </c>
      <c r="E1" s="1" t="s">
        <v>1557</v>
      </c>
      <c r="F1" s="1" t="s">
        <v>3949</v>
      </c>
      <c r="G1" s="1" t="s">
        <v>3950</v>
      </c>
      <c r="H1" s="2" t="s">
        <v>3951</v>
      </c>
      <c r="I1" s="2" t="s">
        <v>3952</v>
      </c>
      <c r="J1" s="2" t="s">
        <v>3953</v>
      </c>
      <c r="K1" s="2" t="s">
        <v>3954</v>
      </c>
      <c r="L1" s="2" t="s">
        <v>3955</v>
      </c>
      <c r="M1" s="2" t="s">
        <v>1561</v>
      </c>
      <c r="N1" s="2" t="s">
        <v>1562</v>
      </c>
      <c r="O1" s="2" t="s">
        <v>1563</v>
      </c>
      <c r="P1" s="2" t="s">
        <v>3956</v>
      </c>
    </row>
    <row r="2">
      <c r="A2" s="3" t="s">
        <v>1902</v>
      </c>
      <c r="B2" s="3" t="s">
        <v>3957</v>
      </c>
      <c r="C2" s="3" t="s">
        <v>3958</v>
      </c>
      <c r="D2" s="3" t="s">
        <v>1570</v>
      </c>
      <c r="E2" s="3" t="s">
        <v>3959</v>
      </c>
      <c r="F2" s="3" t="s">
        <v>3960</v>
      </c>
      <c r="G2" s="3" t="s">
        <v>3961</v>
      </c>
      <c r="H2" t="str">
        <f t="shared" ref="H2:H9" si="179">PROPER(TRIM(B2))</f>
        <v xml:space="preserve">Иванов Иван Иванович</v>
      </c>
      <c r="I2" s="5">
        <f>IFERROR(IF(ISNUMBER(FIND("-",C2)),DATE(VALUE(LEFT(C2,4)),VALUE(MID(C2,6,2)),VALUE(RIGHT(C2,2))),IF(ISNUMBER(FIND(".",C2)),DATE(VALUE(RIGHT(C2,4)),VALUE(MID(C2,4,2)),VALUE(LEFT(C2,2))),DATE(VALUE(RIGHT(C2,4)),VLOOKUP(TRIM(MID(C2,FIND(" ",C2)+1,LEN(C2)-FIND(" ",C2)-5)),Справочники!$M$3:$N$14,2,0),VALUE(LEFT(C2,FIND(" ",C2)-1))))),"")</f>
        <v>33008</v>
      </c>
      <c r="J2" s="6">
        <f t="shared" ref="J2:J9" si="180">IF(I2="","",DATEDIF(I2,TODAY(),"Y"))</f>
        <v>36</v>
      </c>
      <c r="K2" t="str">
        <f t="shared" ref="K2:K9" si="181">IF(OR(I2="",J2&lt;18,J2&gt;120),"Ошибка даты рождения","ОК")</f>
        <v>ОК</v>
      </c>
      <c r="L2" s="5">
        <f>IFERROR(IF(ISNUMBER(FIND("-",G2)),DATE(VALUE(LEFT(G2,4)),VALUE(MID(G2,6,2)),VALUE(RIGHT(G2,2))),IF(ISNUMBER(FIND(".",G2)),DATE(VALUE(RIGHT(G2,4)),VALUE(MID(G2,4,2)),VALUE(LEFT(G2,2))),DATE(VALUE(RIGHT(G2,4)),VLOOKUP(TRIM(MID(G2,FIND(" ",G2)+1,LEN(G2)-FIND(" ",G2)-5)),Справочники!$M$3:$N$14,2,0),VALUE(LEFT(G2,FIND(" ",G2)-1))))),"")</f>
        <v>44562</v>
      </c>
      <c r="M2" t="str">
        <f t="shared" ref="M2:M9" si="182">IF(LEN(SUBSTITUTE(SUBSTITUTE(SUBSTITUTE(SUBSTITUTE(SUBSTITUTE(D2,"+",""),"-","")," ",""),"(",""),")",""))&lt;10,"Ошибка телефона","+7 ("&amp;MID(RIGHT(SUBSTITUTE(SUBSTITUTE(SUBSTITUTE(SUBSTITUTE(SUBSTITUTE(D2,"+",""),"-","")," ",""),"(",""),")",""),10),1,3)&amp;") "&amp;MID(RIGHT(SUBSTITUTE(SUBSTITUTE(SUBSTITUTE(SUBSTITUTE(SUBSTITUTE(D2,"+",""),"-","")," ",""),"(",""),")",""),10),4,3)&amp;"-"&amp;MID(RIGHT(SUBSTITUTE(SUBSTITUTE(SUBSTITUTE(SUBSTITUTE(SUBSTITUTE(D2,"+",""),"-","")," ",""),"(",""),")",""),10),7,2)&amp;"-"&amp;RIGHT(SUBSTITUTE(SUBSTITUTE(SUBSTITUTE(SUBSTITUTE(SUBSTITUTE(D2,"+",""),"-","")," ",""),"(",""),")",""),2))</f>
        <v xml:space="preserve">+7 (903) 123-45-67</v>
      </c>
      <c r="N2" t="str">
        <f t="shared" ref="N2:N9" si="183">LOWER(SUBSTITUTE(TRIM(E2)," ",""))</f>
        <v>ivanov@mail.ru</v>
      </c>
      <c r="O2" t="str">
        <f t="shared" ref="O2:O9" si="184">IF(AND(ISNUMBER(FIND("@",N2)),ISNUMBER(FIND(".",N2,FIND("@",N2)+2))),"ОК","Ошибка Email")</f>
        <v>ОК</v>
      </c>
      <c r="P2" t="str">
        <f>IFERROR(VLOOKUP(TRIM(SUBSTITUTE(SUBSTITUTE(" "&amp;F2," г "," "),"г.","")),Справочники!$J$3:$K$102,2,0),TRIM(SUBSTITUTE(SUBSTITUTE(" "&amp;F2," г "," "),"г.","")))</f>
        <v>Москва</v>
      </c>
    </row>
    <row r="3">
      <c r="A3" s="3" t="s">
        <v>1907</v>
      </c>
      <c r="B3" s="3" t="s">
        <v>3962</v>
      </c>
      <c r="C3" s="3" t="s">
        <v>3963</v>
      </c>
      <c r="D3" s="3" t="s">
        <v>1577</v>
      </c>
      <c r="E3" s="3" t="s">
        <v>3964</v>
      </c>
      <c r="F3" s="3" t="s">
        <v>3965</v>
      </c>
      <c r="G3" s="3" t="s">
        <v>3966</v>
      </c>
      <c r="H3" t="str">
        <f t="shared" si="179"/>
        <v xml:space="preserve">Петров Петр Петрович</v>
      </c>
      <c r="I3" s="5">
        <f>IFERROR(IF(ISNUMBER(FIND("-",C3)),DATE(VALUE(LEFT(C3,4)),VALUE(MID(C3,6,2)),VALUE(RIGHT(C3,2))),IF(ISNUMBER(FIND(".",C3)),DATE(VALUE(RIGHT(C3,4)),VALUE(MID(C3,4,2)),VALUE(LEFT(C3,2))),DATE(VALUE(RIGHT(C3,4)),VLOOKUP(TRIM(MID(C3,FIND(" ",C3)+1,LEN(C3)-FIND(" ",C3)-5)),Справочники!$M$3:$N$14,2,0),VALUE(LEFT(C3,FIND(" ",C3)-1))))),"")</f>
        <v>31282</v>
      </c>
      <c r="J3" s="6">
        <f t="shared" si="180"/>
        <v>41</v>
      </c>
      <c r="K3" t="str">
        <f t="shared" si="181"/>
        <v>ОК</v>
      </c>
      <c r="L3" s="5">
        <f>IFERROR(IF(ISNUMBER(FIND("-",G3)),DATE(VALUE(LEFT(G3,4)),VALUE(MID(G3,6,2)),VALUE(RIGHT(G3,2))),IF(ISNUMBER(FIND(".",G3)),DATE(VALUE(RIGHT(G3,4)),VALUE(MID(G3,4,2)),VALUE(LEFT(G3,2))),DATE(VALUE(RIGHT(G3,4)),VLOOKUP(TRIM(MID(G3,FIND(" ",G3)+1,LEN(G3)-FIND(" ",G3)-5)),Справочники!$M$3:$N$14,2,0),VALUE(LEFT(G3,FIND(" ",G3)-1))))),"")</f>
        <v>44576</v>
      </c>
      <c r="M3" t="str">
        <f t="shared" si="182"/>
        <v xml:space="preserve">+7 (903) 234-56-78</v>
      </c>
      <c r="N3" t="str">
        <f t="shared" si="183"/>
        <v>petrov@yandex</v>
      </c>
      <c r="O3" t="str">
        <f t="shared" si="184"/>
        <v xml:space="preserve">Ошибка Email</v>
      </c>
      <c r="P3" t="str">
        <f>IFERROR(VLOOKUP(TRIM(SUBSTITUTE(SUBSTITUTE(" "&amp;F3," г "," "),"г.","")),Справочники!$J$3:$K$102,2,0),TRIM(SUBSTITUTE(SUBSTITUTE(" "&amp;F3," г "," "),"г.","")))</f>
        <v>Санкт-Петербург</v>
      </c>
    </row>
    <row r="4">
      <c r="A4" s="3" t="s">
        <v>1912</v>
      </c>
      <c r="B4" s="3" t="s">
        <v>3967</v>
      </c>
      <c r="C4" s="3" t="s">
        <v>3968</v>
      </c>
      <c r="D4" s="3" t="s">
        <v>1584</v>
      </c>
      <c r="E4" s="3" t="s">
        <v>3969</v>
      </c>
      <c r="F4" s="3" t="s">
        <v>3970</v>
      </c>
      <c r="G4" s="3" t="s">
        <v>3971</v>
      </c>
      <c r="H4" t="str">
        <f t="shared" si="179"/>
        <v xml:space="preserve">Сидоров Сидор Сидорович</v>
      </c>
      <c r="I4" s="5">
        <f>IFERROR(IF(ISNUMBER(FIND("-",C4)),DATE(VALUE(LEFT(C4,4)),VALUE(MID(C4,6,2)),VALUE(RIGHT(C4,2))),IF(ISNUMBER(FIND(".",C4)),DATE(VALUE(RIGHT(C4,4)),VALUE(MID(C4,4,2)),VALUE(LEFT(C4,2))),DATE(VALUE(RIGHT(C4,4)),VLOOKUP(TRIM(MID(C4,FIND(" ",C4)+1,LEN(C4)-FIND(" ",C4)-5)),Справочники!$M$3:$N$14,2,0),VALUE(LEFT(C4,FIND(" ",C4)-1))))),"")</f>
        <v>33675</v>
      </c>
      <c r="J4" s="6">
        <f t="shared" si="180"/>
        <v>34</v>
      </c>
      <c r="K4" t="str">
        <f t="shared" si="181"/>
        <v>ОК</v>
      </c>
      <c r="L4" s="5">
        <f>IFERROR(IF(ISNUMBER(FIND("-",G4)),DATE(VALUE(LEFT(G4,4)),VALUE(MID(G4,6,2)),VALUE(RIGHT(G4,2))),IF(ISNUMBER(FIND(".",G4)),DATE(VALUE(RIGHT(G4,4)),VALUE(MID(G4,4,2)),VALUE(LEFT(G4,2))),DATE(VALUE(RIGHT(G4,4)),VLOOKUP(TRIM(MID(G4,FIND(" ",G4)+1,LEN(G4)-FIND(" ",G4)-5)),Справочники!$M$3:$N$14,2,0),VALUE(LEFT(G4,FIND(" ",G4)-1))))),"")</f>
        <v>44576</v>
      </c>
      <c r="M4" t="str">
        <f t="shared" si="182"/>
        <v xml:space="preserve">+7 (903) 345-67-89</v>
      </c>
      <c r="N4" t="str">
        <f t="shared" si="183"/>
        <v>sidorov@gmail.com</v>
      </c>
      <c r="O4" t="str">
        <f t="shared" si="184"/>
        <v>ОК</v>
      </c>
      <c r="P4" t="str">
        <f>IFERROR(VLOOKUP(TRIM(SUBSTITUTE(SUBSTITUTE(" "&amp;F4," г "," "),"г.","")),Справочники!$J$3:$K$102,2,0),TRIM(SUBSTITUTE(SUBSTITUTE(" "&amp;F4," г "," "),"г.","")))</f>
        <v>Екатеринбург</v>
      </c>
    </row>
    <row r="5">
      <c r="A5" s="3" t="s">
        <v>1917</v>
      </c>
      <c r="B5" s="3" t="s">
        <v>3972</v>
      </c>
      <c r="C5" s="3" t="s">
        <v>3973</v>
      </c>
      <c r="D5" s="3" t="s">
        <v>1591</v>
      </c>
      <c r="E5" s="3" t="s">
        <v>3974</v>
      </c>
      <c r="F5" s="3" t="s">
        <v>3975</v>
      </c>
      <c r="G5" s="3" t="s">
        <v>3976</v>
      </c>
      <c r="H5" t="str">
        <f t="shared" si="179"/>
        <v xml:space="preserve">Кузнецова Анна Сергеевна</v>
      </c>
      <c r="I5" s="5">
        <f>IFERROR(IF(ISNUMBER(FIND("-",C5)),DATE(VALUE(LEFT(C5,4)),VALUE(MID(C5,6,2)),VALUE(RIGHT(C5,2))),IF(ISNUMBER(FIND(".",C5)),DATE(VALUE(RIGHT(C5,4)),VALUE(MID(C5,4,2)),VALUE(LEFT(C5,2))),DATE(VALUE(RIGHT(C5,4)),VLOOKUP(TRIM(MID(C5,FIND(" ",C5)+1,LEN(C5)-FIND(" ",C5)-5)),Справочники!$M$3:$N$14,2,0),VALUE(LEFT(C5,FIND(" ",C5)-1))))),"")</f>
        <v>28801</v>
      </c>
      <c r="J5" s="6">
        <f t="shared" si="180"/>
        <v>47</v>
      </c>
      <c r="K5" t="str">
        <f t="shared" si="181"/>
        <v>ОК</v>
      </c>
      <c r="L5" s="5">
        <f>IFERROR(IF(ISNUMBER(FIND("-",G5)),DATE(VALUE(LEFT(G5,4)),VALUE(MID(G5,6,2)),VALUE(RIGHT(G5,2))),IF(ISNUMBER(FIND(".",G5)),DATE(VALUE(RIGHT(G5,4)),VALUE(MID(G5,4,2)),VALUE(LEFT(G5,2))),DATE(VALUE(RIGHT(G5,4)),VLOOKUP(TRIM(MID(G5,FIND(" ",G5)+1,LEN(G5)-FIND(" ",G5)-5)),Справочники!$M$3:$N$14,2,0),VALUE(LEFT(G5,FIND(" ",G5)-1))))),"")</f>
        <v>44593</v>
      </c>
      <c r="M5" t="str">
        <f t="shared" si="182"/>
        <v xml:space="preserve">+7 (903) 456-78-90</v>
      </c>
      <c r="N5" t="str">
        <f t="shared" si="183"/>
        <v>kuznetsova@mail</v>
      </c>
      <c r="O5" t="str">
        <f t="shared" si="184"/>
        <v xml:space="preserve">Ошибка Email</v>
      </c>
      <c r="P5" t="str">
        <f>IFERROR(VLOOKUP(TRIM(SUBSTITUTE(SUBSTITUTE(" "&amp;F5," г "," "),"г.","")),Справочники!$J$3:$K$102,2,0),TRIM(SUBSTITUTE(SUBSTITUTE(" "&amp;F5," г "," "),"г.","")))</f>
        <v>Новосибирск</v>
      </c>
    </row>
    <row r="6">
      <c r="A6" s="3" t="s">
        <v>1923</v>
      </c>
      <c r="B6" s="3" t="s">
        <v>3977</v>
      </c>
      <c r="C6" s="3" t="s">
        <v>3978</v>
      </c>
      <c r="D6" s="3" t="s">
        <v>1660</v>
      </c>
      <c r="E6" s="3" t="s">
        <v>3979</v>
      </c>
      <c r="F6" s="3" t="s">
        <v>3980</v>
      </c>
      <c r="G6" s="3" t="s">
        <v>3981</v>
      </c>
      <c r="H6" t="str">
        <f t="shared" si="179"/>
        <v xml:space="preserve">Смирнов Алексей Владимирович</v>
      </c>
      <c r="I6" s="5">
        <f>IFERROR(IF(ISNUMBER(FIND("-",C6)),DATE(VALUE(LEFT(C6,4)),VALUE(MID(C6,6,2)),VALUE(RIGHT(C6,2))),IF(ISNUMBER(FIND(".",C6)),DATE(VALUE(RIGHT(C6,4)),VALUE(MID(C6,4,2)),VALUE(LEFT(C6,2))),DATE(VALUE(RIGHT(C6,4)),VLOOKUP(TRIM(MID(C6,FIND(" ",C6)+1,LEN(C6)-FIND(" ",C6)-5)),Справочники!$M$3:$N$14,2,0),VALUE(LEFT(C6,FIND(" ",C6)-1))))),"")</f>
        <v>34880</v>
      </c>
      <c r="J6" s="6">
        <f t="shared" si="180"/>
        <v>31</v>
      </c>
      <c r="K6" t="str">
        <f t="shared" si="181"/>
        <v>ОК</v>
      </c>
      <c r="L6" s="5">
        <f>IFERROR(IF(ISNUMBER(FIND("-",G6)),DATE(VALUE(LEFT(G6,4)),VALUE(MID(G6,6,2)),VALUE(RIGHT(G6,2))),IF(ISNUMBER(FIND(".",G6)),DATE(VALUE(RIGHT(G6,4)),VALUE(MID(G6,4,2)),VALUE(LEFT(G6,2))),DATE(VALUE(RIGHT(G6,4)),VLOOKUP(TRIM(MID(G6,FIND(" ",G6)+1,LEN(G6)-FIND(" ",G6)-5)),Справочники!$M$3:$N$14,2,0),VALUE(LEFT(G6,FIND(" ",G6)-1))))),"")</f>
        <v>44602</v>
      </c>
      <c r="M6" t="str">
        <f t="shared" si="182"/>
        <v xml:space="preserve">+7 (903) 456-78-90</v>
      </c>
      <c r="N6" t="str">
        <f t="shared" si="183"/>
        <v>smirnov@yandex</v>
      </c>
      <c r="O6" t="str">
        <f t="shared" si="184"/>
        <v xml:space="preserve">Ошибка Email</v>
      </c>
      <c r="P6" t="str">
        <f>IFERROR(VLOOKUP(TRIM(SUBSTITUTE(SUBSTITUTE(" "&amp;F6," г "," "),"г.","")),Справочники!$J$3:$K$102,2,0),TRIM(SUBSTITUTE(SUBSTITUTE(" "&amp;F6," г "," "),"г.","")))</f>
        <v>Казань</v>
      </c>
    </row>
    <row r="7">
      <c r="A7" s="3" t="s">
        <v>1926</v>
      </c>
      <c r="B7" s="3" t="s">
        <v>3982</v>
      </c>
      <c r="C7" s="3" t="s">
        <v>3983</v>
      </c>
      <c r="D7" s="3" t="s">
        <v>3984</v>
      </c>
      <c r="E7" s="3" t="s">
        <v>3985</v>
      </c>
      <c r="F7" s="3" t="s">
        <v>3986</v>
      </c>
      <c r="G7" s="3" t="s">
        <v>3987</v>
      </c>
      <c r="H7" t="str">
        <f t="shared" si="179"/>
        <v xml:space="preserve">Попова Елена Дмитриевна</v>
      </c>
      <c r="I7" s="5">
        <f>IFERROR(IF(ISNUMBER(FIND("-",C7)),DATE(VALUE(LEFT(C7,4)),VALUE(MID(C7,6,2)),VALUE(RIGHT(C7,2))),IF(ISNUMBER(FIND(".",C7)),DATE(VALUE(RIGHT(C7,4)),VALUE(MID(C7,4,2)),VALUE(LEFT(C7,2))),DATE(VALUE(RIGHT(C7,4)),VLOOKUP(TRIM(MID(C7,FIND(" ",C7)+1,LEN(C7)-FIND(" ",C7)-5)),Справочники!$M$3:$N$14,2,0),VALUE(LEFT(C7,FIND(" ",C7)-1))))),"")</f>
        <v>30208</v>
      </c>
      <c r="J7" s="6">
        <f t="shared" si="180"/>
        <v>44</v>
      </c>
      <c r="K7" t="str">
        <f t="shared" si="181"/>
        <v>ОК</v>
      </c>
      <c r="L7" s="5">
        <f>IFERROR(IF(ISNUMBER(FIND("-",G7)),DATE(VALUE(LEFT(G7,4)),VALUE(MID(G7,6,2)),VALUE(RIGHT(G7,2))),IF(ISNUMBER(FIND(".",G7)),DATE(VALUE(RIGHT(G7,4)),VALUE(MID(G7,4,2)),VALUE(LEFT(G7,2))),DATE(VALUE(RIGHT(G7,4)),VLOOKUP(TRIM(MID(G7,FIND(" ",G7)+1,LEN(G7)-FIND(" ",G7)-5)),Справочники!$M$3:$N$14,2,0),VALUE(LEFT(G7,FIND(" ",G7)-1))))),"")</f>
        <v>44602</v>
      </c>
      <c r="M7" t="str">
        <f t="shared" si="182"/>
        <v xml:space="preserve">+7 (903) 567-89-01</v>
      </c>
      <c r="N7" t="str">
        <f t="shared" si="183"/>
        <v>popova@gmail</v>
      </c>
      <c r="O7" t="str">
        <f t="shared" si="184"/>
        <v xml:space="preserve">Ошибка Email</v>
      </c>
      <c r="P7" t="str">
        <f>IFERROR(VLOOKUP(TRIM(SUBSTITUTE(SUBSTITUTE(" "&amp;F7," г "," "),"г.","")),Справочники!$J$3:$K$102,2,0),TRIM(SUBSTITUTE(SUBSTITUTE(" "&amp;F7," г "," "),"г.","")))</f>
        <v xml:space="preserve">Нижний Новгород</v>
      </c>
    </row>
    <row r="8">
      <c r="A8" s="3" t="s">
        <v>1932</v>
      </c>
      <c r="B8" s="3" t="s">
        <v>3988</v>
      </c>
      <c r="C8" s="3" t="s">
        <v>3989</v>
      </c>
      <c r="D8" s="3" t="s">
        <v>3990</v>
      </c>
      <c r="E8" s="3" t="s">
        <v>3991</v>
      </c>
      <c r="F8" s="3" t="s">
        <v>3992</v>
      </c>
      <c r="G8" s="3" t="s">
        <v>3993</v>
      </c>
      <c r="H8" t="str">
        <f t="shared" si="179"/>
        <v xml:space="preserve">Васильев Андрей Николаевич</v>
      </c>
      <c r="I8" s="5">
        <f>IFERROR(IF(ISNUMBER(FIND("-",C8)),DATE(VALUE(LEFT(C8,4)),VALUE(MID(C8,6,2)),VALUE(RIGHT(C8,2))),IF(ISNUMBER(FIND(".",C8)),DATE(VALUE(RIGHT(C8,4)),VALUE(MID(C8,4,2)),VALUE(LEFT(C8,2))),DATE(VALUE(RIGHT(C8,4)),VLOOKUP(TRIM(MID(C8,FIND(" ",C8)+1,LEN(C8)-FIND(" ",C8)-5)),Справочники!$M$3:$N$14,2,0),VALUE(LEFT(C8,FIND(" ",C8)-1))))),"")</f>
        <v>25927</v>
      </c>
      <c r="J8" s="6">
        <f t="shared" si="180"/>
        <v>55</v>
      </c>
      <c r="K8" t="str">
        <f t="shared" si="181"/>
        <v>ОК</v>
      </c>
      <c r="L8" s="5">
        <f>IFERROR(IF(ISNUMBER(FIND("-",G8)),DATE(VALUE(LEFT(G8,4)),VALUE(MID(G8,6,2)),VALUE(RIGHT(G8,2))),IF(ISNUMBER(FIND(".",G8)),DATE(VALUE(RIGHT(G8,4)),VALUE(MID(G8,4,2)),VALUE(LEFT(G8,2))),DATE(VALUE(RIGHT(G8,4)),VLOOKUP(TRIM(MID(G8,FIND(" ",G8)+1,LEN(G8)-FIND(" ",G8)-5)),Справочники!$M$3:$N$14,2,0),VALUE(LEFT(G8,FIND(" ",G8)-1))))),"")</f>
        <v>44621</v>
      </c>
      <c r="M8" t="str">
        <f t="shared" si="182"/>
        <v xml:space="preserve">+7 (903) 567-89-01</v>
      </c>
      <c r="N8" t="str">
        <f t="shared" si="183"/>
        <v>vasiliev@mail</v>
      </c>
      <c r="O8" t="str">
        <f t="shared" si="184"/>
        <v xml:space="preserve">Ошибка Email</v>
      </c>
      <c r="P8" t="str">
        <f>IFERROR(VLOOKUP(TRIM(SUBSTITUTE(SUBSTITUTE(" "&amp;F8," г "," "),"г.","")),Справочники!$J$3:$K$102,2,0),TRIM(SUBSTITUTE(SUBSTITUTE(" "&amp;F8," г "," "),"г.","")))</f>
        <v>Челябинск</v>
      </c>
    </row>
    <row r="9">
      <c r="A9" s="3" t="s">
        <v>1935</v>
      </c>
      <c r="B9" s="3" t="s">
        <v>3994</v>
      </c>
      <c r="C9" s="3" t="s">
        <v>3995</v>
      </c>
      <c r="D9" s="3" t="s">
        <v>1605</v>
      </c>
      <c r="E9" s="3" t="s">
        <v>3996</v>
      </c>
      <c r="F9" s="3" t="s">
        <v>3997</v>
      </c>
      <c r="G9" s="3" t="s">
        <v>3998</v>
      </c>
      <c r="H9" t="str">
        <f t="shared" si="179"/>
        <v xml:space="preserve">Зайцева Ольга Игоревна</v>
      </c>
      <c r="I9" s="5">
        <f>IFERROR(IF(ISNUMBER(FIND("-",C9)),DATE(VALUE(LEFT(C9,4)),VALUE(MID(C9,6,2)),VALUE(RIGHT(C9,2))),IF(ISNUMBER(FIND(".",C9)),DATE(VALUE(RIGHT(C9,4)),VALUE(MID(C9,4,2)),VALUE(LEFT(C9,2))),DATE(VALUE(RIGHT(C9,4)),VLOOKUP(TRIM(MID(C9,FIND(" ",C9)+1,LEN(C9)-FIND(" ",C9)-5)),Справочники!$M$3:$N$14,2,0),VALUE(LEFT(C9,FIND(" ",C9)-1))))),"")</f>
        <v>32252</v>
      </c>
      <c r="J9" s="6">
        <f t="shared" si="180"/>
        <v>38</v>
      </c>
      <c r="K9" t="str">
        <f t="shared" si="181"/>
        <v>ОК</v>
      </c>
      <c r="L9" s="5">
        <f>IFERROR(IF(ISNUMBER(FIND("-",G9)),DATE(VALUE(LEFT(G9,4)),VALUE(MID(G9,6,2)),VALUE(RIGHT(G9,2))),IF(ISNUMBER(FIND(".",G9)),DATE(VALUE(RIGHT(G9,4)),VALUE(MID(G9,4,2)),VALUE(LEFT(G9,2))),DATE(VALUE(RIGHT(G9,4)),VLOOKUP(TRIM(MID(G9,FIND(" ",G9)+1,LEN(G9)-FIND(" ",G9)-5)),Справочники!$M$3:$N$14,2,0),VALUE(LEFT(G9,FIND(" ",G9)-1))))),"")</f>
        <v>44635</v>
      </c>
      <c r="M9" t="str">
        <f t="shared" si="182"/>
        <v xml:space="preserve">+7 (903) 678-90-12</v>
      </c>
      <c r="N9" t="str">
        <f t="shared" si="183"/>
        <v>zaitceva@yandex</v>
      </c>
      <c r="O9" t="str">
        <f t="shared" si="184"/>
        <v xml:space="preserve">Ошибка Email</v>
      </c>
      <c r="P9" t="str">
        <f>IFERROR(VLOOKUP(TRIM(SUBSTITUTE(SUBSTITUTE(" "&amp;F9," г "," "),"г.","")),Справочники!$J$3:$K$102,2,0),TRIM(SUBSTITUTE(SUBSTITUTE(" "&amp;F9," г "," "),"г.","")))</f>
        <v>Самара</v>
      </c>
    </row>
    <row r="10">
      <c r="A10" s="3" t="s">
        <v>1940</v>
      </c>
      <c r="B10" s="3" t="s">
        <v>3999</v>
      </c>
      <c r="C10" s="3" t="s">
        <v>4000</v>
      </c>
      <c r="D10" s="3" t="s">
        <v>4001</v>
      </c>
      <c r="E10" s="3" t="s">
        <v>4002</v>
      </c>
      <c r="F10" s="3" t="s">
        <v>4003</v>
      </c>
      <c r="G10" s="3" t="s">
        <v>4004</v>
      </c>
      <c r="H10" t="str">
        <f t="shared" ref="H10:H73" si="185">PROPER(TRIM(B10))</f>
        <v xml:space="preserve">Морозов Дмитрий Алексеевич</v>
      </c>
      <c r="I10" s="5">
        <f>IFERROR(IF(ISNUMBER(FIND("-",C10)),DATE(VALUE(LEFT(C10,4)),VALUE(MID(C10,6,2)),VALUE(RIGHT(C10,2))),IF(ISNUMBER(FIND(".",C10)),DATE(VALUE(RIGHT(C10,4)),VALUE(MID(C10,4,2)),VALUE(LEFT(C10,2))),DATE(VALUE(RIGHT(C10,4)),VLOOKUP(TRIM(MID(C10,FIND(" ",C10)+1,LEN(C10)-FIND(" ",C10)-5)),Справочники!$M$3:$N$14,2,0),VALUE(LEFT(C10,FIND(" ",C10)-1))))),"")</f>
        <v>34244</v>
      </c>
      <c r="J10" s="6">
        <f t="shared" ref="J10:J73" si="186">IF(I10="","",DATEDIF(I10,TODAY(),"Y"))</f>
        <v>33</v>
      </c>
      <c r="K10" t="str">
        <f t="shared" ref="K10:K73" si="187">IF(OR(I10="",J10&lt;18,J10&gt;120),"Ошибка даты рождения","ОК")</f>
        <v>ОК</v>
      </c>
      <c r="L10" s="5">
        <f>IFERROR(IF(ISNUMBER(FIND("-",G10)),DATE(VALUE(LEFT(G10,4)),VALUE(MID(G10,6,2)),VALUE(RIGHT(G10,2))),IF(ISNUMBER(FIND(".",G10)),DATE(VALUE(RIGHT(G10,4)),VALUE(MID(G10,4,2)),VALUE(LEFT(G10,2))),DATE(VALUE(RIGHT(G10,4)),VLOOKUP(TRIM(MID(G10,FIND(" ",G10)+1,LEN(G10)-FIND(" ",G10)-5)),Справочники!$M$3:$N$14,2,0),VALUE(LEFT(G10,FIND(" ",G10)-1))))),"")</f>
        <v>44635</v>
      </c>
      <c r="M10" t="str">
        <f t="shared" ref="M10:M73" si="188">IF(LEN(SUBSTITUTE(SUBSTITUTE(SUBSTITUTE(SUBSTITUTE(SUBSTITUTE(D10,"+",""),"-","")," ",""),"(",""),")",""))&lt;10,"Ошибка телефона","+7 ("&amp;MID(RIGHT(SUBSTITUTE(SUBSTITUTE(SUBSTITUTE(SUBSTITUTE(SUBSTITUTE(D10,"+",""),"-","")," ",""),"(",""),")",""),10),1,3)&amp;") "&amp;MID(RIGHT(SUBSTITUTE(SUBSTITUTE(SUBSTITUTE(SUBSTITUTE(SUBSTITUTE(D10,"+",""),"-","")," ",""),"(",""),")",""),10),4,3)&amp;"-"&amp;MID(RIGHT(SUBSTITUTE(SUBSTITUTE(SUBSTITUTE(SUBSTITUTE(SUBSTITUTE(D10,"+",""),"-","")," ",""),"(",""),")",""),10),7,2)&amp;"-"&amp;RIGHT(SUBSTITUTE(SUBSTITUTE(SUBSTITUTE(SUBSTITUTE(SUBSTITUTE(D10,"+",""),"-","")," ",""),"(",""),")",""),2))</f>
        <v xml:space="preserve">+7 (903) 789-01-23</v>
      </c>
      <c r="N10" t="str">
        <f t="shared" ref="N10:N73" si="189">LOWER(SUBSTITUTE(TRIM(E10)," ",""))</f>
        <v>morozov@gmail</v>
      </c>
      <c r="O10" t="str">
        <f t="shared" ref="O10:O73" si="190">IF(AND(ISNUMBER(FIND("@",N10)),ISNUMBER(FIND(".",N10,FIND("@",N10)+2))),"ОК","Ошибка Email")</f>
        <v xml:space="preserve">Ошибка Email</v>
      </c>
      <c r="P10" t="str">
        <f>IFERROR(VLOOKUP(TRIM(SUBSTITUTE(SUBSTITUTE(" "&amp;F10," г "," "),"г.","")),Справочники!$J$3:$K$102,2,0),TRIM(SUBSTITUTE(SUBSTITUTE(" "&amp;F10," г "," "),"г.","")))</f>
        <v>Омск</v>
      </c>
    </row>
    <row r="11">
      <c r="A11" s="3" t="s">
        <v>1944</v>
      </c>
      <c r="B11" s="3" t="s">
        <v>4005</v>
      </c>
      <c r="C11" s="3" t="s">
        <v>4006</v>
      </c>
      <c r="D11" s="3" t="s">
        <v>4007</v>
      </c>
      <c r="E11" s="3" t="s">
        <v>4008</v>
      </c>
      <c r="F11" s="3" t="s">
        <v>4009</v>
      </c>
      <c r="G11" s="3" t="s">
        <v>4010</v>
      </c>
      <c r="H11" t="str">
        <f t="shared" si="185"/>
        <v xml:space="preserve">Соколова Екатерина Павловна</v>
      </c>
      <c r="I11" s="5">
        <f>IFERROR(IF(ISNUMBER(FIND("-",C11)),DATE(VALUE(LEFT(C11,4)),VALUE(MID(C11,6,2)),VALUE(RIGHT(C11,2))),IF(ISNUMBER(FIND(".",C11)),DATE(VALUE(RIGHT(C11,4)),VALUE(MID(C11,4,2)),VALUE(LEFT(C11,2))),DATE(VALUE(RIGHT(C11,4)),VLOOKUP(TRIM(MID(C11,FIND(" ",C11)+1,LEN(C11)-FIND(" ",C11)-5)),Справочники!$M$3:$N$14,2,0),VALUE(LEFT(C11,FIND(" ",C11)-1))))),"")</f>
        <v>27775</v>
      </c>
      <c r="J11" s="6">
        <f t="shared" si="186"/>
        <v>50</v>
      </c>
      <c r="K11" t="str">
        <f t="shared" si="187"/>
        <v>ОК</v>
      </c>
      <c r="L11" s="5">
        <f>IFERROR(IF(ISNUMBER(FIND("-",G11)),DATE(VALUE(LEFT(G11,4)),VALUE(MID(G11,6,2)),VALUE(RIGHT(G11,2))),IF(ISNUMBER(FIND(".",G11)),DATE(VALUE(RIGHT(G11,4)),VALUE(MID(G11,4,2)),VALUE(LEFT(G11,2))),DATE(VALUE(RIGHT(G11,4)),VLOOKUP(TRIM(MID(G11,FIND(" ",G11)+1,LEN(G11)-FIND(" ",G11)-5)),Справочники!$M$3:$N$14,2,0),VALUE(LEFT(G11,FIND(" ",G11)-1))))),"")</f>
        <v>44652</v>
      </c>
      <c r="M11" t="str">
        <f t="shared" si="188"/>
        <v xml:space="preserve">+7 (903) 890-12-34</v>
      </c>
      <c r="N11" t="str">
        <f t="shared" si="189"/>
        <v>sokolova@mail</v>
      </c>
      <c r="O11" t="str">
        <f t="shared" si="190"/>
        <v xml:space="preserve">Ошибка Email</v>
      </c>
      <c r="P11" t="str">
        <f>IFERROR(VLOOKUP(TRIM(SUBSTITUTE(SUBSTITUTE(" "&amp;F11," г "," "),"г.","")),Справочники!$J$3:$K$102,2,0),TRIM(SUBSTITUTE(SUBSTITUTE(" "&amp;F11," г "," "),"г.","")))</f>
        <v>Ростов-на-Дону</v>
      </c>
    </row>
    <row r="12">
      <c r="A12" s="3" t="s">
        <v>1949</v>
      </c>
      <c r="B12" s="3" t="s">
        <v>4011</v>
      </c>
      <c r="C12" s="3" t="s">
        <v>4012</v>
      </c>
      <c r="D12" s="3" t="s">
        <v>1619</v>
      </c>
      <c r="E12" s="3" t="s">
        <v>4013</v>
      </c>
      <c r="F12" s="3" t="s">
        <v>4014</v>
      </c>
      <c r="G12" s="3" t="s">
        <v>4015</v>
      </c>
      <c r="H12" t="str">
        <f t="shared" si="185"/>
        <v xml:space="preserve">Михайлов Сергей Иванович</v>
      </c>
      <c r="I12" s="5">
        <f>IFERROR(IF(ISNUMBER(FIND("-",C12)),DATE(VALUE(LEFT(C12,4)),VALUE(MID(C12,6,2)),VALUE(RIGHT(C12,2))),IF(ISNUMBER(FIND(".",C12)),DATE(VALUE(RIGHT(C12,4)),VALUE(MID(C12,4,2)),VALUE(LEFT(C12,2))),DATE(VALUE(RIGHT(C12,4)),VLOOKUP(TRIM(MID(C12,FIND(" ",C12)+1,LEN(C12)-FIND(" ",C12)-5)),Справочники!$M$3:$N$14,2,0),VALUE(LEFT(C12,FIND(" ",C12)-1))))),"")</f>
        <v>30891</v>
      </c>
      <c r="J12" s="6">
        <f t="shared" si="186"/>
        <v>42</v>
      </c>
      <c r="K12" t="str">
        <f t="shared" si="187"/>
        <v>ОК</v>
      </c>
      <c r="L12" s="5">
        <f>IFERROR(IF(ISNUMBER(FIND("-",G12)),DATE(VALUE(LEFT(G12,4)),VALUE(MID(G12,6,2)),VALUE(RIGHT(G12,2))),IF(ISNUMBER(FIND(".",G12)),DATE(VALUE(RIGHT(G12,4)),VALUE(MID(G12,4,2)),VALUE(LEFT(G12,2))),DATE(VALUE(RIGHT(G12,4)),VLOOKUP(TRIM(MID(G12,FIND(" ",G12)+1,LEN(G12)-FIND(" ",G12)-5)),Справочники!$M$3:$N$14,2,0),VALUE(LEFT(G12,FIND(" ",G12)-1))))),"")</f>
        <v>44661</v>
      </c>
      <c r="M12" t="str">
        <f t="shared" si="188"/>
        <v xml:space="preserve">+7 (903) 890-12-34</v>
      </c>
      <c r="N12" t="str">
        <f t="shared" si="189"/>
        <v>mihailov@yandex</v>
      </c>
      <c r="O12" t="str">
        <f t="shared" si="190"/>
        <v xml:space="preserve">Ошибка Email</v>
      </c>
      <c r="P12" t="str">
        <f>IFERROR(VLOOKUP(TRIM(SUBSTITUTE(SUBSTITUTE(" "&amp;F12," г "," "),"г.","")),Справочники!$J$3:$K$102,2,0),TRIM(SUBSTITUTE(SUBSTITUTE(" "&amp;F12," г "," "),"г.","")))</f>
        <v>Уфа</v>
      </c>
    </row>
    <row r="13">
      <c r="A13" s="3" t="s">
        <v>1952</v>
      </c>
      <c r="B13" s="3" t="s">
        <v>4016</v>
      </c>
      <c r="C13" s="3" t="s">
        <v>4017</v>
      </c>
      <c r="D13" s="3" t="s">
        <v>4018</v>
      </c>
      <c r="E13" s="3" t="s">
        <v>4019</v>
      </c>
      <c r="F13" s="3" t="s">
        <v>4020</v>
      </c>
      <c r="G13" s="3" t="s">
        <v>4021</v>
      </c>
      <c r="H13" t="str">
        <f t="shared" si="185"/>
        <v xml:space="preserve">Федорова Татьяна Владимировна</v>
      </c>
      <c r="I13" s="5">
        <f>IFERROR(IF(ISNUMBER(FIND("-",C13)),DATE(VALUE(LEFT(C13,4)),VALUE(MID(C13,6,2)),VALUE(RIGHT(C13,2))),IF(ISNUMBER(FIND(".",C13)),DATE(VALUE(RIGHT(C13,4)),VALUE(MID(C13,4,2)),VALUE(LEFT(C13,2))),DATE(VALUE(RIGHT(C13,4)),VLOOKUP(TRIM(MID(C13,FIND(" ",C13)+1,LEN(C13)-FIND(" ",C13)-5)),Справочники!$M$3:$N$14,2,0),VALUE(LEFT(C13,FIND(" ",C13)-1))))),"")</f>
        <v>33308</v>
      </c>
      <c r="J13" s="6">
        <f t="shared" si="186"/>
        <v>35</v>
      </c>
      <c r="K13" t="str">
        <f t="shared" si="187"/>
        <v>ОК</v>
      </c>
      <c r="L13" s="5">
        <f>IFERROR(IF(ISNUMBER(FIND("-",G13)),DATE(VALUE(LEFT(G13,4)),VALUE(MID(G13,6,2)),VALUE(RIGHT(G13,2))),IF(ISNUMBER(FIND(".",G13)),DATE(VALUE(RIGHT(G13,4)),VALUE(MID(G13,4,2)),VALUE(LEFT(G13,2))),DATE(VALUE(RIGHT(G13,4)),VLOOKUP(TRIM(MID(G13,FIND(" ",G13)+1,LEN(G13)-FIND(" ",G13)-5)),Справочники!$M$3:$N$14,2,0),VALUE(LEFT(G13,FIND(" ",G13)-1))))),"")</f>
        <v>44661</v>
      </c>
      <c r="M13" t="str">
        <f t="shared" si="188"/>
        <v xml:space="preserve">+7 (903) 901-23-45</v>
      </c>
      <c r="N13" t="str">
        <f t="shared" si="189"/>
        <v>fedorova@gmail</v>
      </c>
      <c r="O13" t="str">
        <f t="shared" si="190"/>
        <v xml:space="preserve">Ошибка Email</v>
      </c>
      <c r="P13" t="str">
        <f>IFERROR(VLOOKUP(TRIM(SUBSTITUTE(SUBSTITUTE(" "&amp;F13," г "," "),"г.","")),Справочники!$J$3:$K$102,2,0),TRIM(SUBSTITUTE(SUBSTITUTE(" "&amp;F13," г "," "),"г.","")))</f>
        <v>Красноярск</v>
      </c>
    </row>
    <row r="14">
      <c r="A14" s="3" t="s">
        <v>1956</v>
      </c>
      <c r="B14" s="3" t="s">
        <v>4022</v>
      </c>
      <c r="C14" s="3" t="s">
        <v>4023</v>
      </c>
      <c r="D14" s="3" t="s">
        <v>1626</v>
      </c>
      <c r="E14" s="3" t="s">
        <v>4024</v>
      </c>
      <c r="F14" s="3" t="s">
        <v>4025</v>
      </c>
      <c r="G14" s="3" t="s">
        <v>4026</v>
      </c>
      <c r="H14" t="str">
        <f t="shared" si="185"/>
        <v xml:space="preserve">Егоров Павел Андреевич</v>
      </c>
      <c r="I14" s="5">
        <f>IFERROR(IF(ISNUMBER(FIND("-",C14)),DATE(VALUE(LEFT(C14,4)),VALUE(MID(C14,6,2)),VALUE(RIGHT(C14,2))),IF(ISNUMBER(FIND(".",C14)),DATE(VALUE(RIGHT(C14,4)),VALUE(MID(C14,4,2)),VALUE(LEFT(C14,2))),DATE(VALUE(RIGHT(C14,4)),VLOOKUP(TRIM(MID(C14,FIND(" ",C14)+1,LEN(C14)-FIND(" ",C14)-5)),Справочники!$M$3:$N$14,2,0),VALUE(LEFT(C14,FIND(" ",C14)-1))))),"")</f>
        <v>27003</v>
      </c>
      <c r="J14" s="6">
        <f t="shared" si="186"/>
        <v>52</v>
      </c>
      <c r="K14" t="str">
        <f t="shared" si="187"/>
        <v>ОК</v>
      </c>
      <c r="L14" s="5">
        <f>IFERROR(IF(ISNUMBER(FIND("-",G14)),DATE(VALUE(LEFT(G14,4)),VALUE(MID(G14,6,2)),VALUE(RIGHT(G14,2))),IF(ISNUMBER(FIND(".",G14)),DATE(VALUE(RIGHT(G14,4)),VALUE(MID(G14,4,2)),VALUE(LEFT(G14,2))),DATE(VALUE(RIGHT(G14,4)),VLOOKUP(TRIM(MID(G14,FIND(" ",G14)+1,LEN(G14)-FIND(" ",G14)-5)),Справочники!$M$3:$N$14,2,0),VALUE(LEFT(G14,FIND(" ",G14)-1))))),"")</f>
        <v>44682</v>
      </c>
      <c r="M14" t="str">
        <f t="shared" si="188"/>
        <v xml:space="preserve">+7 (903) 901-23-45</v>
      </c>
      <c r="N14" t="str">
        <f t="shared" si="189"/>
        <v>egorov@mail</v>
      </c>
      <c r="O14" t="str">
        <f t="shared" si="190"/>
        <v xml:space="preserve">Ошибка Email</v>
      </c>
      <c r="P14" t="str">
        <f>IFERROR(VLOOKUP(TRIM(SUBSTITUTE(SUBSTITUTE(" "&amp;F14," г "," "),"г.","")),Справочники!$J$3:$K$102,2,0),TRIM(SUBSTITUTE(SUBSTITUTE(" "&amp;F14," г "," "),"г.","")))</f>
        <v>Пермь</v>
      </c>
    </row>
    <row r="15">
      <c r="A15" s="3" t="s">
        <v>1959</v>
      </c>
      <c r="B15" s="3" t="s">
        <v>4027</v>
      </c>
      <c r="C15" s="3" t="s">
        <v>4028</v>
      </c>
      <c r="D15" s="3" t="s">
        <v>1633</v>
      </c>
      <c r="E15" s="3" t="s">
        <v>4029</v>
      </c>
      <c r="F15" s="3" t="s">
        <v>4030</v>
      </c>
      <c r="G15" s="3" t="s">
        <v>4031</v>
      </c>
      <c r="H15" t="str">
        <f t="shared" si="185"/>
        <v xml:space="preserve">Николаев Александр Сергеевич</v>
      </c>
      <c r="I15" s="5">
        <f>IFERROR(IF(ISNUMBER(FIND("-",C15)),DATE(VALUE(LEFT(C15,4)),VALUE(MID(C15,6,2)),VALUE(RIGHT(C15,2))),IF(ISNUMBER(FIND(".",C15)),DATE(VALUE(RIGHT(C15,4)),VALUE(MID(C15,4,2)),VALUE(LEFT(C15,2))),DATE(VALUE(RIGHT(C15,4)),VLOOKUP(TRIM(MID(C15,FIND(" ",C15)+1,LEN(C15)-FIND(" ",C15)-5)),Справочники!$M$3:$N$14,2,0),VALUE(LEFT(C15,FIND(" ",C15)-1))))),"")</f>
        <v>31647</v>
      </c>
      <c r="J15" s="6">
        <f t="shared" si="186"/>
        <v>40</v>
      </c>
      <c r="K15" t="str">
        <f t="shared" si="187"/>
        <v>ОК</v>
      </c>
      <c r="L15" s="5">
        <f>IFERROR(IF(ISNUMBER(FIND("-",G15)),DATE(VALUE(LEFT(G15,4)),VALUE(MID(G15,6,2)),VALUE(RIGHT(G15,2))),IF(ISNUMBER(FIND(".",G15)),DATE(VALUE(RIGHT(G15,4)),VALUE(MID(G15,4,2)),VALUE(LEFT(G15,2))),DATE(VALUE(RIGHT(G15,4)),VLOOKUP(TRIM(MID(G15,FIND(" ",G15)+1,LEN(G15)-FIND(" ",G15)-5)),Справочники!$M$3:$N$14,2,0),VALUE(LEFT(G15,FIND(" ",G15)-1))))),"")</f>
        <v>44696</v>
      </c>
      <c r="M15" t="str">
        <f t="shared" si="188"/>
        <v xml:space="preserve">+7 (903) 012-34-56</v>
      </c>
      <c r="N15" t="str">
        <f t="shared" si="189"/>
        <v>nikolaev@yandex</v>
      </c>
      <c r="O15" t="str">
        <f t="shared" si="190"/>
        <v xml:space="preserve">Ошибка Email</v>
      </c>
      <c r="P15" t="str">
        <f>IFERROR(VLOOKUP(TRIM(SUBSTITUTE(SUBSTITUTE(" "&amp;F15," г "," "),"г.","")),Справочники!$J$3:$K$102,2,0),TRIM(SUBSTITUTE(SUBSTITUTE(" "&amp;F15," г "," "),"г.","")))</f>
        <v>Волгоград</v>
      </c>
    </row>
    <row r="16">
      <c r="A16" s="3" t="s">
        <v>1963</v>
      </c>
      <c r="B16" s="3" t="s">
        <v>4032</v>
      </c>
      <c r="C16" s="3" t="s">
        <v>4033</v>
      </c>
      <c r="D16" s="3" t="s">
        <v>4034</v>
      </c>
      <c r="E16" s="3" t="s">
        <v>4035</v>
      </c>
      <c r="F16" s="3" t="s">
        <v>4036</v>
      </c>
      <c r="G16" s="3" t="s">
        <v>4037</v>
      </c>
      <c r="H16" t="str">
        <f t="shared" si="185"/>
        <v xml:space="preserve">Григорьева Наталья Юрьевна</v>
      </c>
      <c r="I16" s="5">
        <f>IFERROR(IF(ISNUMBER(FIND("-",C16)),DATE(VALUE(LEFT(C16,4)),VALUE(MID(C16,6,2)),VALUE(RIGHT(C16,2))),IF(ISNUMBER(FIND(".",C16)),DATE(VALUE(RIGHT(C16,4)),VALUE(MID(C16,4,2)),VALUE(LEFT(C16,2))),DATE(VALUE(RIGHT(C16,4)),VLOOKUP(TRIM(MID(C16,FIND(" ",C16)+1,LEN(C16)-FIND(" ",C16)-5)),Справочники!$M$3:$N$14,2,0),VALUE(LEFT(C16,FIND(" ",C16)-1))))),"")</f>
        <v>34468</v>
      </c>
      <c r="J16" s="6">
        <f t="shared" si="186"/>
        <v>32</v>
      </c>
      <c r="K16" t="str">
        <f t="shared" si="187"/>
        <v>ОК</v>
      </c>
      <c r="L16" s="5">
        <f>IFERROR(IF(ISNUMBER(FIND("-",G16)),DATE(VALUE(LEFT(G16,4)),VALUE(MID(G16,6,2)),VALUE(RIGHT(G16,2))),IF(ISNUMBER(FIND(".",G16)),DATE(VALUE(RIGHT(G16,4)),VALUE(MID(G16,4,2)),VALUE(LEFT(G16,2))),DATE(VALUE(RIGHT(G16,4)),VLOOKUP(TRIM(MID(G16,FIND(" ",G16)+1,LEN(G16)-FIND(" ",G16)-5)),Справочники!$M$3:$N$14,2,0),VALUE(LEFT(G16,FIND(" ",G16)-1))))),"")</f>
        <v>44696</v>
      </c>
      <c r="M16" t="str">
        <f t="shared" si="188"/>
        <v xml:space="preserve">+7 (903) 123-45-67</v>
      </c>
      <c r="N16" t="str">
        <f t="shared" si="189"/>
        <v>grigorieva@gmail</v>
      </c>
      <c r="O16" t="str">
        <f t="shared" si="190"/>
        <v xml:space="preserve">Ошибка Email</v>
      </c>
      <c r="P16" t="str">
        <f>IFERROR(VLOOKUP(TRIM(SUBSTITUTE(SUBSTITUTE(" "&amp;F16," г "," "),"г.","")),Справочники!$J$3:$K$102,2,0),TRIM(SUBSTITUTE(SUBSTITUTE(" "&amp;F16," г "," "),"г.","")))</f>
        <v>Воронеж</v>
      </c>
    </row>
    <row r="17">
      <c r="A17" s="3" t="s">
        <v>1965</v>
      </c>
      <c r="B17" s="3" t="s">
        <v>4038</v>
      </c>
      <c r="C17" s="3" t="s">
        <v>4039</v>
      </c>
      <c r="D17" s="3" t="s">
        <v>4040</v>
      </c>
      <c r="E17" s="3" t="s">
        <v>4041</v>
      </c>
      <c r="F17" s="3" t="s">
        <v>4042</v>
      </c>
      <c r="G17" s="3" t="s">
        <v>4043</v>
      </c>
      <c r="H17" t="str">
        <f t="shared" si="185"/>
        <v xml:space="preserve">Семенов Константин Денисович</v>
      </c>
      <c r="I17" s="5">
        <f>IFERROR(IF(ISNUMBER(FIND("-",C17)),DATE(VALUE(LEFT(C17,4)),VALUE(MID(C17,6,2)),VALUE(RIGHT(C17,2))),IF(ISNUMBER(FIND(".",C17)),DATE(VALUE(RIGHT(C17,4)),VALUE(MID(C17,4,2)),VALUE(LEFT(C17,2))),DATE(VALUE(RIGHT(C17,4)),VLOOKUP(TRIM(MID(C17,FIND(" ",C17)+1,LEN(C17)-FIND(" ",C17)-5)),Справочники!$M$3:$N$14,2,0),VALUE(LEFT(C17,FIND(" ",C17)-1))))),"")</f>
        <v>29166</v>
      </c>
      <c r="J17" s="6">
        <f t="shared" si="186"/>
        <v>46</v>
      </c>
      <c r="K17" t="str">
        <f t="shared" si="187"/>
        <v>ОК</v>
      </c>
      <c r="L17" s="5">
        <f>IFERROR(IF(ISNUMBER(FIND("-",G17)),DATE(VALUE(LEFT(G17,4)),VALUE(MID(G17,6,2)),VALUE(RIGHT(G17,2))),IF(ISNUMBER(FIND(".",G17)),DATE(VALUE(RIGHT(G17,4)),VALUE(MID(G17,4,2)),VALUE(LEFT(G17,2))),DATE(VALUE(RIGHT(G17,4)),VLOOKUP(TRIM(MID(G17,FIND(" ",G17)+1,LEN(G17)-FIND(" ",G17)-5)),Справочники!$M$3:$N$14,2,0),VALUE(LEFT(G17,FIND(" ",G17)-1))))),"")</f>
        <v>44713</v>
      </c>
      <c r="M17" t="str">
        <f t="shared" si="188"/>
        <v xml:space="preserve">+7 (903) 123-45-67</v>
      </c>
      <c r="N17" t="str">
        <f t="shared" si="189"/>
        <v>semenov@mail</v>
      </c>
      <c r="O17" t="str">
        <f t="shared" si="190"/>
        <v xml:space="preserve">Ошибка Email</v>
      </c>
      <c r="P17" t="str">
        <f>IFERROR(VLOOKUP(TRIM(SUBSTITUTE(SUBSTITUTE(" "&amp;F17," г "," "),"г.","")),Справочники!$J$3:$K$102,2,0),TRIM(SUBSTITUTE(SUBSTITUTE(" "&amp;F17," г "," "),"г.","")))</f>
        <v>Саратов</v>
      </c>
    </row>
    <row r="18">
      <c r="A18" s="3" t="s">
        <v>1969</v>
      </c>
      <c r="B18" s="3" t="s">
        <v>4044</v>
      </c>
      <c r="C18" s="3" t="s">
        <v>4045</v>
      </c>
      <c r="D18" s="3" t="s">
        <v>1570</v>
      </c>
      <c r="E18" s="3" t="s">
        <v>4046</v>
      </c>
      <c r="F18" s="3" t="s">
        <v>4047</v>
      </c>
      <c r="G18" s="3" t="s">
        <v>4048</v>
      </c>
      <c r="H18" t="str">
        <f t="shared" si="185"/>
        <v xml:space="preserve">Игнатова Мария Петровна</v>
      </c>
      <c r="I18" s="5">
        <f>IFERROR(IF(ISNUMBER(FIND("-",C18)),DATE(VALUE(LEFT(C18,4)),VALUE(MID(C18,6,2)),VALUE(RIGHT(C18,2))),IF(ISNUMBER(FIND(".",C18)),DATE(VALUE(RIGHT(C18,4)),VALUE(MID(C18,4,2)),VALUE(LEFT(C18,2))),DATE(VALUE(RIGHT(C18,4)),VLOOKUP(TRIM(MID(C18,FIND(" ",C18)+1,LEN(C18)-FIND(" ",C18)-5)),Справочники!$M$3:$N$14,2,0),VALUE(LEFT(C18,FIND(" ",C18)-1))))),"")</f>
        <v>31950</v>
      </c>
      <c r="J18" s="6">
        <f t="shared" si="186"/>
        <v>39</v>
      </c>
      <c r="K18" t="str">
        <f t="shared" si="187"/>
        <v>ОК</v>
      </c>
      <c r="L18" s="5">
        <f>IFERROR(IF(ISNUMBER(FIND("-",G18)),DATE(VALUE(LEFT(G18,4)),VALUE(MID(G18,6,2)),VALUE(RIGHT(G18,2))),IF(ISNUMBER(FIND(".",G18)),DATE(VALUE(RIGHT(G18,4)),VALUE(MID(G18,4,2)),VALUE(LEFT(G18,2))),DATE(VALUE(RIGHT(G18,4)),VLOOKUP(TRIM(MID(G18,FIND(" ",G18)+1,LEN(G18)-FIND(" ",G18)-5)),Справочники!$M$3:$N$14,2,0),VALUE(LEFT(G18,FIND(" ",G18)-1))))),"")</f>
        <v>44722</v>
      </c>
      <c r="M18" t="str">
        <f t="shared" si="188"/>
        <v xml:space="preserve">+7 (903) 123-45-67</v>
      </c>
      <c r="N18" t="str">
        <f t="shared" si="189"/>
        <v>ignatova@yandex</v>
      </c>
      <c r="O18" t="str">
        <f t="shared" si="190"/>
        <v xml:space="preserve">Ошибка Email</v>
      </c>
      <c r="P18" t="str">
        <f>IFERROR(VLOOKUP(TRIM(SUBSTITUTE(SUBSTITUTE(" "&amp;F18," г "," "),"г.","")),Справочники!$J$3:$K$102,2,0),TRIM(SUBSTITUTE(SUBSTITUTE(" "&amp;F18," г "," "),"г.","")))</f>
        <v>Тольятти</v>
      </c>
    </row>
    <row r="19">
      <c r="A19" s="3" t="s">
        <v>1972</v>
      </c>
      <c r="B19" s="3" t="s">
        <v>4049</v>
      </c>
      <c r="C19" s="3" t="s">
        <v>4050</v>
      </c>
      <c r="D19" s="3" t="s">
        <v>4051</v>
      </c>
      <c r="E19" s="3" t="s">
        <v>4052</v>
      </c>
      <c r="F19" s="3" t="s">
        <v>4053</v>
      </c>
      <c r="G19" s="3" t="s">
        <v>4054</v>
      </c>
      <c r="H19" t="str">
        <f t="shared" si="185"/>
        <v xml:space="preserve">Поликарпов Василий Олегович</v>
      </c>
      <c r="I19" s="5">
        <f>IFERROR(IF(ISNUMBER(FIND("-",C19)),DATE(VALUE(LEFT(C19,4)),VALUE(MID(C19,6,2)),VALUE(RIGHT(C19,2))),IF(ISNUMBER(FIND(".",C19)),DATE(VALUE(RIGHT(C19,4)),VALUE(MID(C19,4,2)),VALUE(LEFT(C19,2))),DATE(VALUE(RIGHT(C19,4)),VLOOKUP(TRIM(MID(C19,FIND(" ",C19)+1,LEN(C19)-FIND(" ",C19)-5)),Справочники!$M$3:$N$14,2,0),VALUE(LEFT(C19,FIND(" ",C19)-1))))),"")</f>
        <v>35338</v>
      </c>
      <c r="J19" s="6">
        <f t="shared" si="186"/>
        <v>30</v>
      </c>
      <c r="K19" t="str">
        <f t="shared" si="187"/>
        <v>ОК</v>
      </c>
      <c r="L19" s="5">
        <f>IFERROR(IF(ISNUMBER(FIND("-",G19)),DATE(VALUE(LEFT(G19,4)),VALUE(MID(G19,6,2)),VALUE(RIGHT(G19,2))),IF(ISNUMBER(FIND(".",G19)),DATE(VALUE(RIGHT(G19,4)),VALUE(MID(G19,4,2)),VALUE(LEFT(G19,2))),DATE(VALUE(RIGHT(G19,4)),VLOOKUP(TRIM(MID(G19,FIND(" ",G19)+1,LEN(G19)-FIND(" ",G19)-5)),Справочники!$M$3:$N$14,2,0),VALUE(LEFT(G19,FIND(" ",G19)-1))))),"")</f>
        <v>44722</v>
      </c>
      <c r="M19" t="str">
        <f t="shared" si="188"/>
        <v xml:space="preserve">+7 (903) 234-56-78</v>
      </c>
      <c r="N19" t="str">
        <f t="shared" si="189"/>
        <v>polikarpov@gmail</v>
      </c>
      <c r="O19" t="str">
        <f t="shared" si="190"/>
        <v xml:space="preserve">Ошибка Email</v>
      </c>
      <c r="P19" t="str">
        <f>IFERROR(VLOOKUP(TRIM(SUBSTITUTE(SUBSTITUTE(" "&amp;F19," г "," "),"г.","")),Справочники!$J$3:$K$102,2,0),TRIM(SUBSTITUTE(SUBSTITUTE(" "&amp;F19," г "," "),"г.","")))</f>
        <v>Тюмень</v>
      </c>
    </row>
    <row r="20">
      <c r="A20" s="3" t="s">
        <v>1976</v>
      </c>
      <c r="B20" s="3" t="s">
        <v>4055</v>
      </c>
      <c r="C20" s="3" t="s">
        <v>4056</v>
      </c>
      <c r="D20" s="3" t="s">
        <v>4057</v>
      </c>
      <c r="E20" s="3" t="s">
        <v>4058</v>
      </c>
      <c r="F20" s="3" t="s">
        <v>4059</v>
      </c>
      <c r="G20" s="3" t="s">
        <v>4060</v>
      </c>
      <c r="H20" t="str">
        <f t="shared" si="185"/>
        <v xml:space="preserve">Тимофеева Оксана Николаевна</v>
      </c>
      <c r="I20" s="5">
        <f>IFERROR(IF(ISNUMBER(FIND("-",C20)),DATE(VALUE(LEFT(C20,4)),VALUE(MID(C20,6,2)),VALUE(RIGHT(C20,2))),IF(ISNUMBER(FIND(".",C20)),DATE(VALUE(RIGHT(C20,4)),VALUE(MID(C20,4,2)),VALUE(LEFT(C20,2))),DATE(VALUE(RIGHT(C20,4)),VLOOKUP(TRIM(MID(C20,FIND(" ",C20)+1,LEN(C20)-FIND(" ",C20)-5)),Справочники!$M$3:$N$14,2,0),VALUE(LEFT(C20,FIND(" ",C20)-1))))),"")</f>
        <v>27437</v>
      </c>
      <c r="J20" s="6">
        <f t="shared" si="186"/>
        <v>51</v>
      </c>
      <c r="K20" t="str">
        <f t="shared" si="187"/>
        <v>ОК</v>
      </c>
      <c r="L20" s="5">
        <f>IFERROR(IF(ISNUMBER(FIND("-",G20)),DATE(VALUE(LEFT(G20,4)),VALUE(MID(G20,6,2)),VALUE(RIGHT(G20,2))),IF(ISNUMBER(FIND(".",G20)),DATE(VALUE(RIGHT(G20,4)),VALUE(MID(G20,4,2)),VALUE(LEFT(G20,2))),DATE(VALUE(RIGHT(G20,4)),VLOOKUP(TRIM(MID(G20,FIND(" ",G20)+1,LEN(G20)-FIND(" ",G20)-5)),Справочники!$M$3:$N$14,2,0),VALUE(LEFT(G20,FIND(" ",G20)-1))))),"")</f>
        <v>44743</v>
      </c>
      <c r="M20" t="str">
        <f t="shared" si="188"/>
        <v xml:space="preserve">+7 (903) 234-56-78</v>
      </c>
      <c r="N20" t="str">
        <f t="shared" si="189"/>
        <v>timofeeva@mail</v>
      </c>
      <c r="O20" t="str">
        <f t="shared" si="190"/>
        <v xml:space="preserve">Ошибка Email</v>
      </c>
      <c r="P20" t="str">
        <f>IFERROR(VLOOKUP(TRIM(SUBSTITUTE(SUBSTITUTE(" "&amp;F20," г "," "),"г.","")),Справочники!$J$3:$K$102,2,0),TRIM(SUBSTITUTE(SUBSTITUTE(" "&amp;F20," г "," "),"г.","")))</f>
        <v>Ижевск</v>
      </c>
    </row>
    <row r="21">
      <c r="A21" s="3" t="s">
        <v>1979</v>
      </c>
      <c r="B21" s="3" t="s">
        <v>4061</v>
      </c>
      <c r="C21" s="3" t="s">
        <v>4062</v>
      </c>
      <c r="D21" s="3" t="s">
        <v>1712</v>
      </c>
      <c r="E21" s="3" t="s">
        <v>4063</v>
      </c>
      <c r="F21" s="3" t="s">
        <v>4064</v>
      </c>
      <c r="G21" s="3" t="s">
        <v>4065</v>
      </c>
      <c r="H21" t="str">
        <f t="shared" si="185"/>
        <v xml:space="preserve">Яковлев Артем Романович</v>
      </c>
      <c r="I21" s="5">
        <f>IFERROR(IF(ISNUMBER(FIND("-",C21)),DATE(VALUE(LEFT(C21,4)),VALUE(MID(C21,6,2)),VALUE(RIGHT(C21,2))),IF(ISNUMBER(FIND(".",C21)),DATE(VALUE(RIGHT(C21,4)),VALUE(MID(C21,4,2)),VALUE(LEFT(C21,2))),DATE(VALUE(RIGHT(C21,4)),VLOOKUP(TRIM(MID(C21,FIND(" ",C21)+1,LEN(C21)-FIND(" ",C21)-5)),Справочники!$M$3:$N$14,2,0),VALUE(LEFT(C21,FIND(" ",C21)-1))))),"")</f>
        <v>30515</v>
      </c>
      <c r="J21" s="6">
        <f t="shared" si="186"/>
        <v>43</v>
      </c>
      <c r="K21" t="str">
        <f t="shared" si="187"/>
        <v>ОК</v>
      </c>
      <c r="L21" s="5">
        <f>IFERROR(IF(ISNUMBER(FIND("-",G21)),DATE(VALUE(LEFT(G21,4)),VALUE(MID(G21,6,2)),VALUE(RIGHT(G21,2))),IF(ISNUMBER(FIND(".",G21)),DATE(VALUE(RIGHT(G21,4)),VALUE(MID(G21,4,2)),VALUE(LEFT(G21,2))),DATE(VALUE(RIGHT(G21,4)),VLOOKUP(TRIM(MID(G21,FIND(" ",G21)+1,LEN(G21)-FIND(" ",G21)-5)),Справочники!$M$3:$N$14,2,0),VALUE(LEFT(G21,FIND(" ",G21)-1))))),"")</f>
        <v>44757</v>
      </c>
      <c r="M21" t="str">
        <f t="shared" si="188"/>
        <v xml:space="preserve">+7 (903) 234-56-78</v>
      </c>
      <c r="N21" t="str">
        <f t="shared" si="189"/>
        <v>yakovlev@yandex</v>
      </c>
      <c r="O21" t="str">
        <f t="shared" si="190"/>
        <v xml:space="preserve">Ошибка Email</v>
      </c>
      <c r="P21" t="str">
        <f>IFERROR(VLOOKUP(TRIM(SUBSTITUTE(SUBSTITUTE(" "&amp;F21," г "," "),"г.","")),Справочники!$J$3:$K$102,2,0),TRIM(SUBSTITUTE(SUBSTITUTE(" "&amp;F21," г "," "),"г.","")))</f>
        <v>Барнаул</v>
      </c>
    </row>
    <row r="22">
      <c r="A22" s="3" t="s">
        <v>1983</v>
      </c>
      <c r="B22" s="3" t="s">
        <v>4066</v>
      </c>
      <c r="C22" s="3" t="s">
        <v>4067</v>
      </c>
      <c r="D22" s="3" t="s">
        <v>1584</v>
      </c>
      <c r="E22" s="3" t="s">
        <v>4068</v>
      </c>
      <c r="F22" s="3" t="s">
        <v>4069</v>
      </c>
      <c r="G22" s="3" t="s">
        <v>4070</v>
      </c>
      <c r="H22" t="str">
        <f t="shared" si="185"/>
        <v xml:space="preserve">Медведева Кристина Сергеевна</v>
      </c>
      <c r="I22" s="5">
        <f>IFERROR(IF(ISNUMBER(FIND("-",C22)),DATE(VALUE(LEFT(C22,4)),VALUE(MID(C22,6,2)),VALUE(RIGHT(C22,2))),IF(ISNUMBER(FIND(".",C22)),DATE(VALUE(RIGHT(C22,4)),VALUE(MID(C22,4,2)),VALUE(LEFT(C22,2))),DATE(VALUE(RIGHT(C22,4)),VLOOKUP(TRIM(MID(C22,FIND(" ",C22)+1,LEN(C22)-FIND(" ",C22)-5)),Справочники!$M$3:$N$14,2,0),VALUE(LEFT(C22,FIND(" ",C22)-1))))),"")</f>
        <v>33151</v>
      </c>
      <c r="J22" s="6">
        <f t="shared" si="186"/>
        <v>36</v>
      </c>
      <c r="K22" t="str">
        <f t="shared" si="187"/>
        <v>ОК</v>
      </c>
      <c r="L22" s="5">
        <f>IFERROR(IF(ISNUMBER(FIND("-",G22)),DATE(VALUE(LEFT(G22,4)),VALUE(MID(G22,6,2)),VALUE(RIGHT(G22,2))),IF(ISNUMBER(FIND(".",G22)),DATE(VALUE(RIGHT(G22,4)),VALUE(MID(G22,4,2)),VALUE(LEFT(G22,2))),DATE(VALUE(RIGHT(G22,4)),VLOOKUP(TRIM(MID(G22,FIND(" ",G22)+1,LEN(G22)-FIND(" ",G22)-5)),Справочники!$M$3:$N$14,2,0),VALUE(LEFT(G22,FIND(" ",G22)-1))))),"")</f>
        <v>44757</v>
      </c>
      <c r="M22" t="str">
        <f t="shared" si="188"/>
        <v xml:space="preserve">+7 (903) 345-67-89</v>
      </c>
      <c r="N22" t="str">
        <f t="shared" si="189"/>
        <v>medvedeva@gmail</v>
      </c>
      <c r="O22" t="str">
        <f t="shared" si="190"/>
        <v xml:space="preserve">Ошибка Email</v>
      </c>
      <c r="P22" t="str">
        <f>IFERROR(VLOOKUP(TRIM(SUBSTITUTE(SUBSTITUTE(" "&amp;F22," г "," "),"г.","")),Справочники!$J$3:$K$102,2,0),TRIM(SUBSTITUTE(SUBSTITUTE(" "&amp;F22," г "," "),"г.","")))</f>
        <v>Ульяновск</v>
      </c>
    </row>
    <row r="23">
      <c r="A23" s="3" t="s">
        <v>1987</v>
      </c>
      <c r="B23" s="3" t="s">
        <v>4071</v>
      </c>
      <c r="C23" s="3" t="s">
        <v>4072</v>
      </c>
      <c r="D23" s="3" t="s">
        <v>4073</v>
      </c>
      <c r="E23" s="3" t="s">
        <v>4074</v>
      </c>
      <c r="F23" s="3" t="s">
        <v>4075</v>
      </c>
      <c r="G23" s="3" t="s">
        <v>4076</v>
      </c>
      <c r="H23" t="str">
        <f t="shared" si="185"/>
        <v xml:space="preserve">Беляев Григорий Алексеевич</v>
      </c>
      <c r="I23" s="5">
        <f>IFERROR(IF(ISNUMBER(FIND("-",C23)),DATE(VALUE(LEFT(C23,4)),VALUE(MID(C23,6,2)),VALUE(RIGHT(C23,2))),IF(ISNUMBER(FIND(".",C23)),DATE(VALUE(RIGHT(C23,4)),VALUE(MID(C23,4,2)),VALUE(LEFT(C23,2))),DATE(VALUE(RIGHT(C23,4)),VLOOKUP(TRIM(MID(C23,FIND(" ",C23)+1,LEN(C23)-FIND(" ",C23)-5)),Справочники!$M$3:$N$14,2,0),VALUE(LEFT(C23,FIND(" ",C23)-1))))),"")</f>
        <v>26416</v>
      </c>
      <c r="J23" s="6">
        <f t="shared" si="186"/>
        <v>54</v>
      </c>
      <c r="K23" t="str">
        <f t="shared" si="187"/>
        <v>ОК</v>
      </c>
      <c r="L23" s="5">
        <f>IFERROR(IF(ISNUMBER(FIND("-",G23)),DATE(VALUE(LEFT(G23,4)),VALUE(MID(G23,6,2)),VALUE(RIGHT(G23,2))),IF(ISNUMBER(FIND(".",G23)),DATE(VALUE(RIGHT(G23,4)),VALUE(MID(G23,4,2)),VALUE(LEFT(G23,2))),DATE(VALUE(RIGHT(G23,4)),VLOOKUP(TRIM(MID(G23,FIND(" ",G23)+1,LEN(G23)-FIND(" ",G23)-5)),Справочники!$M$3:$N$14,2,0),VALUE(LEFT(G23,FIND(" ",G23)-1))))),"")</f>
        <v>44774</v>
      </c>
      <c r="M23" t="str">
        <f t="shared" si="188"/>
        <v xml:space="preserve">+7 (903) 345-67-89</v>
      </c>
      <c r="N23" t="str">
        <f t="shared" si="189"/>
        <v>belyaev@mail</v>
      </c>
      <c r="O23" t="str">
        <f t="shared" si="190"/>
        <v xml:space="preserve">Ошибка Email</v>
      </c>
      <c r="P23" t="str">
        <f>IFERROR(VLOOKUP(TRIM(SUBSTITUTE(SUBSTITUTE(" "&amp;F23," г "," "),"г.","")),Справочники!$J$3:$K$102,2,0),TRIM(SUBSTITUTE(SUBSTITUTE(" "&amp;F23," г "," "),"г.","")))</f>
        <v>Иркутск</v>
      </c>
    </row>
    <row r="24">
      <c r="A24" s="3" t="s">
        <v>1990</v>
      </c>
      <c r="B24" s="3" t="s">
        <v>4077</v>
      </c>
      <c r="C24" s="3" t="s">
        <v>4078</v>
      </c>
      <c r="D24" s="3" t="s">
        <v>4079</v>
      </c>
      <c r="E24" s="3" t="s">
        <v>4080</v>
      </c>
      <c r="F24" s="3" t="s">
        <v>4081</v>
      </c>
      <c r="G24" s="3" t="s">
        <v>4082</v>
      </c>
      <c r="H24" t="str">
        <f t="shared" si="185"/>
        <v xml:space="preserve">Романова Елизавета Дмитриевна</v>
      </c>
      <c r="I24" s="5">
        <f>IFERROR(IF(ISNUMBER(FIND("-",C24)),DATE(VALUE(LEFT(C24,4)),VALUE(MID(C24,6,2)),VALUE(RIGHT(C24,2))),IF(ISNUMBER(FIND(".",C24)),DATE(VALUE(RIGHT(C24,4)),VALUE(MID(C24,4,2)),VALUE(LEFT(C24,2))),DATE(VALUE(RIGHT(C24,4)),VLOOKUP(TRIM(MID(C24,FIND(" ",C24)+1,LEN(C24)-FIND(" ",C24)-5)),Справочники!$M$3:$N$14,2,0),VALUE(LEFT(C24,FIND(" ",C24)-1))))),"")</f>
        <v>31000</v>
      </c>
      <c r="J24" s="6">
        <f t="shared" si="186"/>
        <v>41</v>
      </c>
      <c r="K24" t="str">
        <f t="shared" si="187"/>
        <v>ОК</v>
      </c>
      <c r="L24" s="5">
        <f>IFERROR(IF(ISNUMBER(FIND("-",G24)),DATE(VALUE(LEFT(G24,4)),VALUE(MID(G24,6,2)),VALUE(RIGHT(G24,2))),IF(ISNUMBER(FIND(".",G24)),DATE(VALUE(RIGHT(G24,4)),VALUE(MID(G24,4,2)),VALUE(LEFT(G24,2))),DATE(VALUE(RIGHT(G24,4)),VLOOKUP(TRIM(MID(G24,FIND(" ",G24)+1,LEN(G24)-FIND(" ",G24)-5)),Справочники!$M$3:$N$14,2,0),VALUE(LEFT(G24,FIND(" ",G24)-1))))),"")</f>
        <v>44783</v>
      </c>
      <c r="M24" t="str">
        <f t="shared" si="188"/>
        <v xml:space="preserve">+7 (903) 345-67-89</v>
      </c>
      <c r="N24" t="str">
        <f t="shared" si="189"/>
        <v>romanova@yandex</v>
      </c>
      <c r="O24" t="str">
        <f t="shared" si="190"/>
        <v xml:space="preserve">Ошибка Email</v>
      </c>
      <c r="P24" t="str">
        <f>IFERROR(VLOOKUP(TRIM(SUBSTITUTE(SUBSTITUTE(" "&amp;F24," г "," "),"г.","")),Справочники!$J$3:$K$102,2,0),TRIM(SUBSTITUTE(SUBSTITUTE(" "&amp;F24," г "," "),"г.","")))</f>
        <v>Хабаровск</v>
      </c>
    </row>
    <row r="25">
      <c r="A25" s="3" t="s">
        <v>1993</v>
      </c>
      <c r="B25" s="3" t="s">
        <v>4083</v>
      </c>
      <c r="C25" s="3" t="s">
        <v>4084</v>
      </c>
      <c r="D25" s="3" t="s">
        <v>4085</v>
      </c>
      <c r="E25" s="3" t="s">
        <v>4086</v>
      </c>
      <c r="F25" s="3" t="s">
        <v>4087</v>
      </c>
      <c r="G25" s="3" t="s">
        <v>4088</v>
      </c>
      <c r="H25" t="str">
        <f t="shared" si="185"/>
        <v xml:space="preserve">Степанов Максим Владимирович</v>
      </c>
      <c r="I25" s="5">
        <f>IFERROR(IF(ISNUMBER(FIND("-",C25)),DATE(VALUE(LEFT(C25,4)),VALUE(MID(C25,6,2)),VALUE(RIGHT(C25,2))),IF(ISNUMBER(FIND(".",C25)),DATE(VALUE(RIGHT(C25,4)),VALUE(MID(C25,4,2)),VALUE(LEFT(C25,2))),DATE(VALUE(RIGHT(C25,4)),VLOOKUP(TRIM(MID(C25,FIND(" ",C25)+1,LEN(C25)-FIND(" ",C25)-5)),Справочники!$M$3:$N$14,2,0),VALUE(LEFT(C25,FIND(" ",C25)-1))))),"")</f>
        <v>33683</v>
      </c>
      <c r="J25" s="6">
        <f t="shared" si="186"/>
        <v>34</v>
      </c>
      <c r="K25" t="str">
        <f t="shared" si="187"/>
        <v>ОК</v>
      </c>
      <c r="L25" s="5">
        <f>IFERROR(IF(ISNUMBER(FIND("-",G25)),DATE(VALUE(LEFT(G25,4)),VALUE(MID(G25,6,2)),VALUE(RIGHT(G25,2))),IF(ISNUMBER(FIND(".",G25)),DATE(VALUE(RIGHT(G25,4)),VALUE(MID(G25,4,2)),VALUE(LEFT(G25,2))),DATE(VALUE(RIGHT(G25,4)),VLOOKUP(TRIM(MID(G25,FIND(" ",G25)+1,LEN(G25)-FIND(" ",G25)-5)),Справочники!$M$3:$N$14,2,0),VALUE(LEFT(G25,FIND(" ",G25)-1))))),"")</f>
        <v>44783</v>
      </c>
      <c r="M25" t="str">
        <f t="shared" si="188"/>
        <v xml:space="preserve">+7 (903) 456-78-90</v>
      </c>
      <c r="N25" t="str">
        <f t="shared" si="189"/>
        <v>stepanov@gmail</v>
      </c>
      <c r="O25" t="str">
        <f t="shared" si="190"/>
        <v xml:space="preserve">Ошибка Email</v>
      </c>
      <c r="P25" t="str">
        <f>IFERROR(VLOOKUP(TRIM(SUBSTITUTE(SUBSTITUTE(" "&amp;F25," г "," "),"г.","")),Справочники!$J$3:$K$102,2,0),TRIM(SUBSTITUTE(SUBSTITUTE(" "&amp;F25," г "," "),"г.","")))</f>
        <v>Ярославль</v>
      </c>
    </row>
    <row r="26">
      <c r="A26" s="3" t="s">
        <v>1996</v>
      </c>
      <c r="B26" s="3" t="s">
        <v>4089</v>
      </c>
      <c r="C26" s="3" t="s">
        <v>4090</v>
      </c>
      <c r="D26" s="3" t="s">
        <v>1591</v>
      </c>
      <c r="E26" s="3" t="s">
        <v>4091</v>
      </c>
      <c r="F26" s="3" t="s">
        <v>4092</v>
      </c>
      <c r="G26" s="3" t="s">
        <v>4093</v>
      </c>
      <c r="H26" t="str">
        <f t="shared" si="185"/>
        <v xml:space="preserve">Алексеева Татьяна Аркадьевна</v>
      </c>
      <c r="I26" s="5">
        <f>IFERROR(IF(ISNUMBER(FIND("-",C26)),DATE(VALUE(LEFT(C26,4)),VALUE(MID(C26,6,2)),VALUE(RIGHT(C26,2))),IF(ISNUMBER(FIND(".",C26)),DATE(VALUE(RIGHT(C26,4)),VALUE(MID(C26,4,2)),VALUE(LEFT(C26,2))),DATE(VALUE(RIGHT(C26,4)),VLOOKUP(TRIM(MID(C26,FIND(" ",C26)+1,LEN(C26)-FIND(" ",C26)-5)),Справочники!$M$3:$N$14,2,0),VALUE(LEFT(C26,FIND(" ",C26)-1))))),"")</f>
        <v>28003</v>
      </c>
      <c r="J26" s="6">
        <f t="shared" si="186"/>
        <v>50</v>
      </c>
      <c r="K26" t="str">
        <f t="shared" si="187"/>
        <v>ОК</v>
      </c>
      <c r="L26" s="5">
        <f>IFERROR(IF(ISNUMBER(FIND("-",G26)),DATE(VALUE(LEFT(G26,4)),VALUE(MID(G26,6,2)),VALUE(RIGHT(G26,2))),IF(ISNUMBER(FIND(".",G26)),DATE(VALUE(RIGHT(G26,4)),VALUE(MID(G26,4,2)),VALUE(LEFT(G26,2))),DATE(VALUE(RIGHT(G26,4)),VLOOKUP(TRIM(MID(G26,FIND(" ",G26)+1,LEN(G26)-FIND(" ",G26)-5)),Справочники!$M$3:$N$14,2,0),VALUE(LEFT(G26,FIND(" ",G26)-1))))),"")</f>
        <v>44805</v>
      </c>
      <c r="M26" t="str">
        <f t="shared" si="188"/>
        <v xml:space="preserve">+7 (903) 456-78-90</v>
      </c>
      <c r="N26" t="str">
        <f t="shared" si="189"/>
        <v>alekseeva@mail</v>
      </c>
      <c r="O26" t="str">
        <f t="shared" si="190"/>
        <v xml:space="preserve">Ошибка Email</v>
      </c>
      <c r="P26" t="str">
        <f>IFERROR(VLOOKUP(TRIM(SUBSTITUTE(SUBSTITUTE(" "&amp;F26," г "," "),"г.","")),Справочники!$J$3:$K$102,2,0),TRIM(SUBSTITUTE(SUBSTITUTE(" "&amp;F26," г "," "),"г.","")))</f>
        <v>Владивосток</v>
      </c>
    </row>
    <row r="27">
      <c r="A27" s="3" t="s">
        <v>1999</v>
      </c>
      <c r="B27" s="3" t="s">
        <v>4094</v>
      </c>
      <c r="C27" s="3" t="s">
        <v>4095</v>
      </c>
      <c r="D27" s="3" t="s">
        <v>1660</v>
      </c>
      <c r="E27" s="3" t="s">
        <v>4096</v>
      </c>
      <c r="F27" s="3" t="s">
        <v>4097</v>
      </c>
      <c r="G27" s="3" t="s">
        <v>4098</v>
      </c>
      <c r="H27" t="str">
        <f t="shared" si="185"/>
        <v xml:space="preserve">Лебедев Николай Павлович</v>
      </c>
      <c r="I27" s="5">
        <f>IFERROR(IF(ISNUMBER(FIND("-",C27)),DATE(VALUE(LEFT(C27,4)),VALUE(MID(C27,6,2)),VALUE(RIGHT(C27,2))),IF(ISNUMBER(FIND(".",C27)),DATE(VALUE(RIGHT(C27,4)),VALUE(MID(C27,4,2)),VALUE(LEFT(C27,2))),DATE(VALUE(RIGHT(C27,4)),VLOOKUP(TRIM(MID(C27,FIND(" ",C27)+1,LEN(C27)-FIND(" ",C27)-5)),Справочники!$M$3:$N$14,2,0),VALUE(LEFT(C27,FIND(" ",C27)-1))))),"")</f>
        <v>29929</v>
      </c>
      <c r="J27" s="6">
        <f t="shared" si="186"/>
        <v>44</v>
      </c>
      <c r="K27" t="str">
        <f t="shared" si="187"/>
        <v>ОК</v>
      </c>
      <c r="L27" s="5">
        <f>IFERROR(IF(ISNUMBER(FIND("-",G27)),DATE(VALUE(LEFT(G27,4)),VALUE(MID(G27,6,2)),VALUE(RIGHT(G27,2))),IF(ISNUMBER(FIND(".",G27)),DATE(VALUE(RIGHT(G27,4)),VALUE(MID(G27,4,2)),VALUE(LEFT(G27,2))),DATE(VALUE(RIGHT(G27,4)),VLOOKUP(TRIM(MID(G27,FIND(" ",G27)+1,LEN(G27)-FIND(" ",G27)-5)),Справочники!$M$3:$N$14,2,0),VALUE(LEFT(G27,FIND(" ",G27)-1))))),"")</f>
        <v>44819</v>
      </c>
      <c r="M27" t="str">
        <f t="shared" si="188"/>
        <v xml:space="preserve">+7 (903) 456-78-90</v>
      </c>
      <c r="N27" t="str">
        <f t="shared" si="189"/>
        <v>lebedev@yandex</v>
      </c>
      <c r="O27" t="str">
        <f t="shared" si="190"/>
        <v xml:space="preserve">Ошибка Email</v>
      </c>
      <c r="P27" t="str">
        <f>IFERROR(VLOOKUP(TRIM(SUBSTITUTE(SUBSTITUTE(" "&amp;F27," г "," "),"г.","")),Справочники!$J$3:$K$102,2,0),TRIM(SUBSTITUTE(SUBSTITUTE(" "&amp;F27," г "," "),"г.","")))</f>
        <v>Махачкала</v>
      </c>
    </row>
    <row r="28">
      <c r="A28" s="3" t="s">
        <v>2003</v>
      </c>
      <c r="B28" s="3" t="s">
        <v>4099</v>
      </c>
      <c r="C28" s="3" t="s">
        <v>4100</v>
      </c>
      <c r="D28" s="3" t="s">
        <v>3984</v>
      </c>
      <c r="E28" s="3" t="s">
        <v>4101</v>
      </c>
      <c r="F28" s="3" t="s">
        <v>4102</v>
      </c>
      <c r="G28" s="3" t="s">
        <v>4103</v>
      </c>
      <c r="H28" t="str">
        <f t="shared" si="185"/>
        <v xml:space="preserve">Козлова Надежда Викторовна</v>
      </c>
      <c r="I28" s="5">
        <f>IFERROR(IF(ISNUMBER(FIND("-",C28)),DATE(VALUE(LEFT(C28,4)),VALUE(MID(C28,6,2)),VALUE(RIGHT(C28,2))),IF(ISNUMBER(FIND(".",C28)),DATE(VALUE(RIGHT(C28,4)),VALUE(MID(C28,4,2)),VALUE(LEFT(C28,2))),DATE(VALUE(RIGHT(C28,4)),VLOOKUP(TRIM(MID(C28,FIND(" ",C28)+1,LEN(C28)-FIND(" ",C28)-5)),Справочники!$M$3:$N$14,2,0),VALUE(LEFT(C28,FIND(" ",C28)-1))))),"")</f>
        <v>32676</v>
      </c>
      <c r="J28" s="6">
        <f t="shared" si="186"/>
        <v>37</v>
      </c>
      <c r="K28" t="str">
        <f t="shared" si="187"/>
        <v>ОК</v>
      </c>
      <c r="L28" s="5">
        <f>IFERROR(IF(ISNUMBER(FIND("-",G28)),DATE(VALUE(LEFT(G28,4)),VALUE(MID(G28,6,2)),VALUE(RIGHT(G28,2))),IF(ISNUMBER(FIND(".",G28)),DATE(VALUE(RIGHT(G28,4)),VALUE(MID(G28,4,2)),VALUE(LEFT(G28,2))),DATE(VALUE(RIGHT(G28,4)),VLOOKUP(TRIM(MID(G28,FIND(" ",G28)+1,LEN(G28)-FIND(" ",G28)-5)),Справочники!$M$3:$N$14,2,0),VALUE(LEFT(G28,FIND(" ",G28)-1))))),"")</f>
        <v>44819</v>
      </c>
      <c r="M28" t="str">
        <f t="shared" si="188"/>
        <v xml:space="preserve">+7 (903) 567-89-01</v>
      </c>
      <c r="N28" t="str">
        <f t="shared" si="189"/>
        <v>kozlova@gmail</v>
      </c>
      <c r="O28" t="str">
        <f t="shared" si="190"/>
        <v xml:space="preserve">Ошибка Email</v>
      </c>
      <c r="P28" t="str">
        <f>IFERROR(VLOOKUP(TRIM(SUBSTITUTE(SUBSTITUTE(" "&amp;F28," г "," "),"г.","")),Справочники!$J$3:$K$102,2,0),TRIM(SUBSTITUTE(SUBSTITUTE(" "&amp;F28," г "," "),"г.","")))</f>
        <v>Томск</v>
      </c>
    </row>
    <row r="29">
      <c r="A29" s="3" t="s">
        <v>2005</v>
      </c>
      <c r="B29" s="3" t="s">
        <v>4104</v>
      </c>
      <c r="C29" s="3" t="s">
        <v>4105</v>
      </c>
      <c r="D29" s="3" t="s">
        <v>3990</v>
      </c>
      <c r="E29" s="3" t="s">
        <v>4106</v>
      </c>
      <c r="F29" s="3" t="s">
        <v>4107</v>
      </c>
      <c r="G29" s="3" t="s">
        <v>4108</v>
      </c>
      <c r="H29" t="str">
        <f t="shared" si="185"/>
        <v xml:space="preserve">Орлов Юрий Александрович</v>
      </c>
      <c r="I29" s="5">
        <f>IFERROR(IF(ISNUMBER(FIND("-",C29)),DATE(VALUE(LEFT(C29,4)),VALUE(MID(C29,6,2)),VALUE(RIGHT(C29,2))),IF(ISNUMBER(FIND(".",C29)),DATE(VALUE(RIGHT(C29,4)),VALUE(MID(C29,4,2)),VALUE(LEFT(C29,2))),DATE(VALUE(RIGHT(C29,4)),VLOOKUP(TRIM(MID(C29,FIND(" ",C29)+1,LEN(C29)-FIND(" ",C29)-5)),Справочники!$M$3:$N$14,2,0),VALUE(LEFT(C29,FIND(" ",C29)-1))))),"")</f>
        <v>28150</v>
      </c>
      <c r="J29" s="6">
        <f t="shared" si="186"/>
        <v>49</v>
      </c>
      <c r="K29" t="str">
        <f t="shared" si="187"/>
        <v>ОК</v>
      </c>
      <c r="L29" s="5">
        <f>IFERROR(IF(ISNUMBER(FIND("-",G29)),DATE(VALUE(LEFT(G29,4)),VALUE(MID(G29,6,2)),VALUE(RIGHT(G29,2))),IF(ISNUMBER(FIND(".",G29)),DATE(VALUE(RIGHT(G29,4)),VALUE(MID(G29,4,2)),VALUE(LEFT(G29,2))),DATE(VALUE(RIGHT(G29,4)),VLOOKUP(TRIM(MID(G29,FIND(" ",G29)+1,LEN(G29)-FIND(" ",G29)-5)),Справочники!$M$3:$N$14,2,0),VALUE(LEFT(G29,FIND(" ",G29)-1))))),"")</f>
        <v>44835</v>
      </c>
      <c r="M29" t="str">
        <f t="shared" si="188"/>
        <v xml:space="preserve">+7 (903) 567-89-01</v>
      </c>
      <c r="N29" t="str">
        <f t="shared" si="189"/>
        <v>orlov@mail</v>
      </c>
      <c r="O29" t="str">
        <f t="shared" si="190"/>
        <v xml:space="preserve">Ошибка Email</v>
      </c>
      <c r="P29" t="str">
        <f>IFERROR(VLOOKUP(TRIM(SUBSTITUTE(SUBSTITUTE(" "&amp;F29," г "," "),"г.","")),Справочники!$J$3:$K$102,2,0),TRIM(SUBSTITUTE(SUBSTITUTE(" "&amp;F29," г "," "),"г.","")))</f>
        <v>Оренбург</v>
      </c>
    </row>
    <row r="30">
      <c r="A30" s="3" t="s">
        <v>2009</v>
      </c>
      <c r="B30" s="3" t="s">
        <v>4109</v>
      </c>
      <c r="C30" s="3" t="s">
        <v>4110</v>
      </c>
      <c r="D30" s="3" t="s">
        <v>1598</v>
      </c>
      <c r="E30" s="3" t="s">
        <v>4111</v>
      </c>
      <c r="F30" s="3" t="s">
        <v>4112</v>
      </c>
      <c r="G30" s="3" t="s">
        <v>4113</v>
      </c>
      <c r="H30" t="str">
        <f t="shared" si="185"/>
        <v xml:space="preserve">Борисов Виталий Игоревич</v>
      </c>
      <c r="I30" s="5">
        <f>IFERROR(IF(ISNUMBER(FIND("-",C30)),DATE(VALUE(LEFT(C30,4)),VALUE(MID(C30,6,2)),VALUE(RIGHT(C30,2))),IF(ISNUMBER(FIND(".",C30)),DATE(VALUE(RIGHT(C30,4)),VALUE(MID(C30,4,2)),VALUE(LEFT(C30,2))),DATE(VALUE(RIGHT(C30,4)),VLOOKUP(TRIM(MID(C30,FIND(" ",C30)+1,LEN(C30)-FIND(" ",C30)-5)),Справочники!$M$3:$N$14,2,0),VALUE(LEFT(C30,FIND(" ",C30)-1))))),"")</f>
        <v>33484</v>
      </c>
      <c r="J30" s="6">
        <f t="shared" si="186"/>
        <v>35</v>
      </c>
      <c r="K30" t="str">
        <f t="shared" si="187"/>
        <v>ОК</v>
      </c>
      <c r="L30" s="5">
        <f>IFERROR(IF(ISNUMBER(FIND("-",G30)),DATE(VALUE(LEFT(G30,4)),VALUE(MID(G30,6,2)),VALUE(RIGHT(G30,2))),IF(ISNUMBER(FIND(".",G30)),DATE(VALUE(RIGHT(G30,4)),VALUE(MID(G30,4,2)),VALUE(LEFT(G30,2))),DATE(VALUE(RIGHT(G30,4)),VLOOKUP(TRIM(MID(G30,FIND(" ",G30)+1,LEN(G30)-FIND(" ",G30)-5)),Справочники!$M$3:$N$14,2,0),VALUE(LEFT(G30,FIND(" ",G30)-1))))),"")</f>
        <v>44844</v>
      </c>
      <c r="M30" t="str">
        <f t="shared" si="188"/>
        <v xml:space="preserve">+7 (903) 567-89-01</v>
      </c>
      <c r="N30" t="str">
        <f t="shared" si="189"/>
        <v>borisov@yandex</v>
      </c>
      <c r="O30" t="str">
        <f t="shared" si="190"/>
        <v xml:space="preserve">Ошибка Email</v>
      </c>
      <c r="P30" t="str">
        <f>IFERROR(VLOOKUP(TRIM(SUBSTITUTE(SUBSTITUTE(" "&amp;F30," г "," "),"г.","")),Справочники!$J$3:$K$102,2,0),TRIM(SUBSTITUTE(SUBSTITUTE(" "&amp;F30," г "," "),"г.","")))</f>
        <v>Кемерово</v>
      </c>
    </row>
    <row r="31">
      <c r="A31" s="3" t="s">
        <v>2012</v>
      </c>
      <c r="B31" s="3" t="s">
        <v>4114</v>
      </c>
      <c r="C31" s="3" t="s">
        <v>4115</v>
      </c>
      <c r="D31" s="3" t="s">
        <v>4116</v>
      </c>
      <c r="E31" s="3" t="s">
        <v>4117</v>
      </c>
      <c r="F31" s="3" t="s">
        <v>4118</v>
      </c>
      <c r="G31" s="3" t="s">
        <v>4119</v>
      </c>
      <c r="H31" t="str">
        <f t="shared" si="185"/>
        <v xml:space="preserve">Фомина Светлана Петровна</v>
      </c>
      <c r="I31" s="5">
        <f>IFERROR(IF(ISNUMBER(FIND("-",C31)),DATE(VALUE(LEFT(C31,4)),VALUE(MID(C31,6,2)),VALUE(RIGHT(C31,2))),IF(ISNUMBER(FIND(".",C31)),DATE(VALUE(RIGHT(C31,4)),VALUE(MID(C31,4,2)),VALUE(LEFT(C31,2))),DATE(VALUE(RIGHT(C31,4)),VLOOKUP(TRIM(MID(C31,FIND(" ",C31)+1,LEN(C31)-FIND(" ",C31)-5)),Справочники!$M$3:$N$14,2,0),VALUE(LEFT(C31,FIND(" ",C31)-1))))),"")</f>
        <v>30516</v>
      </c>
      <c r="J31" s="6">
        <f t="shared" si="186"/>
        <v>43</v>
      </c>
      <c r="K31" t="str">
        <f t="shared" si="187"/>
        <v>ОК</v>
      </c>
      <c r="L31" s="5">
        <f>IFERROR(IF(ISNUMBER(FIND("-",G31)),DATE(VALUE(LEFT(G31,4)),VALUE(MID(G31,6,2)),VALUE(RIGHT(G31,2))),IF(ISNUMBER(FIND(".",G31)),DATE(VALUE(RIGHT(G31,4)),VALUE(MID(G31,4,2)),VALUE(LEFT(G31,2))),DATE(VALUE(RIGHT(G31,4)),VLOOKUP(TRIM(MID(G31,FIND(" ",G31)+1,LEN(G31)-FIND(" ",G31)-5)),Справочники!$M$3:$N$14,2,0),VALUE(LEFT(G31,FIND(" ",G31)-1))))),"")</f>
        <v>44844</v>
      </c>
      <c r="M31" t="str">
        <f t="shared" si="188"/>
        <v xml:space="preserve">+7 (903) 678-90-12</v>
      </c>
      <c r="N31" t="str">
        <f t="shared" si="189"/>
        <v>fomina@gmail</v>
      </c>
      <c r="O31" t="str">
        <f t="shared" si="190"/>
        <v xml:space="preserve">Ошибка Email</v>
      </c>
      <c r="P31" t="str">
        <f>IFERROR(VLOOKUP(TRIM(SUBSTITUTE(SUBSTITUTE(" "&amp;F31," г "," "),"г.","")),Справочники!$J$3:$K$102,2,0),TRIM(SUBSTITUTE(SUBSTITUTE(" "&amp;F31," г "," "),"г.","")))</f>
        <v>Новокузнецк</v>
      </c>
    </row>
    <row r="32">
      <c r="A32" s="3" t="s">
        <v>2015</v>
      </c>
      <c r="B32" s="3" t="s">
        <v>4120</v>
      </c>
      <c r="C32" s="3" t="s">
        <v>4121</v>
      </c>
      <c r="D32" s="3" t="s">
        <v>4122</v>
      </c>
      <c r="E32" s="3" t="s">
        <v>4123</v>
      </c>
      <c r="F32" s="3" t="s">
        <v>4124</v>
      </c>
      <c r="G32" s="3" t="s">
        <v>4125</v>
      </c>
      <c r="H32" t="str">
        <f t="shared" si="185"/>
        <v xml:space="preserve">Крылова Анжелика Сергеевна</v>
      </c>
      <c r="I32" s="5">
        <f>IFERROR(IF(ISNUMBER(FIND("-",C32)),DATE(VALUE(LEFT(C32,4)),VALUE(MID(C32,6,2)),VALUE(RIGHT(C32,2))),IF(ISNUMBER(FIND(".",C32)),DATE(VALUE(RIGHT(C32,4)),VALUE(MID(C32,4,2)),VALUE(LEFT(C32,2))),DATE(VALUE(RIGHT(C32,4)),VLOOKUP(TRIM(MID(C32,FIND(" ",C32)+1,LEN(C32)-FIND(" ",C32)-5)),Справочники!$M$3:$N$14,2,0),VALUE(LEFT(C32,FIND(" ",C32)-1))))),"")</f>
        <v>27339</v>
      </c>
      <c r="J32" s="6">
        <f t="shared" si="186"/>
        <v>51</v>
      </c>
      <c r="K32" t="str">
        <f t="shared" si="187"/>
        <v>ОК</v>
      </c>
      <c r="L32" s="5">
        <f>IFERROR(IF(ISNUMBER(FIND("-",G32)),DATE(VALUE(LEFT(G32,4)),VALUE(MID(G32,6,2)),VALUE(RIGHT(G32,2))),IF(ISNUMBER(FIND(".",G32)),DATE(VALUE(RIGHT(G32,4)),VALUE(MID(G32,4,2)),VALUE(LEFT(G32,2))),DATE(VALUE(RIGHT(G32,4)),VLOOKUP(TRIM(MID(G32,FIND(" ",G32)+1,LEN(G32)-FIND(" ",G32)-5)),Справочники!$M$3:$N$14,2,0),VALUE(LEFT(G32,FIND(" ",G32)-1))))),"")</f>
        <v>44866</v>
      </c>
      <c r="M32" t="str">
        <f t="shared" si="188"/>
        <v xml:space="preserve">+7 (903) 678-90-12</v>
      </c>
      <c r="N32" t="str">
        <f t="shared" si="189"/>
        <v>krylova@mail</v>
      </c>
      <c r="O32" t="str">
        <f t="shared" si="190"/>
        <v xml:space="preserve">Ошибка Email</v>
      </c>
      <c r="P32" t="str">
        <f>IFERROR(VLOOKUP(TRIM(SUBSTITUTE(SUBSTITUTE(" "&amp;F32," г "," "),"г.","")),Справочники!$J$3:$K$102,2,0),TRIM(SUBSTITUTE(SUBSTITUTE(" "&amp;F32," г "," "),"г.","")))</f>
        <v>Рязань</v>
      </c>
    </row>
    <row r="33">
      <c r="A33" s="3" t="s">
        <v>2017</v>
      </c>
      <c r="B33" s="3" t="s">
        <v>4126</v>
      </c>
      <c r="C33" s="3" t="s">
        <v>4127</v>
      </c>
      <c r="D33" s="3" t="s">
        <v>1605</v>
      </c>
      <c r="E33" s="3" t="s">
        <v>4128</v>
      </c>
      <c r="F33" s="3" t="s">
        <v>4129</v>
      </c>
      <c r="G33" s="3" t="s">
        <v>4130</v>
      </c>
      <c r="H33" t="str">
        <f t="shared" si="185"/>
        <v xml:space="preserve">Тихонов Владислав Андреевич</v>
      </c>
      <c r="I33" s="5">
        <f>IFERROR(IF(ISNUMBER(FIND("-",C33)),DATE(VALUE(LEFT(C33,4)),VALUE(MID(C33,6,2)),VALUE(RIGHT(C33,2))),IF(ISNUMBER(FIND(".",C33)),DATE(VALUE(RIGHT(C33,4)),VALUE(MID(C33,4,2)),VALUE(LEFT(C33,2))),DATE(VALUE(RIGHT(C33,4)),VLOOKUP(TRIM(MID(C33,FIND(" ",C33)+1,LEN(C33)-FIND(" ",C33)-5)),Справочники!$M$3:$N$14,2,0),VALUE(LEFT(C33,FIND(" ",C33)-1))))),"")</f>
        <v>34439</v>
      </c>
      <c r="J33" s="6">
        <f t="shared" si="186"/>
        <v>32</v>
      </c>
      <c r="K33" t="str">
        <f t="shared" si="187"/>
        <v>ОК</v>
      </c>
      <c r="L33" s="5">
        <f>IFERROR(IF(ISNUMBER(FIND("-",G33)),DATE(VALUE(LEFT(G33,4)),VALUE(MID(G33,6,2)),VALUE(RIGHT(G33,2))),IF(ISNUMBER(FIND(".",G33)),DATE(VALUE(RIGHT(G33,4)),VALUE(MID(G33,4,2)),VALUE(LEFT(G33,2))),DATE(VALUE(RIGHT(G33,4)),VLOOKUP(TRIM(MID(G33,FIND(" ",G33)+1,LEN(G33)-FIND(" ",G33)-5)),Справочники!$M$3:$N$14,2,0),VALUE(LEFT(G33,FIND(" ",G33)-1))))),"")</f>
        <v>44880</v>
      </c>
      <c r="M33" t="str">
        <f t="shared" si="188"/>
        <v xml:space="preserve">+7 (903) 678-90-12</v>
      </c>
      <c r="N33" t="str">
        <f t="shared" si="189"/>
        <v>tihonov@yandex</v>
      </c>
      <c r="O33" t="str">
        <f t="shared" si="190"/>
        <v xml:space="preserve">Ошибка Email</v>
      </c>
      <c r="P33" t="str">
        <f>IFERROR(VLOOKUP(TRIM(SUBSTITUTE(SUBSTITUTE(" "&amp;F33," г "," "),"г.","")),Справочники!$J$3:$K$102,2,0),TRIM(SUBSTITUTE(SUBSTITUTE(" "&amp;F33," г "," "),"г.","")))</f>
        <v>Астрахань</v>
      </c>
    </row>
    <row r="34">
      <c r="A34" s="3" t="s">
        <v>2021</v>
      </c>
      <c r="B34" s="3" t="s">
        <v>4131</v>
      </c>
      <c r="C34" s="3" t="s">
        <v>4132</v>
      </c>
      <c r="D34" s="3" t="s">
        <v>4001</v>
      </c>
      <c r="E34" s="3" t="s">
        <v>4133</v>
      </c>
      <c r="F34" s="3" t="s">
        <v>4134</v>
      </c>
      <c r="G34" s="3" t="s">
        <v>4135</v>
      </c>
      <c r="H34" t="str">
        <f t="shared" si="185"/>
        <v xml:space="preserve">Никитина Дарья Владимировна</v>
      </c>
      <c r="I34" s="5">
        <f>IFERROR(IF(ISNUMBER(FIND("-",C34)),DATE(VALUE(LEFT(C34,4)),VALUE(MID(C34,6,2)),VALUE(RIGHT(C34,2))),IF(ISNUMBER(FIND(".",C34)),DATE(VALUE(RIGHT(C34,4)),VALUE(MID(C34,4,2)),VALUE(LEFT(C34,2))),DATE(VALUE(RIGHT(C34,4)),VLOOKUP(TRIM(MID(C34,FIND(" ",C34)+1,LEN(C34)-FIND(" ",C34)-5)),Справочники!$M$3:$N$14,2,0),VALUE(LEFT(C34,FIND(" ",C34)-1))))),"")</f>
        <v>31318</v>
      </c>
      <c r="J34" s="6">
        <f t="shared" si="186"/>
        <v>41</v>
      </c>
      <c r="K34" t="str">
        <f t="shared" si="187"/>
        <v>ОК</v>
      </c>
      <c r="L34" s="5">
        <f>IFERROR(IF(ISNUMBER(FIND("-",G34)),DATE(VALUE(LEFT(G34,4)),VALUE(MID(G34,6,2)),VALUE(RIGHT(G34,2))),IF(ISNUMBER(FIND(".",G34)),DATE(VALUE(RIGHT(G34,4)),VALUE(MID(G34,4,2)),VALUE(LEFT(G34,2))),DATE(VALUE(RIGHT(G34,4)),VLOOKUP(TRIM(MID(G34,FIND(" ",G34)+1,LEN(G34)-FIND(" ",G34)-5)),Справочники!$M$3:$N$14,2,0),VALUE(LEFT(G34,FIND(" ",G34)-1))))),"")</f>
        <v>44880</v>
      </c>
      <c r="M34" t="str">
        <f t="shared" si="188"/>
        <v xml:space="preserve">+7 (903) 789-01-23</v>
      </c>
      <c r="N34" t="str">
        <f t="shared" si="189"/>
        <v>nikitina@gmail</v>
      </c>
      <c r="O34" t="str">
        <f t="shared" si="190"/>
        <v xml:space="preserve">Ошибка Email</v>
      </c>
      <c r="P34" t="str">
        <f>IFERROR(VLOOKUP(TRIM(SUBSTITUTE(SUBSTITUTE(" "&amp;F34," г "," "),"г.","")),Справочники!$J$3:$K$102,2,0),TRIM(SUBSTITUTE(SUBSTITUTE(" "&amp;F34," г "," "),"г.","")))</f>
        <v xml:space="preserve">Набережные Челны</v>
      </c>
    </row>
    <row r="35">
      <c r="A35" s="3" t="s">
        <v>2022</v>
      </c>
      <c r="B35" s="3" t="s">
        <v>4136</v>
      </c>
      <c r="C35" s="3" t="s">
        <v>4137</v>
      </c>
      <c r="D35" s="3" t="s">
        <v>4138</v>
      </c>
      <c r="E35" s="3" t="s">
        <v>4139</v>
      </c>
      <c r="F35" s="3" t="s">
        <v>4140</v>
      </c>
      <c r="G35" s="3" t="s">
        <v>4141</v>
      </c>
      <c r="H35" t="str">
        <f t="shared" si="185"/>
        <v xml:space="preserve">Соболев Арсений Федорович</v>
      </c>
      <c r="I35" s="5">
        <f>IFERROR(IF(ISNUMBER(FIND("-",C35)),DATE(VALUE(LEFT(C35,4)),VALUE(MID(C35,6,2)),VALUE(RIGHT(C35,2))),IF(ISNUMBER(FIND(".",C35)),DATE(VALUE(RIGHT(C35,4)),VALUE(MID(C35,4,2)),VALUE(LEFT(C35,2))),DATE(VALUE(RIGHT(C35,4)),VLOOKUP(TRIM(MID(C35,FIND(" ",C35)+1,LEN(C35)-FIND(" ",C35)-5)),Справочники!$M$3:$N$14,2,0),VALUE(LEFT(C35,FIND(" ",C35)-1))))),"")</f>
        <v>26706</v>
      </c>
      <c r="J35" s="6">
        <f t="shared" si="186"/>
        <v>53</v>
      </c>
      <c r="K35" t="str">
        <f t="shared" si="187"/>
        <v>ОК</v>
      </c>
      <c r="L35" s="5">
        <f>IFERROR(IF(ISNUMBER(FIND("-",G35)),DATE(VALUE(LEFT(G35,4)),VALUE(MID(G35,6,2)),VALUE(RIGHT(G35,2))),IF(ISNUMBER(FIND(".",G35)),DATE(VALUE(RIGHT(G35,4)),VALUE(MID(G35,4,2)),VALUE(LEFT(G35,2))),DATE(VALUE(RIGHT(G35,4)),VLOOKUP(TRIM(MID(G35,FIND(" ",G35)+1,LEN(G35)-FIND(" ",G35)-5)),Справочники!$M$3:$N$14,2,0),VALUE(LEFT(G35,FIND(" ",G35)-1))))),"")</f>
        <v>44896</v>
      </c>
      <c r="M35" t="str">
        <f t="shared" si="188"/>
        <v xml:space="preserve">+7 (903) 789-01-23</v>
      </c>
      <c r="N35" t="str">
        <f t="shared" si="189"/>
        <v>sobolev@mail</v>
      </c>
      <c r="O35" t="str">
        <f t="shared" si="190"/>
        <v xml:space="preserve">Ошибка Email</v>
      </c>
      <c r="P35" t="str">
        <f>IFERROR(VLOOKUP(TRIM(SUBSTITUTE(SUBSTITUTE(" "&amp;F35," г "," "),"г.","")),Справочники!$J$3:$K$102,2,0),TRIM(SUBSTITUTE(SUBSTITUTE(" "&amp;F35," г "," "),"г.","")))</f>
        <v>Липецк</v>
      </c>
    </row>
    <row r="36">
      <c r="A36" s="3" t="s">
        <v>2025</v>
      </c>
      <c r="B36" s="3" t="s">
        <v>4142</v>
      </c>
      <c r="C36" s="3" t="s">
        <v>4143</v>
      </c>
      <c r="D36" s="3" t="s">
        <v>4144</v>
      </c>
      <c r="E36" s="3" t="s">
        <v>4145</v>
      </c>
      <c r="F36" s="3" t="s">
        <v>4146</v>
      </c>
      <c r="G36" s="3" t="s">
        <v>4147</v>
      </c>
      <c r="H36" t="str">
        <f t="shared" si="185"/>
        <v xml:space="preserve">Данилова Ева Александровна</v>
      </c>
      <c r="I36" s="5">
        <f>IFERROR(IF(ISNUMBER(FIND("-",C36)),DATE(VALUE(LEFT(C36,4)),VALUE(MID(C36,6,2)),VALUE(RIGHT(C36,2))),IF(ISNUMBER(FIND(".",C36)),DATE(VALUE(RIGHT(C36,4)),VALUE(MID(C36,4,2)),VALUE(LEFT(C36,2))),DATE(VALUE(RIGHT(C36,4)),VLOOKUP(TRIM(MID(C36,FIND(" ",C36)+1,LEN(C36)-FIND(" ",C36)-5)),Справочники!$M$3:$N$14,2,0),VALUE(LEFT(C36,FIND(" ",C36)-1))))),"")</f>
        <v>32134</v>
      </c>
      <c r="J36" s="6">
        <f t="shared" si="186"/>
        <v>38</v>
      </c>
      <c r="K36" t="str">
        <f t="shared" si="187"/>
        <v>ОК</v>
      </c>
      <c r="L36" s="5">
        <f>IFERROR(IF(ISNUMBER(FIND("-",G36)),DATE(VALUE(LEFT(G36,4)),VALUE(MID(G36,6,2)),VALUE(RIGHT(G36,2))),IF(ISNUMBER(FIND(".",G36)),DATE(VALUE(RIGHT(G36,4)),VALUE(MID(G36,4,2)),VALUE(LEFT(G36,2))),DATE(VALUE(RIGHT(G36,4)),VLOOKUP(TRIM(MID(G36,FIND(" ",G36)+1,LEN(G36)-FIND(" ",G36)-5)),Справочники!$M$3:$N$14,2,0),VALUE(LEFT(G36,FIND(" ",G36)-1))))),"")</f>
        <v>44905</v>
      </c>
      <c r="M36" t="str">
        <f t="shared" si="188"/>
        <v xml:space="preserve">+7 (903) 789-01-23</v>
      </c>
      <c r="N36" t="str">
        <f t="shared" si="189"/>
        <v>danilova@yandex</v>
      </c>
      <c r="O36" t="str">
        <f t="shared" si="190"/>
        <v xml:space="preserve">Ошибка Email</v>
      </c>
      <c r="P36" t="str">
        <f>IFERROR(VLOOKUP(TRIM(SUBSTITUTE(SUBSTITUTE(" "&amp;F36," г "," "),"г.","")),Справочники!$J$3:$K$102,2,0),TRIM(SUBSTITUTE(SUBSTITUTE(" "&amp;F36," г "," "),"г.","")))</f>
        <v>Киров</v>
      </c>
    </row>
    <row r="37">
      <c r="A37" s="3" t="s">
        <v>2026</v>
      </c>
      <c r="B37" s="3" t="s">
        <v>4148</v>
      </c>
      <c r="C37" s="3" t="s">
        <v>4149</v>
      </c>
      <c r="D37" s="3" t="s">
        <v>4150</v>
      </c>
      <c r="E37" s="3" t="s">
        <v>4151</v>
      </c>
      <c r="F37" s="3" t="s">
        <v>4152</v>
      </c>
      <c r="G37" s="3" t="s">
        <v>4153</v>
      </c>
      <c r="H37" t="str">
        <f t="shared" si="185"/>
        <v xml:space="preserve">Гусев Олег Юрьевич</v>
      </c>
      <c r="I37" s="5">
        <f>IFERROR(IF(ISNUMBER(FIND("-",C37)),DATE(VALUE(LEFT(C37,4)),VALUE(MID(C37,6,2)),VALUE(RIGHT(C37,2))),IF(ISNUMBER(FIND(".",C37)),DATE(VALUE(RIGHT(C37,4)),VALUE(MID(C37,4,2)),VALUE(LEFT(C37,2))),DATE(VALUE(RIGHT(C37,4)),VLOOKUP(TRIM(MID(C37,FIND(" ",C37)+1,LEN(C37)-FIND(" ",C37)-5)),Справочники!$M$3:$N$14,2,0),VALUE(LEFT(C37,FIND(" ",C37)-1))))),"")</f>
        <v>33011</v>
      </c>
      <c r="J37" s="6">
        <f t="shared" si="186"/>
        <v>36</v>
      </c>
      <c r="K37" t="str">
        <f t="shared" si="187"/>
        <v>ОК</v>
      </c>
      <c r="L37" s="5">
        <f>IFERROR(IF(ISNUMBER(FIND("-",G37)),DATE(VALUE(LEFT(G37,4)),VALUE(MID(G37,6,2)),VALUE(RIGHT(G37,2))),IF(ISNUMBER(FIND(".",G37)),DATE(VALUE(RIGHT(G37,4)),VALUE(MID(G37,4,2)),VALUE(LEFT(G37,2))),DATE(VALUE(RIGHT(G37,4)),VLOOKUP(TRIM(MID(G37,FIND(" ",G37)+1,LEN(G37)-FIND(" ",G37)-5)),Справочники!$M$3:$N$14,2,0),VALUE(LEFT(G37,FIND(" ",G37)-1))))),"")</f>
        <v>44905</v>
      </c>
      <c r="M37" t="str">
        <f t="shared" si="188"/>
        <v xml:space="preserve">+7 (903) 890-12-34</v>
      </c>
      <c r="N37" t="str">
        <f t="shared" si="189"/>
        <v>gusev@gmail</v>
      </c>
      <c r="O37" t="str">
        <f t="shared" si="190"/>
        <v xml:space="preserve">Ошибка Email</v>
      </c>
      <c r="P37" t="str">
        <f>IFERROR(VLOOKUP(TRIM(SUBSTITUTE(SUBSTITUTE(" "&amp;F37," г "," "),"г.","")),Справочники!$J$3:$K$102,2,0),TRIM(SUBSTITUTE(SUBSTITUTE(" "&amp;F37," г "," "),"г.","")))</f>
        <v>Чебоксары</v>
      </c>
    </row>
    <row r="38">
      <c r="A38" s="3" t="s">
        <v>2029</v>
      </c>
      <c r="B38" s="3" t="s">
        <v>4154</v>
      </c>
      <c r="C38" s="3" t="s">
        <v>4155</v>
      </c>
      <c r="D38" s="3" t="s">
        <v>4007</v>
      </c>
      <c r="E38" s="3" t="s">
        <v>4156</v>
      </c>
      <c r="F38" s="3" t="s">
        <v>4157</v>
      </c>
      <c r="G38" s="3" t="s">
        <v>4158</v>
      </c>
      <c r="H38" t="str">
        <f t="shared" si="185"/>
        <v xml:space="preserve">Колесникова Жанна Игоревна</v>
      </c>
      <c r="I38" s="5">
        <f>IFERROR(IF(ISNUMBER(FIND("-",C38)),DATE(VALUE(LEFT(C38,4)),VALUE(MID(C38,6,2)),VALUE(RIGHT(C38,2))),IF(ISNUMBER(FIND(".",C38)),DATE(VALUE(RIGHT(C38,4)),VALUE(MID(C38,4,2)),VALUE(LEFT(C38,2))),DATE(VALUE(RIGHT(C38,4)),VLOOKUP(TRIM(MID(C38,FIND(" ",C38)+1,LEN(C38)-FIND(" ",C38)-5)),Справочники!$M$3:$N$14,2,0),VALUE(LEFT(C38,FIND(" ",C38)-1))))),"")</f>
        <v>28709</v>
      </c>
      <c r="J38" s="6">
        <f t="shared" si="186"/>
        <v>48</v>
      </c>
      <c r="K38" t="str">
        <f t="shared" si="187"/>
        <v>ОК</v>
      </c>
      <c r="L38" s="5">
        <f>IFERROR(IF(ISNUMBER(FIND("-",G38)),DATE(VALUE(LEFT(G38,4)),VALUE(MID(G38,6,2)),VALUE(RIGHT(G38,2))),IF(ISNUMBER(FIND(".",G38)),DATE(VALUE(RIGHT(G38,4)),VALUE(MID(G38,4,2)),VALUE(LEFT(G38,2))),DATE(VALUE(RIGHT(G38,4)),VLOOKUP(TRIM(MID(G38,FIND(" ",G38)+1,LEN(G38)-FIND(" ",G38)-5)),Справочники!$M$3:$N$14,2,0),VALUE(LEFT(G38,FIND(" ",G38)-1))))),"")</f>
        <v>44927</v>
      </c>
      <c r="M38" t="str">
        <f t="shared" si="188"/>
        <v xml:space="preserve">+7 (903) 890-12-34</v>
      </c>
      <c r="N38" t="str">
        <f t="shared" si="189"/>
        <v>kolesnikova@mail</v>
      </c>
      <c r="O38" t="str">
        <f t="shared" si="190"/>
        <v xml:space="preserve">Ошибка Email</v>
      </c>
      <c r="P38" t="str">
        <f>IFERROR(VLOOKUP(TRIM(SUBSTITUTE(SUBSTITUTE(" "&amp;F38," г "," "),"г.","")),Справочники!$J$3:$K$102,2,0),TRIM(SUBSTITUTE(SUBSTITUTE(" "&amp;F38," г "," "),"г.","")))</f>
        <v>Тверь</v>
      </c>
    </row>
    <row r="39">
      <c r="A39" s="3" t="s">
        <v>2032</v>
      </c>
      <c r="B39" s="3" t="s">
        <v>4159</v>
      </c>
      <c r="C39" s="3" t="s">
        <v>4160</v>
      </c>
      <c r="D39" s="3" t="s">
        <v>1619</v>
      </c>
      <c r="E39" s="3" t="s">
        <v>4161</v>
      </c>
      <c r="F39" s="3" t="s">
        <v>4162</v>
      </c>
      <c r="G39" s="3" t="s">
        <v>4163</v>
      </c>
      <c r="H39" t="str">
        <f t="shared" si="185"/>
        <v xml:space="preserve">Куликов Илья Николаевич</v>
      </c>
      <c r="I39" s="5">
        <f>IFERROR(IF(ISNUMBER(FIND("-",C39)),DATE(VALUE(LEFT(C39,4)),VALUE(MID(C39,6,2)),VALUE(RIGHT(C39,2))),IF(ISNUMBER(FIND(".",C39)),DATE(VALUE(RIGHT(C39,4)),VALUE(MID(C39,4,2)),VALUE(LEFT(C39,2))),DATE(VALUE(RIGHT(C39,4)),VLOOKUP(TRIM(MID(C39,FIND(" ",C39)+1,LEN(C39)-FIND(" ",C39)-5)),Справочники!$M$3:$N$14,2,0),VALUE(LEFT(C39,FIND(" ",C39)-1))))),"")</f>
        <v>29980</v>
      </c>
      <c r="J39" s="6">
        <f t="shared" si="186"/>
        <v>44</v>
      </c>
      <c r="K39" t="str">
        <f t="shared" si="187"/>
        <v>ОК</v>
      </c>
      <c r="L39" s="5">
        <f>IFERROR(IF(ISNUMBER(FIND("-",G39)),DATE(VALUE(LEFT(G39,4)),VALUE(MID(G39,6,2)),VALUE(RIGHT(G39,2))),IF(ISNUMBER(FIND(".",G39)),DATE(VALUE(RIGHT(G39,4)),VALUE(MID(G39,4,2)),VALUE(LEFT(G39,2))),DATE(VALUE(RIGHT(G39,4)),VLOOKUP(TRIM(MID(G39,FIND(" ",G39)+1,LEN(G39)-FIND(" ",G39)-5)),Справочники!$M$3:$N$14,2,0),VALUE(LEFT(G39,FIND(" ",G39)-1))))),"")</f>
        <v>44941</v>
      </c>
      <c r="M39" t="str">
        <f t="shared" si="188"/>
        <v xml:space="preserve">+7 (903) 890-12-34</v>
      </c>
      <c r="N39" t="str">
        <f t="shared" si="189"/>
        <v>kulikov@yandex</v>
      </c>
      <c r="O39" t="str">
        <f t="shared" si="190"/>
        <v xml:space="preserve">Ошибка Email</v>
      </c>
      <c r="P39" t="str">
        <f>IFERROR(VLOOKUP(TRIM(SUBSTITUTE(SUBSTITUTE(" "&amp;F39," г "," "),"г.","")),Справочники!$J$3:$K$102,2,0),TRIM(SUBSTITUTE(SUBSTITUTE(" "&amp;F39," г "," "),"г.","")))</f>
        <v>Краснодар</v>
      </c>
    </row>
    <row r="40">
      <c r="A40" s="3" t="s">
        <v>2034</v>
      </c>
      <c r="B40" s="3" t="s">
        <v>4164</v>
      </c>
      <c r="C40" s="3" t="s">
        <v>4165</v>
      </c>
      <c r="D40" s="3" t="s">
        <v>4018</v>
      </c>
      <c r="E40" s="3" t="s">
        <v>4166</v>
      </c>
      <c r="F40" s="3" t="s">
        <v>4167</v>
      </c>
      <c r="G40" s="3" t="s">
        <v>4168</v>
      </c>
      <c r="H40" t="str">
        <f t="shared" si="185"/>
        <v xml:space="preserve">Большакова Антонина Викторовна</v>
      </c>
      <c r="I40" s="5">
        <f>IFERROR(IF(ISNUMBER(FIND("-",C40)),DATE(VALUE(LEFT(C40,4)),VALUE(MID(C40,6,2)),VALUE(RIGHT(C40,2))),IF(ISNUMBER(FIND(".",C40)),DATE(VALUE(RIGHT(C40,4)),VALUE(MID(C40,4,2)),VALUE(LEFT(C40,2))),DATE(VALUE(RIGHT(C40,4)),VLOOKUP(TRIM(MID(C40,FIND(" ",C40)+1,LEN(C40)-FIND(" ",C40)-5)),Справочники!$M$3:$N$14,2,0),VALUE(LEFT(C40,FIND(" ",C40)-1))))),"")</f>
        <v>34134</v>
      </c>
      <c r="J40" s="6">
        <f t="shared" si="186"/>
        <v>33</v>
      </c>
      <c r="K40" t="str">
        <f t="shared" si="187"/>
        <v>ОК</v>
      </c>
      <c r="L40" s="5">
        <f>IFERROR(IF(ISNUMBER(FIND("-",G40)),DATE(VALUE(LEFT(G40,4)),VALUE(MID(G40,6,2)),VALUE(RIGHT(G40,2))),IF(ISNUMBER(FIND(".",G40)),DATE(VALUE(RIGHT(G40,4)),VALUE(MID(G40,4,2)),VALUE(LEFT(G40,2))),DATE(VALUE(RIGHT(G40,4)),VLOOKUP(TRIM(MID(G40,FIND(" ",G40)+1,LEN(G40)-FIND(" ",G40)-5)),Справочники!$M$3:$N$14,2,0),VALUE(LEFT(G40,FIND(" ",G40)-1))))),"")</f>
        <v>44941</v>
      </c>
      <c r="M40" t="str">
        <f t="shared" si="188"/>
        <v xml:space="preserve">+7 (903) 901-23-45</v>
      </c>
      <c r="N40" t="str">
        <f t="shared" si="189"/>
        <v>bolshakova@gmail</v>
      </c>
      <c r="O40" t="str">
        <f t="shared" si="190"/>
        <v xml:space="preserve">Ошибка Email</v>
      </c>
      <c r="P40" t="str">
        <f>IFERROR(VLOOKUP(TRIM(SUBSTITUTE(SUBSTITUTE(" "&amp;F40," г "," "),"г.","")),Справочники!$J$3:$K$102,2,0),TRIM(SUBSTITUTE(SUBSTITUTE(" "&amp;F40," г "," "),"г.","")))</f>
        <v>Стерлитамак</v>
      </c>
    </row>
    <row r="41">
      <c r="A41" s="3" t="s">
        <v>2036</v>
      </c>
      <c r="B41" s="3" t="s">
        <v>4169</v>
      </c>
      <c r="C41" s="3" t="s">
        <v>4170</v>
      </c>
      <c r="D41" s="3" t="s">
        <v>1626</v>
      </c>
      <c r="E41" s="3" t="s">
        <v>4171</v>
      </c>
      <c r="F41" s="3" t="s">
        <v>4172</v>
      </c>
      <c r="G41" s="3" t="s">
        <v>4173</v>
      </c>
      <c r="H41" t="str">
        <f t="shared" si="185"/>
        <v xml:space="preserve">Савельев Артур Евгеньевич</v>
      </c>
      <c r="I41" s="5">
        <f>IFERROR(IF(ISNUMBER(FIND("-",C41)),DATE(VALUE(LEFT(C41,4)),VALUE(MID(C41,6,2)),VALUE(RIGHT(C41,2))),IF(ISNUMBER(FIND(".",C41)),DATE(VALUE(RIGHT(C41,4)),VALUE(MID(C41,4,2)),VALUE(LEFT(C41,2))),DATE(VALUE(RIGHT(C41,4)),VLOOKUP(TRIM(MID(C41,FIND(" ",C41)+1,LEN(C41)-FIND(" ",C41)-5)),Справочники!$M$3:$N$14,2,0),VALUE(LEFT(C41,FIND(" ",C41)-1))))),"")</f>
        <v>28035</v>
      </c>
      <c r="J41" s="6">
        <f t="shared" si="186"/>
        <v>50</v>
      </c>
      <c r="K41" t="str">
        <f t="shared" si="187"/>
        <v>ОК</v>
      </c>
      <c r="L41" s="5">
        <f>IFERROR(IF(ISNUMBER(FIND("-",G41)),DATE(VALUE(LEFT(G41,4)),VALUE(MID(G41,6,2)),VALUE(RIGHT(G41,2))),IF(ISNUMBER(FIND(".",G41)),DATE(VALUE(RIGHT(G41,4)),VALUE(MID(G41,4,2)),VALUE(LEFT(G41,2))),DATE(VALUE(RIGHT(G41,4)),VLOOKUP(TRIM(MID(G41,FIND(" ",G41)+1,LEN(G41)-FIND(" ",G41)-5)),Справочники!$M$3:$N$14,2,0),VALUE(LEFT(G41,FIND(" ",G41)-1))))),"")</f>
        <v>44958</v>
      </c>
      <c r="M41" t="str">
        <f t="shared" si="188"/>
        <v xml:space="preserve">+7 (903) 901-23-45</v>
      </c>
      <c r="N41" t="str">
        <f t="shared" si="189"/>
        <v>savelev@mail</v>
      </c>
      <c r="O41" t="str">
        <f t="shared" si="190"/>
        <v xml:space="preserve">Ошибка Email</v>
      </c>
      <c r="P41" t="str">
        <f>IFERROR(VLOOKUP(TRIM(SUBSTITUTE(SUBSTITUTE(" "&amp;F41," г "," "),"г.","")),Справочники!$J$3:$K$102,2,0),TRIM(SUBSTITUTE(SUBSTITUTE(" "&amp;F41," г "," "),"г.","")))</f>
        <v>Пенза</v>
      </c>
    </row>
    <row r="42">
      <c r="A42" s="3" t="s">
        <v>2039</v>
      </c>
      <c r="B42" s="3" t="s">
        <v>4174</v>
      </c>
      <c r="C42" s="3" t="s">
        <v>4175</v>
      </c>
      <c r="D42" s="3" t="s">
        <v>4176</v>
      </c>
      <c r="E42" s="3" t="s">
        <v>4177</v>
      </c>
      <c r="F42" s="3" t="s">
        <v>4178</v>
      </c>
      <c r="G42" s="3" t="s">
        <v>4179</v>
      </c>
      <c r="H42" t="str">
        <f t="shared" si="185"/>
        <v xml:space="preserve">Журавлева Полина Ильинична</v>
      </c>
      <c r="I42" s="5">
        <f>IFERROR(IF(ISNUMBER(FIND("-",C42)),DATE(VALUE(LEFT(C42,4)),VALUE(MID(C42,6,2)),VALUE(RIGHT(C42,2))),IF(ISNUMBER(FIND(".",C42)),DATE(VALUE(RIGHT(C42,4)),VALUE(MID(C42,4,2)),VALUE(LEFT(C42,2))),DATE(VALUE(RIGHT(C42,4)),VLOOKUP(TRIM(MID(C42,FIND(" ",C42)+1,LEN(C42)-FIND(" ",C42)-5)),Справочники!$M$3:$N$14,2,0),VALUE(LEFT(C42,FIND(" ",C42)-1))))),"")</f>
        <v>31490</v>
      </c>
      <c r="J42" s="6">
        <f t="shared" si="186"/>
        <v>40</v>
      </c>
      <c r="K42" t="str">
        <f t="shared" si="187"/>
        <v>ОК</v>
      </c>
      <c r="L42" s="5">
        <f>IFERROR(IF(ISNUMBER(FIND("-",G42)),DATE(VALUE(LEFT(G42,4)),VALUE(MID(G42,6,2)),VALUE(RIGHT(G42,2))),IF(ISNUMBER(FIND(".",G42)),DATE(VALUE(RIGHT(G42,4)),VALUE(MID(G42,4,2)),VALUE(LEFT(G42,2))),DATE(VALUE(RIGHT(G42,4)),VLOOKUP(TRIM(MID(G42,FIND(" ",G42)+1,LEN(G42)-FIND(" ",G42)-5)),Справочники!$M$3:$N$14,2,0),VALUE(LEFT(G42,FIND(" ",G42)-1))))),"")</f>
        <v>44967</v>
      </c>
      <c r="M42" t="str">
        <f t="shared" si="188"/>
        <v xml:space="preserve">+7 (903) 901-23-45</v>
      </c>
      <c r="N42" t="str">
        <f t="shared" si="189"/>
        <v>zhuravleva@yandex</v>
      </c>
      <c r="O42" t="str">
        <f t="shared" si="190"/>
        <v xml:space="preserve">Ошибка Email</v>
      </c>
      <c r="P42" t="str">
        <f>IFERROR(VLOOKUP(TRIM(SUBSTITUTE(SUBSTITUTE(" "&amp;F42," г "," "),"г.","")),Справочники!$J$3:$K$102,2,0),TRIM(SUBSTITUTE(SUBSTITUTE(" "&amp;F42," г "," "),"г.","")))</f>
        <v>Находка</v>
      </c>
    </row>
    <row r="43">
      <c r="A43" s="3" t="s">
        <v>2041</v>
      </c>
      <c r="B43" s="3" t="s">
        <v>4180</v>
      </c>
      <c r="C43" s="3" t="s">
        <v>4181</v>
      </c>
      <c r="D43" s="3" t="s">
        <v>4182</v>
      </c>
      <c r="E43" s="3" t="s">
        <v>4183</v>
      </c>
      <c r="F43" s="3" t="s">
        <v>4184</v>
      </c>
      <c r="G43" s="3" t="s">
        <v>4185</v>
      </c>
      <c r="H43" t="str">
        <f t="shared" si="185"/>
        <v xml:space="preserve">Еремин Сергей Владимирович</v>
      </c>
      <c r="I43" s="5">
        <f>IFERROR(IF(ISNUMBER(FIND("-",C43)),DATE(VALUE(LEFT(C43,4)),VALUE(MID(C43,6,2)),VALUE(RIGHT(C43,2))),IF(ISNUMBER(FIND(".",C43)),DATE(VALUE(RIGHT(C43,4)),VALUE(MID(C43,4,2)),VALUE(LEFT(C43,2))),DATE(VALUE(RIGHT(C43,4)),VLOOKUP(TRIM(MID(C43,FIND(" ",C43)+1,LEN(C43)-FIND(" ",C43)-5)),Справочники!$M$3:$N$14,2,0),VALUE(LEFT(C43,FIND(" ",C43)-1))))),"")</f>
        <v>33450</v>
      </c>
      <c r="J43" s="6">
        <f t="shared" si="186"/>
        <v>35</v>
      </c>
      <c r="K43" t="str">
        <f t="shared" si="187"/>
        <v>ОК</v>
      </c>
      <c r="L43" s="5">
        <f>IFERROR(IF(ISNUMBER(FIND("-",G43)),DATE(VALUE(LEFT(G43,4)),VALUE(MID(G43,6,2)),VALUE(RIGHT(G43,2))),IF(ISNUMBER(FIND(".",G43)),DATE(VALUE(RIGHT(G43,4)),VALUE(MID(G43,4,2)),VALUE(LEFT(G43,2))),DATE(VALUE(RIGHT(G43,4)),VLOOKUP(TRIM(MID(G43,FIND(" ",G43)+1,LEN(G43)-FIND(" ",G43)-5)),Справочники!$M$3:$N$14,2,0),VALUE(LEFT(G43,FIND(" ",G43)-1))))),"")</f>
        <v>44967</v>
      </c>
      <c r="M43" t="str">
        <f t="shared" si="188"/>
        <v xml:space="preserve">+7 (903) 012-34-56</v>
      </c>
      <c r="N43" t="str">
        <f t="shared" si="189"/>
        <v>eremin@gmail</v>
      </c>
      <c r="O43" t="str">
        <f t="shared" si="190"/>
        <v xml:space="preserve">Ошибка Email</v>
      </c>
      <c r="P43" t="str">
        <f>IFERROR(VLOOKUP(TRIM(SUBSTITUTE(SUBSTITUTE(" "&amp;F43," г "," "),"г.","")),Справочники!$J$3:$K$102,2,0),TRIM(SUBSTITUTE(SUBSTITUTE(" "&amp;F43," г "," "),"г.","")))</f>
        <v>Магнитогорск</v>
      </c>
    </row>
    <row r="44">
      <c r="A44" s="3" t="s">
        <v>2045</v>
      </c>
      <c r="B44" s="3" t="s">
        <v>4186</v>
      </c>
      <c r="C44" s="3" t="s">
        <v>4187</v>
      </c>
      <c r="D44" s="3" t="s">
        <v>4188</v>
      </c>
      <c r="E44" s="3" t="s">
        <v>4189</v>
      </c>
      <c r="F44" s="3" t="s">
        <v>4190</v>
      </c>
      <c r="G44" s="3" t="s">
        <v>4191</v>
      </c>
      <c r="H44" t="str">
        <f t="shared" si="185"/>
        <v xml:space="preserve">Сергеева Анна Михайловна</v>
      </c>
      <c r="I44" s="5">
        <f>IFERROR(IF(ISNUMBER(FIND("-",C44)),DATE(VALUE(LEFT(C44,4)),VALUE(MID(C44,6,2)),VALUE(RIGHT(C44,2))),IF(ISNUMBER(FIND(".",C44)),DATE(VALUE(RIGHT(C44,4)),VALUE(MID(C44,4,2)),VALUE(LEFT(C44,2))),DATE(VALUE(RIGHT(C44,4)),VLOOKUP(TRIM(MID(C44,FIND(" ",C44)+1,LEN(C44)-FIND(" ",C44)-5)),Справочники!$M$3:$N$14,2,0),VALUE(LEFT(C44,FIND(" ",C44)-1))))),"")</f>
        <v>27710</v>
      </c>
      <c r="J44" s="6">
        <f t="shared" si="186"/>
        <v>50</v>
      </c>
      <c r="K44" t="str">
        <f t="shared" si="187"/>
        <v>ОК</v>
      </c>
      <c r="L44" s="5">
        <f>IFERROR(IF(ISNUMBER(FIND("-",G44)),DATE(VALUE(LEFT(G44,4)),VALUE(MID(G44,6,2)),VALUE(RIGHT(G44,2))),IF(ISNUMBER(FIND(".",G44)),DATE(VALUE(RIGHT(G44,4)),VALUE(MID(G44,4,2)),VALUE(LEFT(G44,2))),DATE(VALUE(RIGHT(G44,4)),VLOOKUP(TRIM(MID(G44,FIND(" ",G44)+1,LEN(G44)-FIND(" ",G44)-5)),Справочники!$M$3:$N$14,2,0),VALUE(LEFT(G44,FIND(" ",G44)-1))))),"")</f>
        <v>44986</v>
      </c>
      <c r="M44" t="str">
        <f t="shared" si="188"/>
        <v xml:space="preserve">+7 (903) 012-34-56</v>
      </c>
      <c r="N44" t="str">
        <f t="shared" si="189"/>
        <v>sergeeva@mail</v>
      </c>
      <c r="O44" t="str">
        <f t="shared" si="190"/>
        <v xml:space="preserve">Ошибка Email</v>
      </c>
      <c r="P44" t="str">
        <f>IFERROR(VLOOKUP(TRIM(SUBSTITUTE(SUBSTITUTE(" "&amp;F44," г "," "),"г.","")),Справочники!$J$3:$K$102,2,0),TRIM(SUBSTITUTE(SUBSTITUTE(" "&amp;F44," г "," "),"г.","")))</f>
        <v>Курск</v>
      </c>
    </row>
    <row r="45">
      <c r="A45" s="3" t="s">
        <v>2047</v>
      </c>
      <c r="B45" s="3" t="s">
        <v>4192</v>
      </c>
      <c r="C45" s="3" t="s">
        <v>4193</v>
      </c>
      <c r="D45" s="3" t="s">
        <v>1633</v>
      </c>
      <c r="E45" s="3" t="s">
        <v>4194</v>
      </c>
      <c r="F45" s="3" t="s">
        <v>4195</v>
      </c>
      <c r="G45" s="3" t="s">
        <v>4196</v>
      </c>
      <c r="H45" t="str">
        <f t="shared" si="185"/>
        <v xml:space="preserve">Карпов Андрей Петрович</v>
      </c>
      <c r="I45" s="5">
        <f>IFERROR(IF(ISNUMBER(FIND("-",C45)),DATE(VALUE(LEFT(C45,4)),VALUE(MID(C45,6,2)),VALUE(RIGHT(C45,2))),IF(ISNUMBER(FIND(".",C45)),DATE(VALUE(RIGHT(C45,4)),VALUE(MID(C45,4,2)),VALUE(LEFT(C45,2))),DATE(VALUE(RIGHT(C45,4)),VLOOKUP(TRIM(MID(C45,FIND(" ",C45)+1,LEN(C45)-FIND(" ",C45)-5)),Справочники!$M$3:$N$14,2,0),VALUE(LEFT(C45,FIND(" ",C45)-1))))),"")</f>
        <v>30411</v>
      </c>
      <c r="J45" s="6">
        <f t="shared" si="186"/>
        <v>43</v>
      </c>
      <c r="K45" t="str">
        <f t="shared" si="187"/>
        <v>ОК</v>
      </c>
      <c r="L45" s="5">
        <f>IFERROR(IF(ISNUMBER(FIND("-",G45)),DATE(VALUE(LEFT(G45,4)),VALUE(MID(G45,6,2)),VALUE(RIGHT(G45,2))),IF(ISNUMBER(FIND(".",G45)),DATE(VALUE(RIGHT(G45,4)),VALUE(MID(G45,4,2)),VALUE(LEFT(G45,2))),DATE(VALUE(RIGHT(G45,4)),VLOOKUP(TRIM(MID(G45,FIND(" ",G45)+1,LEN(G45)-FIND(" ",G45)-5)),Справочники!$M$3:$N$14,2,0),VALUE(LEFT(G45,FIND(" ",G45)-1))))),"")</f>
        <v>45000</v>
      </c>
      <c r="M45" t="str">
        <f t="shared" si="188"/>
        <v xml:space="preserve">+7 (903) 012-34-56</v>
      </c>
      <c r="N45" t="str">
        <f t="shared" si="189"/>
        <v>karpov@yandex</v>
      </c>
      <c r="O45" t="str">
        <f t="shared" si="190"/>
        <v xml:space="preserve">Ошибка Email</v>
      </c>
      <c r="P45" t="str">
        <f>IFERROR(VLOOKUP(TRIM(SUBSTITUTE(SUBSTITUTE(" "&amp;F45," г "," "),"г.","")),Справочники!$J$3:$K$102,2,0),TRIM(SUBSTITUTE(SUBSTITUTE(" "&amp;F45," г "," "),"г.","")))</f>
        <v>Комсомольск-на-Амуре</v>
      </c>
    </row>
    <row r="46">
      <c r="A46" s="3" t="s">
        <v>2051</v>
      </c>
      <c r="B46" s="3" t="s">
        <v>4197</v>
      </c>
      <c r="C46" s="3" t="s">
        <v>4198</v>
      </c>
      <c r="D46" s="3" t="s">
        <v>4034</v>
      </c>
      <c r="E46" s="3" t="s">
        <v>4199</v>
      </c>
      <c r="F46" s="3" t="s">
        <v>4200</v>
      </c>
      <c r="G46" s="3" t="s">
        <v>4201</v>
      </c>
      <c r="H46" t="str">
        <f t="shared" si="185"/>
        <v xml:space="preserve">Киселева Екатерина Евгеньевна</v>
      </c>
      <c r="I46" s="5">
        <f>IFERROR(IF(ISNUMBER(FIND("-",C46)),DATE(VALUE(LEFT(C46,4)),VALUE(MID(C46,6,2)),VALUE(RIGHT(C46,2))),IF(ISNUMBER(FIND(".",C46)),DATE(VALUE(RIGHT(C46,4)),VALUE(MID(C46,4,2)),VALUE(LEFT(C46,2))),DATE(VALUE(RIGHT(C46,4)),VLOOKUP(TRIM(MID(C46,FIND(" ",C46)+1,LEN(C46)-FIND(" ",C46)-5)),Справочники!$M$3:$N$14,2,0),VALUE(LEFT(C46,FIND(" ",C46)-1))))),"")</f>
        <v>32773</v>
      </c>
      <c r="J46" s="6">
        <f t="shared" si="186"/>
        <v>37</v>
      </c>
      <c r="K46" t="str">
        <f t="shared" si="187"/>
        <v>ОК</v>
      </c>
      <c r="L46" s="5">
        <f>IFERROR(IF(ISNUMBER(FIND("-",G46)),DATE(VALUE(LEFT(G46,4)),VALUE(MID(G46,6,2)),VALUE(RIGHT(G46,2))),IF(ISNUMBER(FIND(".",G46)),DATE(VALUE(RIGHT(G46,4)),VALUE(MID(G46,4,2)),VALUE(LEFT(G46,2))),DATE(VALUE(RIGHT(G46,4)),VLOOKUP(TRIM(MID(G46,FIND(" ",G46)+1,LEN(G46)-FIND(" ",G46)-5)),Справочники!$M$3:$N$14,2,0),VALUE(LEFT(G46,FIND(" ",G46)-1))))),"")</f>
        <v>45000</v>
      </c>
      <c r="M46" t="str">
        <f t="shared" si="188"/>
        <v xml:space="preserve">+7 (903) 123-45-67</v>
      </c>
      <c r="N46" t="str">
        <f t="shared" si="189"/>
        <v>kiseleva@gmail</v>
      </c>
      <c r="O46" t="str">
        <f t="shared" si="190"/>
        <v xml:space="preserve">Ошибка Email</v>
      </c>
      <c r="P46" t="str">
        <f>IFERROR(VLOOKUP(TRIM(SUBSTITUTE(SUBSTITUTE(" "&amp;F46," г "," "),"г.","")),Справочники!$J$3:$K$102,2,0),TRIM(SUBSTITUTE(SUBSTITUTE(" "&amp;F46," г "," "),"г.","")))</f>
        <v>Улан-Удэ</v>
      </c>
    </row>
    <row r="47">
      <c r="A47" s="3" t="s">
        <v>2053</v>
      </c>
      <c r="B47" s="3" t="s">
        <v>4202</v>
      </c>
      <c r="C47" s="3" t="s">
        <v>4203</v>
      </c>
      <c r="D47" s="3" t="s">
        <v>4040</v>
      </c>
      <c r="E47" s="3" t="s">
        <v>4204</v>
      </c>
      <c r="F47" s="3" t="s">
        <v>4205</v>
      </c>
      <c r="G47" s="3" t="s">
        <v>4206</v>
      </c>
      <c r="H47" t="str">
        <f t="shared" si="185"/>
        <v xml:space="preserve">Власов Денис Алексеевич</v>
      </c>
      <c r="I47" s="5">
        <f>IFERROR(IF(ISNUMBER(FIND("-",C47)),DATE(VALUE(LEFT(C47,4)),VALUE(MID(C47,6,2)),VALUE(RIGHT(C47,2))),IF(ISNUMBER(FIND(".",C47)),DATE(VALUE(RIGHT(C47,4)),VALUE(MID(C47,4,2)),VALUE(LEFT(C47,2))),DATE(VALUE(RIGHT(C47,4)),VLOOKUP(TRIM(MID(C47,FIND(" ",C47)+1,LEN(C47)-FIND(" ",C47)-5)),Справочники!$M$3:$N$14,2,0),VALUE(LEFT(C47,FIND(" ",C47)-1))))),"")</f>
        <v>28896</v>
      </c>
      <c r="J47" s="6">
        <f t="shared" si="186"/>
        <v>47</v>
      </c>
      <c r="K47" t="str">
        <f t="shared" si="187"/>
        <v>ОК</v>
      </c>
      <c r="L47" s="5">
        <f>IFERROR(IF(ISNUMBER(FIND("-",G47)),DATE(VALUE(LEFT(G47,4)),VALUE(MID(G47,6,2)),VALUE(RIGHT(G47,2))),IF(ISNUMBER(FIND(".",G47)),DATE(VALUE(RIGHT(G47,4)),VALUE(MID(G47,4,2)),VALUE(LEFT(G47,2))),DATE(VALUE(RIGHT(G47,4)),VLOOKUP(TRIM(MID(G47,FIND(" ",G47)+1,LEN(G47)-FIND(" ",G47)-5)),Справочники!$M$3:$N$14,2,0),VALUE(LEFT(G47,FIND(" ",G47)-1))))),"")</f>
        <v>45017</v>
      </c>
      <c r="M47" t="str">
        <f t="shared" si="188"/>
        <v xml:space="preserve">+7 (903) 123-45-67</v>
      </c>
      <c r="N47" t="str">
        <f t="shared" si="189"/>
        <v>vlasov@mail</v>
      </c>
      <c r="O47" t="str">
        <f t="shared" si="190"/>
        <v xml:space="preserve">Ошибка Email</v>
      </c>
      <c r="P47" t="str">
        <f>IFERROR(VLOOKUP(TRIM(SUBSTITUTE(SUBSTITUTE(" "&amp;F47," г "," "),"г.","")),Справочники!$J$3:$K$102,2,0),TRIM(SUBSTITUTE(SUBSTITUTE(" "&amp;F47," г "," "),"г.","")))</f>
        <v>Якутск</v>
      </c>
    </row>
    <row r="48">
      <c r="A48" s="3" t="s">
        <v>2056</v>
      </c>
      <c r="B48" s="3" t="s">
        <v>4207</v>
      </c>
      <c r="C48" s="3" t="s">
        <v>4208</v>
      </c>
      <c r="D48" s="3" t="s">
        <v>1570</v>
      </c>
      <c r="E48" s="3" t="s">
        <v>4209</v>
      </c>
      <c r="F48" s="3" t="s">
        <v>4210</v>
      </c>
      <c r="G48" s="3" t="s">
        <v>4211</v>
      </c>
      <c r="H48" t="str">
        <f t="shared" si="185"/>
        <v xml:space="preserve">Ларионова Елена Валентиновна</v>
      </c>
      <c r="I48" s="5">
        <f>IFERROR(IF(ISNUMBER(FIND("-",C48)),DATE(VALUE(LEFT(C48,4)),VALUE(MID(C48,6,2)),VALUE(RIGHT(C48,2))),IF(ISNUMBER(FIND(".",C48)),DATE(VALUE(RIGHT(C48,4)),VALUE(MID(C48,4,2)),VALUE(LEFT(C48,2))),DATE(VALUE(RIGHT(C48,4)),VLOOKUP(TRIM(MID(C48,FIND(" ",C48)+1,LEN(C48)-FIND(" ",C48)-5)),Справочники!$M$3:$N$14,2,0),VALUE(LEFT(C48,FIND(" ",C48)-1))))),"")</f>
        <v>34512</v>
      </c>
      <c r="J48" s="6">
        <f t="shared" si="186"/>
        <v>32</v>
      </c>
      <c r="K48" t="str">
        <f t="shared" si="187"/>
        <v>ОК</v>
      </c>
      <c r="L48" s="5">
        <f>IFERROR(IF(ISNUMBER(FIND("-",G48)),DATE(VALUE(LEFT(G48,4)),VALUE(MID(G48,6,2)),VALUE(RIGHT(G48,2))),IF(ISNUMBER(FIND(".",G48)),DATE(VALUE(RIGHT(G48,4)),VALUE(MID(G48,4,2)),VALUE(LEFT(G48,2))),DATE(VALUE(RIGHT(G48,4)),VLOOKUP(TRIM(MID(G48,FIND(" ",G48)+1,LEN(G48)-FIND(" ",G48)-5)),Справочники!$M$3:$N$14,2,0),VALUE(LEFT(G48,FIND(" ",G48)-1))))),"")</f>
        <v>45026</v>
      </c>
      <c r="M48" t="str">
        <f t="shared" si="188"/>
        <v xml:space="preserve">+7 (903) 123-45-67</v>
      </c>
      <c r="N48" t="str">
        <f t="shared" si="189"/>
        <v>larionova@yandex</v>
      </c>
      <c r="O48" t="str">
        <f t="shared" si="190"/>
        <v xml:space="preserve">Ошибка Email</v>
      </c>
      <c r="P48" t="str">
        <f>IFERROR(VLOOKUP(TRIM(SUBSTITUTE(SUBSTITUTE(" "&amp;F48," г "," "),"г.","")),Справочники!$J$3:$K$102,2,0),TRIM(SUBSTITUTE(SUBSTITUTE(" "&amp;F48," г "," "),"г.","")))</f>
        <v>Череповец</v>
      </c>
    </row>
    <row r="49">
      <c r="A49" s="3" t="s">
        <v>2058</v>
      </c>
      <c r="B49" s="3" t="s">
        <v>4212</v>
      </c>
      <c r="C49" s="3" t="s">
        <v>4213</v>
      </c>
      <c r="D49" s="3" t="s">
        <v>4051</v>
      </c>
      <c r="E49" s="3" t="s">
        <v>4214</v>
      </c>
      <c r="F49" s="3" t="s">
        <v>4215</v>
      </c>
      <c r="G49" s="3" t="s">
        <v>4216</v>
      </c>
      <c r="H49" t="str">
        <f t="shared" si="185"/>
        <v xml:space="preserve">Савин Юрий Михайлович</v>
      </c>
      <c r="I49" s="5">
        <f>IFERROR(IF(ISNUMBER(FIND("-",C49)),DATE(VALUE(LEFT(C49,4)),VALUE(MID(C49,6,2)),VALUE(RIGHT(C49,2))),IF(ISNUMBER(FIND(".",C49)),DATE(VALUE(RIGHT(C49,4)),VALUE(MID(C49,4,2)),VALUE(LEFT(C49,2))),DATE(VALUE(RIGHT(C49,4)),VLOOKUP(TRIM(MID(C49,FIND(" ",C49)+1,LEN(C49)-FIND(" ",C49)-5)),Справочники!$M$3:$N$14,2,0),VALUE(LEFT(C49,FIND(" ",C49)-1))))),"")</f>
        <v>25916</v>
      </c>
      <c r="J49" s="6">
        <f t="shared" si="186"/>
        <v>55</v>
      </c>
      <c r="K49" t="str">
        <f t="shared" si="187"/>
        <v>ОК</v>
      </c>
      <c r="L49" s="5">
        <f>IFERROR(IF(ISNUMBER(FIND("-",G49)),DATE(VALUE(LEFT(G49,4)),VALUE(MID(G49,6,2)),VALUE(RIGHT(G49,2))),IF(ISNUMBER(FIND(".",G49)),DATE(VALUE(RIGHT(G49,4)),VALUE(MID(G49,4,2)),VALUE(LEFT(G49,2))),DATE(VALUE(RIGHT(G49,4)),VLOOKUP(TRIM(MID(G49,FIND(" ",G49)+1,LEN(G49)-FIND(" ",G49)-5)),Справочники!$M$3:$N$14,2,0),VALUE(LEFT(G49,FIND(" ",G49)-1))))),"")</f>
        <v>45026</v>
      </c>
      <c r="M49" t="str">
        <f t="shared" si="188"/>
        <v xml:space="preserve">+7 (903) 234-56-78</v>
      </c>
      <c r="N49" t="str">
        <f t="shared" si="189"/>
        <v>savin@gmail</v>
      </c>
      <c r="O49" t="str">
        <f t="shared" si="190"/>
        <v xml:space="preserve">Ошибка Email</v>
      </c>
      <c r="P49" t="str">
        <f>IFERROR(VLOOKUP(TRIM(SUBSTITUTE(SUBSTITUTE(" "&amp;F49," г "," "),"г.","")),Справочники!$J$3:$K$102,2,0),TRIM(SUBSTITUTE(SUBSTITUTE(" "&amp;F49," г "," "),"г.","")))</f>
        <v>Саранск</v>
      </c>
    </row>
    <row r="50">
      <c r="A50" s="3" t="s">
        <v>2061</v>
      </c>
      <c r="B50" s="3" t="s">
        <v>4217</v>
      </c>
      <c r="C50" s="3" t="s">
        <v>4218</v>
      </c>
      <c r="D50" s="3" t="s">
        <v>4057</v>
      </c>
      <c r="E50" s="3" t="s">
        <v>4219</v>
      </c>
      <c r="F50" s="3" t="s">
        <v>4220</v>
      </c>
      <c r="G50" s="3" t="s">
        <v>4221</v>
      </c>
      <c r="H50" t="str">
        <f t="shared" si="185"/>
        <v xml:space="preserve">Лобанова Ксения Сергеевна</v>
      </c>
      <c r="I50" s="5">
        <f>IFERROR(IF(ISNUMBER(FIND("-",C50)),DATE(VALUE(LEFT(C50,4)),VALUE(MID(C50,6,2)),VALUE(RIGHT(C50,2))),IF(ISNUMBER(FIND(".",C50)),DATE(VALUE(RIGHT(C50,4)),VALUE(MID(C50,4,2)),VALUE(LEFT(C50,2))),DATE(VALUE(RIGHT(C50,4)),VLOOKUP(TRIM(MID(C50,FIND(" ",C50)+1,LEN(C50)-FIND(" ",C50)-5)),Справочники!$M$3:$N$14,2,0),VALUE(LEFT(C50,FIND(" ",C50)-1))))),"")</f>
        <v>30179</v>
      </c>
      <c r="J50" s="6">
        <f t="shared" si="186"/>
        <v>44</v>
      </c>
      <c r="K50" t="str">
        <f t="shared" si="187"/>
        <v>ОК</v>
      </c>
      <c r="L50" s="5">
        <f>IFERROR(IF(ISNUMBER(FIND("-",G50)),DATE(VALUE(LEFT(G50,4)),VALUE(MID(G50,6,2)),VALUE(RIGHT(G50,2))),IF(ISNUMBER(FIND(".",G50)),DATE(VALUE(RIGHT(G50,4)),VALUE(MID(G50,4,2)),VALUE(LEFT(G50,2))),DATE(VALUE(RIGHT(G50,4)),VLOOKUP(TRIM(MID(G50,FIND(" ",G50)+1,LEN(G50)-FIND(" ",G50)-5)),Справочники!$M$3:$N$14,2,0),VALUE(LEFT(G50,FIND(" ",G50)-1))))),"")</f>
        <v>45047</v>
      </c>
      <c r="M50" t="str">
        <f t="shared" si="188"/>
        <v xml:space="preserve">+7 (903) 234-56-78</v>
      </c>
      <c r="N50" t="str">
        <f t="shared" si="189"/>
        <v>lobanova@mail</v>
      </c>
      <c r="O50" t="str">
        <f t="shared" si="190"/>
        <v xml:space="preserve">Ошибка Email</v>
      </c>
      <c r="P50" t="str">
        <f>IFERROR(VLOOKUP(TRIM(SUBSTITUTE(SUBSTITUTE(" "&amp;F50," г "," "),"г.","")),Справочники!$J$3:$K$102,2,0),TRIM(SUBSTITUTE(SUBSTITUTE(" "&amp;F50," г "," "),"г.","")))</f>
        <v>Тула</v>
      </c>
    </row>
    <row r="51">
      <c r="A51" s="3" t="s">
        <v>2063</v>
      </c>
      <c r="B51" s="3" t="s">
        <v>4222</v>
      </c>
      <c r="C51" s="3" t="s">
        <v>4223</v>
      </c>
      <c r="D51" s="3" t="s">
        <v>1712</v>
      </c>
      <c r="E51" s="3" t="s">
        <v>4224</v>
      </c>
      <c r="F51" s="3" t="s">
        <v>4225</v>
      </c>
      <c r="G51" s="3" t="s">
        <v>4226</v>
      </c>
      <c r="H51" t="str">
        <f t="shared" si="185"/>
        <v xml:space="preserve">Макаров Игорь Дмитриевич</v>
      </c>
      <c r="I51" s="5">
        <f>IFERROR(IF(ISNUMBER(FIND("-",C51)),DATE(VALUE(LEFT(C51,4)),VALUE(MID(C51,6,2)),VALUE(RIGHT(C51,2))),IF(ISNUMBER(FIND(".",C51)),DATE(VALUE(RIGHT(C51,4)),VALUE(MID(C51,4,2)),VALUE(LEFT(C51,2))),DATE(VALUE(RIGHT(C51,4)),VLOOKUP(TRIM(MID(C51,FIND(" ",C51)+1,LEN(C51)-FIND(" ",C51)-5)),Справочники!$M$3:$N$14,2,0),VALUE(LEFT(C51,FIND(" ",C51)-1))))),"")</f>
        <v>32896</v>
      </c>
      <c r="J51" s="6">
        <f t="shared" si="186"/>
        <v>36</v>
      </c>
      <c r="K51" t="str">
        <f t="shared" si="187"/>
        <v>ОК</v>
      </c>
      <c r="L51" s="5">
        <f>IFERROR(IF(ISNUMBER(FIND("-",G51)),DATE(VALUE(LEFT(G51,4)),VALUE(MID(G51,6,2)),VALUE(RIGHT(G51,2))),IF(ISNUMBER(FIND(".",G51)),DATE(VALUE(RIGHT(G51,4)),VALUE(MID(G51,4,2)),VALUE(LEFT(G51,2))),DATE(VALUE(RIGHT(G51,4)),VLOOKUP(TRIM(MID(G51,FIND(" ",G51)+1,LEN(G51)-FIND(" ",G51)-5)),Справочники!$M$3:$N$14,2,0),VALUE(LEFT(G51,FIND(" ",G51)-1))))),"")</f>
        <v>45061</v>
      </c>
      <c r="M51" t="str">
        <f t="shared" si="188"/>
        <v xml:space="preserve">+7 (903) 234-56-78</v>
      </c>
      <c r="N51" t="str">
        <f t="shared" si="189"/>
        <v>makarov@yandex</v>
      </c>
      <c r="O51" t="str">
        <f t="shared" si="190"/>
        <v xml:space="preserve">Ошибка Email</v>
      </c>
      <c r="P51" t="str">
        <f>IFERROR(VLOOKUP(TRIM(SUBSTITUTE(SUBSTITUTE(" "&amp;F51," г "," "),"г.","")),Справочники!$J$3:$K$102,2,0),TRIM(SUBSTITUTE(SUBSTITUTE(" "&amp;F51," г "," "),"г.","")))</f>
        <v>Калуга</v>
      </c>
    </row>
    <row r="52">
      <c r="A52" s="3" t="s">
        <v>2066</v>
      </c>
      <c r="B52" s="3" t="s">
        <v>4227</v>
      </c>
      <c r="C52" s="3" t="s">
        <v>4228</v>
      </c>
      <c r="D52" s="3" t="s">
        <v>1584</v>
      </c>
      <c r="E52" s="3" t="s">
        <v>4229</v>
      </c>
      <c r="F52" s="3" t="s">
        <v>4230</v>
      </c>
      <c r="G52" s="3" t="s">
        <v>4231</v>
      </c>
      <c r="H52" t="str">
        <f t="shared" si="185"/>
        <v xml:space="preserve">Спиридонова Ольга Петровна</v>
      </c>
      <c r="I52" s="5">
        <f>IFERROR(IF(ISNUMBER(FIND("-",C52)),DATE(VALUE(LEFT(C52,4)),VALUE(MID(C52,6,2)),VALUE(RIGHT(C52,2))),IF(ISNUMBER(FIND(".",C52)),DATE(VALUE(RIGHT(C52,4)),VALUE(MID(C52,4,2)),VALUE(LEFT(C52,2))),DATE(VALUE(RIGHT(C52,4)),VLOOKUP(TRIM(MID(C52,FIND(" ",C52)+1,LEN(C52)-FIND(" ",C52)-5)),Справочники!$M$3:$N$14,2,0),VALUE(LEFT(C52,FIND(" ",C52)-1))))),"")</f>
        <v>28434</v>
      </c>
      <c r="J52" s="6">
        <f t="shared" si="186"/>
        <v>48</v>
      </c>
      <c r="K52" t="str">
        <f t="shared" si="187"/>
        <v>ОК</v>
      </c>
      <c r="L52" s="5">
        <f>IFERROR(IF(ISNUMBER(FIND("-",G52)),DATE(VALUE(LEFT(G52,4)),VALUE(MID(G52,6,2)),VALUE(RIGHT(G52,2))),IF(ISNUMBER(FIND(".",G52)),DATE(VALUE(RIGHT(G52,4)),VALUE(MID(G52,4,2)),VALUE(LEFT(G52,2))),DATE(VALUE(RIGHT(G52,4)),VLOOKUP(TRIM(MID(G52,FIND(" ",G52)+1,LEN(G52)-FIND(" ",G52)-5)),Справочники!$M$3:$N$14,2,0),VALUE(LEFT(G52,FIND(" ",G52)-1))))),"")</f>
        <v>45061</v>
      </c>
      <c r="M52" t="str">
        <f t="shared" si="188"/>
        <v xml:space="preserve">+7 (903) 345-67-89</v>
      </c>
      <c r="N52" t="str">
        <f t="shared" si="189"/>
        <v>spiridonova@gmail</v>
      </c>
      <c r="O52" t="str">
        <f t="shared" si="190"/>
        <v xml:space="preserve">Ошибка Email</v>
      </c>
      <c r="P52" t="str">
        <f>IFERROR(VLOOKUP(TRIM(SUBSTITUTE(SUBSTITUTE(" "&amp;F52," г "," "),"г.","")),Справочники!$J$3:$K$102,2,0),TRIM(SUBSTITUTE(SUBSTITUTE(" "&amp;F52," г "," "),"г.","")))</f>
        <v>Владикавказ</v>
      </c>
    </row>
    <row r="53">
      <c r="A53" s="3" t="s">
        <v>2068</v>
      </c>
      <c r="B53" s="3" t="s">
        <v>4232</v>
      </c>
      <c r="C53" s="3" t="s">
        <v>4233</v>
      </c>
      <c r="D53" s="3" t="s">
        <v>4073</v>
      </c>
      <c r="E53" s="3" t="s">
        <v>4234</v>
      </c>
      <c r="F53" s="3" t="s">
        <v>4235</v>
      </c>
      <c r="G53" s="3" t="s">
        <v>4236</v>
      </c>
      <c r="H53" t="str">
        <f t="shared" si="185"/>
        <v xml:space="preserve">Абрамова Марина Александровна</v>
      </c>
      <c r="I53" s="5">
        <f>IFERROR(IF(ISNUMBER(FIND("-",C53)),DATE(VALUE(LEFT(C53,4)),VALUE(MID(C53,6,2)),VALUE(RIGHT(C53,2))),IF(ISNUMBER(FIND(".",C53)),DATE(VALUE(RIGHT(C53,4)),VALUE(MID(C53,4,2)),VALUE(LEFT(C53,2))),DATE(VALUE(RIGHT(C53,4)),VLOOKUP(TRIM(MID(C53,FIND(" ",C53)+1,LEN(C53)-FIND(" ",C53)-5)),Справочники!$M$3:$N$14,2,0),VALUE(LEFT(C53,FIND(" ",C53)-1))))),"")</f>
        <v>31257</v>
      </c>
      <c r="J53" s="6">
        <f t="shared" si="186"/>
        <v>41</v>
      </c>
      <c r="K53" t="str">
        <f t="shared" si="187"/>
        <v>ОК</v>
      </c>
      <c r="L53" s="5">
        <f>IFERROR(IF(ISNUMBER(FIND("-",G53)),DATE(VALUE(LEFT(G53,4)),VALUE(MID(G53,6,2)),VALUE(RIGHT(G53,2))),IF(ISNUMBER(FIND(".",G53)),DATE(VALUE(RIGHT(G53,4)),VALUE(MID(G53,4,2)),VALUE(LEFT(G53,2))),DATE(VALUE(RIGHT(G53,4)),VLOOKUP(TRIM(MID(G53,FIND(" ",G53)+1,LEN(G53)-FIND(" ",G53)-5)),Справочники!$M$3:$N$14,2,0),VALUE(LEFT(G53,FIND(" ",G53)-1))))),"")</f>
        <v>45078</v>
      </c>
      <c r="M53" t="str">
        <f t="shared" si="188"/>
        <v xml:space="preserve">+7 (903) 345-67-89</v>
      </c>
      <c r="N53" t="str">
        <f t="shared" si="189"/>
        <v>abramova@mail</v>
      </c>
      <c r="O53" t="str">
        <f t="shared" si="190"/>
        <v xml:space="preserve">Ошибка Email</v>
      </c>
      <c r="P53" t="str">
        <f>IFERROR(VLOOKUP(TRIM(SUBSTITUTE(SUBSTITUTE(" "&amp;F53," г "," "),"г.","")),Справочники!$J$3:$K$102,2,0),TRIM(SUBSTITUTE(SUBSTITUTE(" "&amp;F53," г "," "),"г.","")))</f>
        <v>Смоленск</v>
      </c>
    </row>
    <row r="54">
      <c r="A54" s="3" t="s">
        <v>2070</v>
      </c>
      <c r="B54" s="3" t="s">
        <v>4237</v>
      </c>
      <c r="C54" s="3" t="s">
        <v>4238</v>
      </c>
      <c r="D54" s="3" t="s">
        <v>4079</v>
      </c>
      <c r="E54" s="3" t="s">
        <v>4239</v>
      </c>
      <c r="F54" s="3" t="s">
        <v>4240</v>
      </c>
      <c r="G54" s="3" t="s">
        <v>4241</v>
      </c>
      <c r="H54" t="str">
        <f t="shared" si="185"/>
        <v xml:space="preserve">Богданов Павел Николаевич</v>
      </c>
      <c r="I54" s="5">
        <f>IFERROR(IF(ISNUMBER(FIND("-",C54)),DATE(VALUE(LEFT(C54,4)),VALUE(MID(C54,6,2)),VALUE(RIGHT(C54,2))),IF(ISNUMBER(FIND(".",C54)),DATE(VALUE(RIGHT(C54,4)),VALUE(MID(C54,4,2)),VALUE(LEFT(C54,2))),DATE(VALUE(RIGHT(C54,4)),VLOOKUP(TRIM(MID(C54,FIND(" ",C54)+1,LEN(C54)-FIND(" ",C54)-5)),Справочники!$M$3:$N$14,2,0),VALUE(LEFT(C54,FIND(" ",C54)-1))))),"")</f>
        <v>33681</v>
      </c>
      <c r="J54" s="6">
        <f t="shared" si="186"/>
        <v>34</v>
      </c>
      <c r="K54" t="str">
        <f t="shared" si="187"/>
        <v>ОК</v>
      </c>
      <c r="L54" s="5">
        <f>IFERROR(IF(ISNUMBER(FIND("-",G54)),DATE(VALUE(LEFT(G54,4)),VALUE(MID(G54,6,2)),VALUE(RIGHT(G54,2))),IF(ISNUMBER(FIND(".",G54)),DATE(VALUE(RIGHT(G54,4)),VALUE(MID(G54,4,2)),VALUE(LEFT(G54,2))),DATE(VALUE(RIGHT(G54,4)),VLOOKUP(TRIM(MID(G54,FIND(" ",G54)+1,LEN(G54)-FIND(" ",G54)-5)),Справочники!$M$3:$N$14,2,0),VALUE(LEFT(G54,FIND(" ",G54)-1))))),"")</f>
        <v>45087</v>
      </c>
      <c r="M54" t="str">
        <f t="shared" si="188"/>
        <v xml:space="preserve">+7 (903) 345-67-89</v>
      </c>
      <c r="N54" t="str">
        <f t="shared" si="189"/>
        <v>bogdanov@yandex</v>
      </c>
      <c r="O54" t="str">
        <f t="shared" si="190"/>
        <v xml:space="preserve">Ошибка Email</v>
      </c>
      <c r="P54" t="str">
        <f>IFERROR(VLOOKUP(TRIM(SUBSTITUTE(SUBSTITUTE(" "&amp;F54," г "," "),"г.","")),Справочники!$J$3:$K$102,2,0),TRIM(SUBSTITUTE(SUBSTITUTE(" "&amp;F54," г "," "),"г.","")))</f>
        <v>Белгород</v>
      </c>
    </row>
    <row r="55">
      <c r="A55" s="3" t="s">
        <v>2072</v>
      </c>
      <c r="B55" s="3" t="s">
        <v>4242</v>
      </c>
      <c r="C55" s="3" t="s">
        <v>4243</v>
      </c>
      <c r="D55" s="3" t="s">
        <v>4085</v>
      </c>
      <c r="E55" s="3" t="s">
        <v>4244</v>
      </c>
      <c r="F55" s="3" t="s">
        <v>4245</v>
      </c>
      <c r="G55" s="3" t="s">
        <v>4246</v>
      </c>
      <c r="H55" t="str">
        <f t="shared" si="185"/>
        <v xml:space="preserve">Комаров Иван Валерьевич</v>
      </c>
      <c r="I55" s="5">
        <f>IFERROR(IF(ISNUMBER(FIND("-",C55)),DATE(VALUE(LEFT(C55,4)),VALUE(MID(C55,6,2)),VALUE(RIGHT(C55,2))),IF(ISNUMBER(FIND(".",C55)),DATE(VALUE(RIGHT(C55,4)),VALUE(MID(C55,4,2)),VALUE(LEFT(C55,2))),DATE(VALUE(RIGHT(C55,4)),VLOOKUP(TRIM(MID(C55,FIND(" ",C55)+1,LEN(C55)-FIND(" ",C55)-5)),Справочники!$M$3:$N$14,2,0),VALUE(LEFT(C55,FIND(" ",C55)-1))))),"")</f>
        <v>32056</v>
      </c>
      <c r="J55" s="6">
        <f t="shared" si="186"/>
        <v>39</v>
      </c>
      <c r="K55" t="str">
        <f t="shared" si="187"/>
        <v>ОК</v>
      </c>
      <c r="L55" s="5">
        <f>IFERROR(IF(ISNUMBER(FIND("-",G55)),DATE(VALUE(LEFT(G55,4)),VALUE(MID(G55,6,2)),VALUE(RIGHT(G55,2))),IF(ISNUMBER(FIND(".",G55)),DATE(VALUE(RIGHT(G55,4)),VALUE(MID(G55,4,2)),VALUE(LEFT(G55,2))),DATE(VALUE(RIGHT(G55,4)),VLOOKUP(TRIM(MID(G55,FIND(" ",G55)+1,LEN(G55)-FIND(" ",G55)-5)),Справочники!$M$3:$N$14,2,0),VALUE(LEFT(G55,FIND(" ",G55)-1))))),"")</f>
        <v>45087</v>
      </c>
      <c r="M55" t="str">
        <f t="shared" si="188"/>
        <v xml:space="preserve">+7 (903) 456-78-90</v>
      </c>
      <c r="N55" t="str">
        <f t="shared" si="189"/>
        <v>komarov@gmail</v>
      </c>
      <c r="O55" t="str">
        <f t="shared" si="190"/>
        <v xml:space="preserve">Ошибка Email</v>
      </c>
      <c r="P55" t="str">
        <f>IFERROR(VLOOKUP(TRIM(SUBSTITUTE(SUBSTITUTE(" "&amp;F55," г "," "),"г.","")),Справочники!$J$3:$K$102,2,0),TRIM(SUBSTITUTE(SUBSTITUTE(" "&amp;F55," г "," "),"г.","")))</f>
        <v>Мурманск</v>
      </c>
    </row>
    <row r="56">
      <c r="A56" s="3" t="s">
        <v>2074</v>
      </c>
      <c r="B56" s="3" t="s">
        <v>4247</v>
      </c>
      <c r="C56" s="3" t="s">
        <v>4248</v>
      </c>
      <c r="D56" s="3" t="s">
        <v>1591</v>
      </c>
      <c r="E56" s="3" t="s">
        <v>4249</v>
      </c>
      <c r="F56" s="3" t="s">
        <v>4250</v>
      </c>
      <c r="G56" s="3" t="s">
        <v>4251</v>
      </c>
      <c r="H56" t="str">
        <f t="shared" si="185"/>
        <v xml:space="preserve">Анисимова Людмила Юрьевна</v>
      </c>
      <c r="I56" s="5">
        <f>IFERROR(IF(ISNUMBER(FIND("-",C56)),DATE(VALUE(LEFT(C56,4)),VALUE(MID(C56,6,2)),VALUE(RIGHT(C56,2))),IF(ISNUMBER(FIND(".",C56)),DATE(VALUE(RIGHT(C56,4)),VALUE(MID(C56,4,2)),VALUE(LEFT(C56,2))),DATE(VALUE(RIGHT(C56,4)),VLOOKUP(TRIM(MID(C56,FIND(" ",C56)+1,LEN(C56)-FIND(" ",C56)-5)),Справочники!$M$3:$N$14,2,0),VALUE(LEFT(C56,FIND(" ",C56)-1))))),"")</f>
        <v>27161</v>
      </c>
      <c r="J56" s="6">
        <f t="shared" si="186"/>
        <v>52</v>
      </c>
      <c r="K56" t="str">
        <f t="shared" si="187"/>
        <v>ОК</v>
      </c>
      <c r="L56" s="5">
        <f>IFERROR(IF(ISNUMBER(FIND("-",G56)),DATE(VALUE(LEFT(G56,4)),VALUE(MID(G56,6,2)),VALUE(RIGHT(G56,2))),IF(ISNUMBER(FIND(".",G56)),DATE(VALUE(RIGHT(G56,4)),VALUE(MID(G56,4,2)),VALUE(LEFT(G56,2))),DATE(VALUE(RIGHT(G56,4)),VLOOKUP(TRIM(MID(G56,FIND(" ",G56)+1,LEN(G56)-FIND(" ",G56)-5)),Справочники!$M$3:$N$14,2,0),VALUE(LEFT(G56,FIND(" ",G56)-1))))),"")</f>
        <v>45108</v>
      </c>
      <c r="M56" t="str">
        <f t="shared" si="188"/>
        <v xml:space="preserve">+7 (903) 456-78-90</v>
      </c>
      <c r="N56" t="str">
        <f t="shared" si="189"/>
        <v>anisimova@mail</v>
      </c>
      <c r="O56" t="str">
        <f t="shared" si="190"/>
        <v xml:space="preserve">Ошибка Email</v>
      </c>
      <c r="P56" t="str">
        <f>IFERROR(VLOOKUP(TRIM(SUBSTITUTE(SUBSTITUTE(" "&amp;F56," г "," "),"г.","")),Справочники!$J$3:$K$102,2,0),TRIM(SUBSTITUTE(SUBSTITUTE(" "&amp;F56," г "," "),"г.","")))</f>
        <v>Ставрополь</v>
      </c>
    </row>
    <row r="57">
      <c r="A57" s="3" t="s">
        <v>2076</v>
      </c>
      <c r="B57" s="3" t="s">
        <v>4252</v>
      </c>
      <c r="C57" s="3" t="s">
        <v>4253</v>
      </c>
      <c r="D57" s="3" t="s">
        <v>1660</v>
      </c>
      <c r="E57" s="3" t="s">
        <v>4254</v>
      </c>
      <c r="F57" s="3" t="s">
        <v>4255</v>
      </c>
      <c r="G57" s="3" t="s">
        <v>4256</v>
      </c>
      <c r="H57" t="str">
        <f t="shared" si="185"/>
        <v xml:space="preserve">Трифонов Алексей Игоревич</v>
      </c>
      <c r="I57" s="5">
        <f>IFERROR(IF(ISNUMBER(FIND("-",C57)),DATE(VALUE(LEFT(C57,4)),VALUE(MID(C57,6,2)),VALUE(RIGHT(C57,2))),IF(ISNUMBER(FIND(".",C57)),DATE(VALUE(RIGHT(C57,4)),VALUE(MID(C57,4,2)),VALUE(LEFT(C57,2))),DATE(VALUE(RIGHT(C57,4)),VLOOKUP(TRIM(MID(C57,FIND(" ",C57)+1,LEN(C57)-FIND(" ",C57)-5)),Справочники!$M$3:$N$14,2,0),VALUE(LEFT(C57,FIND(" ",C57)-1))))),"")</f>
        <v>29585</v>
      </c>
      <c r="J57" s="6">
        <f t="shared" si="186"/>
        <v>45</v>
      </c>
      <c r="K57" t="str">
        <f t="shared" si="187"/>
        <v>ОК</v>
      </c>
      <c r="L57" s="5">
        <f>IFERROR(IF(ISNUMBER(FIND("-",G57)),DATE(VALUE(LEFT(G57,4)),VALUE(MID(G57,6,2)),VALUE(RIGHT(G57,2))),IF(ISNUMBER(FIND(".",G57)),DATE(VALUE(RIGHT(G57,4)),VALUE(MID(G57,4,2)),VALUE(LEFT(G57,2))),DATE(VALUE(RIGHT(G57,4)),VLOOKUP(TRIM(MID(G57,FIND(" ",G57)+1,LEN(G57)-FIND(" ",G57)-5)),Справочники!$M$3:$N$14,2,0),VALUE(LEFT(G57,FIND(" ",G57)-1))))),"")</f>
        <v>45122</v>
      </c>
      <c r="M57" t="str">
        <f t="shared" si="188"/>
        <v xml:space="preserve">+7 (903) 456-78-90</v>
      </c>
      <c r="N57" t="str">
        <f t="shared" si="189"/>
        <v>trifonov@yandex</v>
      </c>
      <c r="O57" t="str">
        <f t="shared" si="190"/>
        <v xml:space="preserve">Ошибка Email</v>
      </c>
      <c r="P57" t="str">
        <f>IFERROR(VLOOKUP(TRIM(SUBSTITUTE(SUBSTITUTE(" "&amp;F57," г "," "),"г.","")),Справочники!$J$3:$K$102,2,0),TRIM(SUBSTITUTE(SUBSTITUTE(" "&amp;F57," г "," "),"г.","")))</f>
        <v>Севастополь</v>
      </c>
    </row>
    <row r="58">
      <c r="A58" s="3" t="s">
        <v>2080</v>
      </c>
      <c r="B58" s="3" t="s">
        <v>4257</v>
      </c>
      <c r="C58" s="3" t="s">
        <v>4258</v>
      </c>
      <c r="D58" s="3" t="s">
        <v>3984</v>
      </c>
      <c r="E58" s="3" t="s">
        <v>4259</v>
      </c>
      <c r="F58" s="3" t="s">
        <v>4260</v>
      </c>
      <c r="G58" s="3" t="s">
        <v>4261</v>
      </c>
      <c r="H58" t="str">
        <f t="shared" si="185"/>
        <v xml:space="preserve">Овсянникова Раиса Петровна</v>
      </c>
      <c r="I58" s="5">
        <f>IFERROR(IF(ISNUMBER(FIND("-",C58)),DATE(VALUE(LEFT(C58,4)),VALUE(MID(C58,6,2)),VALUE(RIGHT(C58,2))),IF(ISNUMBER(FIND(".",C58)),DATE(VALUE(RIGHT(C58,4)),VALUE(MID(C58,4,2)),VALUE(LEFT(C58,2))),DATE(VALUE(RIGHT(C58,4)),VLOOKUP(TRIM(MID(C58,FIND(" ",C58)+1,LEN(C58)-FIND(" ",C58)-5)),Справочники!$M$3:$N$14,2,0),VALUE(LEFT(C58,FIND(" ",C58)-1))))),"")</f>
        <v>31672</v>
      </c>
      <c r="J58" s="6">
        <f t="shared" si="186"/>
        <v>40</v>
      </c>
      <c r="K58" t="str">
        <f t="shared" si="187"/>
        <v>ОК</v>
      </c>
      <c r="L58" s="5">
        <f>IFERROR(IF(ISNUMBER(FIND("-",G58)),DATE(VALUE(LEFT(G58,4)),VALUE(MID(G58,6,2)),VALUE(RIGHT(G58,2))),IF(ISNUMBER(FIND(".",G58)),DATE(VALUE(RIGHT(G58,4)),VALUE(MID(G58,4,2)),VALUE(LEFT(G58,2))),DATE(VALUE(RIGHT(G58,4)),VLOOKUP(TRIM(MID(G58,FIND(" ",G58)+1,LEN(G58)-FIND(" ",G58)-5)),Справочники!$M$3:$N$14,2,0),VALUE(LEFT(G58,FIND(" ",G58)-1))))),"")</f>
        <v>45122</v>
      </c>
      <c r="M58" t="str">
        <f t="shared" si="188"/>
        <v xml:space="preserve">+7 (903) 567-89-01</v>
      </c>
      <c r="N58" t="str">
        <f t="shared" si="189"/>
        <v>ovsyannikova@gmail</v>
      </c>
      <c r="O58" t="str">
        <f t="shared" si="190"/>
        <v xml:space="preserve">Ошибка Email</v>
      </c>
      <c r="P58" t="str">
        <f>IFERROR(VLOOKUP(TRIM(SUBSTITUTE(SUBSTITUTE(" "&amp;F58," г "," "),"г.","")),Справочники!$J$3:$K$102,2,0),TRIM(SUBSTITUTE(SUBSTITUTE(" "&amp;F58," г "," "),"г.","")))</f>
        <v>Сочи</v>
      </c>
    </row>
    <row r="59">
      <c r="A59" s="3" t="s">
        <v>2082</v>
      </c>
      <c r="B59" s="3" t="s">
        <v>4262</v>
      </c>
      <c r="C59" s="3" t="s">
        <v>4263</v>
      </c>
      <c r="D59" s="3" t="s">
        <v>3990</v>
      </c>
      <c r="E59" s="3" t="s">
        <v>4264</v>
      </c>
      <c r="F59" s="3" t="s">
        <v>4265</v>
      </c>
      <c r="G59" s="3" t="s">
        <v>4266</v>
      </c>
      <c r="H59" t="str">
        <f t="shared" si="185"/>
        <v xml:space="preserve">Дементьева Тамара Васильевна</v>
      </c>
      <c r="I59" s="5">
        <f>IFERROR(IF(ISNUMBER(FIND("-",C59)),DATE(VALUE(LEFT(C59,4)),VALUE(MID(C59,6,2)),VALUE(RIGHT(C59,2))),IF(ISNUMBER(FIND(".",C59)),DATE(VALUE(RIGHT(C59,4)),VALUE(MID(C59,4,2)),VALUE(LEFT(C59,2))),DATE(VALUE(RIGHT(C59,4)),VLOOKUP(TRIM(MID(C59,FIND(" ",C59)+1,LEN(C59)-FIND(" ",C59)-5)),Справочники!$M$3:$N$14,2,0),VALUE(LEFT(C59,FIND(" ",C59)-1))))),"")</f>
        <v>25989</v>
      </c>
      <c r="J59" s="6">
        <f t="shared" si="186"/>
        <v>55</v>
      </c>
      <c r="K59" t="str">
        <f t="shared" si="187"/>
        <v>ОК</v>
      </c>
      <c r="L59" s="5">
        <f>IFERROR(IF(ISNUMBER(FIND("-",G59)),DATE(VALUE(LEFT(G59,4)),VALUE(MID(G59,6,2)),VALUE(RIGHT(G59,2))),IF(ISNUMBER(FIND(".",G59)),DATE(VALUE(RIGHT(G59,4)),VALUE(MID(G59,4,2)),VALUE(LEFT(G59,2))),DATE(VALUE(RIGHT(G59,4)),VLOOKUP(TRIM(MID(G59,FIND(" ",G59)+1,LEN(G59)-FIND(" ",G59)-5)),Справочники!$M$3:$N$14,2,0),VALUE(LEFT(G59,FIND(" ",G59)-1))))),"")</f>
        <v>45139</v>
      </c>
      <c r="M59" t="str">
        <f t="shared" si="188"/>
        <v xml:space="preserve">+7 (903) 567-89-01</v>
      </c>
      <c r="N59" t="str">
        <f t="shared" si="189"/>
        <v>dementeva@mail</v>
      </c>
      <c r="O59" t="str">
        <f t="shared" si="190"/>
        <v xml:space="preserve">Ошибка Email</v>
      </c>
      <c r="P59" t="str">
        <f>IFERROR(VLOOKUP(TRIM(SUBSTITUTE(SUBSTITUTE(" "&amp;F59," г "," "),"г.","")),Справочники!$J$3:$K$102,2,0),TRIM(SUBSTITUTE(SUBSTITUTE(" "&amp;F59," г "," "),"г.","")))</f>
        <v>Симферополь</v>
      </c>
    </row>
    <row r="60">
      <c r="A60" s="3" t="s">
        <v>2085</v>
      </c>
      <c r="B60" s="3" t="s">
        <v>4267</v>
      </c>
      <c r="C60" s="3" t="s">
        <v>4268</v>
      </c>
      <c r="D60" s="3" t="s">
        <v>1598</v>
      </c>
      <c r="E60" s="3" t="s">
        <v>4269</v>
      </c>
      <c r="F60" s="3" t="s">
        <v>4270</v>
      </c>
      <c r="G60" s="3" t="s">
        <v>4271</v>
      </c>
      <c r="H60" t="str">
        <f t="shared" si="185"/>
        <v xml:space="preserve">Суханов Станислав Анатольевич</v>
      </c>
      <c r="I60" s="5">
        <f>IFERROR(IF(ISNUMBER(FIND("-",C60)),DATE(VALUE(LEFT(C60,4)),VALUE(MID(C60,6,2)),VALUE(RIGHT(C60,2))),IF(ISNUMBER(FIND(".",C60)),DATE(VALUE(RIGHT(C60,4)),VALUE(MID(C60,4,2)),VALUE(LEFT(C60,2))),DATE(VALUE(RIGHT(C60,4)),VLOOKUP(TRIM(MID(C60,FIND(" ",C60)+1,LEN(C60)-FIND(" ",C60)-5)),Справочники!$M$3:$N$14,2,0),VALUE(LEFT(C60,FIND(" ",C60)-1))))),"")</f>
        <v>34281</v>
      </c>
      <c r="J60" s="6">
        <f t="shared" si="186"/>
        <v>32</v>
      </c>
      <c r="K60" t="str">
        <f t="shared" si="187"/>
        <v>ОК</v>
      </c>
      <c r="L60" s="5">
        <f>IFERROR(IF(ISNUMBER(FIND("-",G60)),DATE(VALUE(LEFT(G60,4)),VALUE(MID(G60,6,2)),VALUE(RIGHT(G60,2))),IF(ISNUMBER(FIND(".",G60)),DATE(VALUE(RIGHT(G60,4)),VALUE(MID(G60,4,2)),VALUE(LEFT(G60,2))),DATE(VALUE(RIGHT(G60,4)),VLOOKUP(TRIM(MID(G60,FIND(" ",G60)+1,LEN(G60)-FIND(" ",G60)-5)),Справочники!$M$3:$N$14,2,0),VALUE(LEFT(G60,FIND(" ",G60)-1))))),"")</f>
        <v>45148</v>
      </c>
      <c r="M60" t="str">
        <f t="shared" si="188"/>
        <v xml:space="preserve">+7 (903) 567-89-01</v>
      </c>
      <c r="N60" t="str">
        <f t="shared" si="189"/>
        <v>suhanov@yandex</v>
      </c>
      <c r="O60" t="str">
        <f t="shared" si="190"/>
        <v xml:space="preserve">Ошибка Email</v>
      </c>
      <c r="P60" t="str">
        <f>IFERROR(VLOOKUP(TRIM(SUBSTITUTE(SUBSTITUTE(" "&amp;F60," г "," "),"г.","")),Справочники!$J$3:$K$102,2,0),TRIM(SUBSTITUTE(SUBSTITUTE(" "&amp;F60," г "," "),"г.","")))</f>
        <v>Брянск</v>
      </c>
    </row>
    <row r="61">
      <c r="A61" s="3" t="s">
        <v>2088</v>
      </c>
      <c r="B61" s="3" t="s">
        <v>4272</v>
      </c>
      <c r="C61" s="3" t="s">
        <v>4273</v>
      </c>
      <c r="D61" s="3" t="s">
        <v>4116</v>
      </c>
      <c r="E61" s="3" t="s">
        <v>4274</v>
      </c>
      <c r="F61" s="3" t="s">
        <v>4275</v>
      </c>
      <c r="G61" s="3" t="s">
        <v>4276</v>
      </c>
      <c r="H61" t="str">
        <f t="shared" si="185"/>
        <v xml:space="preserve">Новикова Алла Станиславовна</v>
      </c>
      <c r="I61" s="5">
        <f>IFERROR(IF(ISNUMBER(FIND("-",C61)),DATE(VALUE(LEFT(C61,4)),VALUE(MID(C61,6,2)),VALUE(RIGHT(C61,2))),IF(ISNUMBER(FIND(".",C61)),DATE(VALUE(RIGHT(C61,4)),VALUE(MID(C61,4,2)),VALUE(LEFT(C61,2))),DATE(VALUE(RIGHT(C61,4)),VLOOKUP(TRIM(MID(C61,FIND(" ",C61)+1,LEN(C61)-FIND(" ",C61)-5)),Справочники!$M$3:$N$14,2,0),VALUE(LEFT(C61,FIND(" ",C61)-1))))),"")</f>
        <v>30877</v>
      </c>
      <c r="J61" s="6">
        <f t="shared" si="186"/>
        <v>42</v>
      </c>
      <c r="K61" t="str">
        <f t="shared" si="187"/>
        <v>ОК</v>
      </c>
      <c r="L61" s="5">
        <f>IFERROR(IF(ISNUMBER(FIND("-",G61)),DATE(VALUE(LEFT(G61,4)),VALUE(MID(G61,6,2)),VALUE(RIGHT(G61,2))),IF(ISNUMBER(FIND(".",G61)),DATE(VALUE(RIGHT(G61,4)),VALUE(MID(G61,4,2)),VALUE(LEFT(G61,2))),DATE(VALUE(RIGHT(G61,4)),VLOOKUP(TRIM(MID(G61,FIND(" ",G61)+1,LEN(G61)-FIND(" ",G61)-5)),Справочники!$M$3:$N$14,2,0),VALUE(LEFT(G61,FIND(" ",G61)-1))))),"")</f>
        <v>45148</v>
      </c>
      <c r="M61" t="str">
        <f t="shared" si="188"/>
        <v xml:space="preserve">+7 (903) 678-90-12</v>
      </c>
      <c r="N61" t="str">
        <f t="shared" si="189"/>
        <v>novikova@gmail</v>
      </c>
      <c r="O61" t="str">
        <f t="shared" si="190"/>
        <v xml:space="preserve">Ошибка Email</v>
      </c>
      <c r="P61" t="str">
        <f>IFERROR(VLOOKUP(TRIM(SUBSTITUTE(SUBSTITUTE(" "&amp;F61," г "," "),"г.","")),Справочники!$J$3:$K$102,2,0),TRIM(SUBSTITUTE(SUBSTITUTE(" "&amp;F61," г "," "),"г.","")))</f>
        <v>Абакан</v>
      </c>
    </row>
    <row r="62">
      <c r="A62" s="3" t="s">
        <v>2091</v>
      </c>
      <c r="B62" s="3" t="s">
        <v>4277</v>
      </c>
      <c r="C62" s="3" t="s">
        <v>4278</v>
      </c>
      <c r="D62" s="3" t="s">
        <v>4122</v>
      </c>
      <c r="E62" s="3" t="s">
        <v>4279</v>
      </c>
      <c r="F62" s="3" t="s">
        <v>4280</v>
      </c>
      <c r="G62" s="3" t="s">
        <v>4281</v>
      </c>
      <c r="H62" t="str">
        <f t="shared" si="185"/>
        <v xml:space="preserve">Калинин Герман Викторович</v>
      </c>
      <c r="I62" s="5">
        <f>IFERROR(IF(ISNUMBER(FIND("-",C62)),DATE(VALUE(LEFT(C62,4)),VALUE(MID(C62,6,2)),VALUE(RIGHT(C62,2))),IF(ISNUMBER(FIND(".",C62)),DATE(VALUE(RIGHT(C62,4)),VALUE(MID(C62,4,2)),VALUE(LEFT(C62,2))),DATE(VALUE(RIGHT(C62,4)),VLOOKUP(TRIM(MID(C62,FIND(" ",C62)+1,LEN(C62)-FIND(" ",C62)-5)),Справочники!$M$3:$N$14,2,0),VALUE(LEFT(C62,FIND(" ",C62)-1))))),"")</f>
        <v>27846</v>
      </c>
      <c r="J62" s="6">
        <f t="shared" si="186"/>
        <v>50</v>
      </c>
      <c r="K62" t="str">
        <f t="shared" si="187"/>
        <v>ОК</v>
      </c>
      <c r="L62" s="5">
        <f>IFERROR(IF(ISNUMBER(FIND("-",G62)),DATE(VALUE(LEFT(G62,4)),VALUE(MID(G62,6,2)),VALUE(RIGHT(G62,2))),IF(ISNUMBER(FIND(".",G62)),DATE(VALUE(RIGHT(G62,4)),VALUE(MID(G62,4,2)),VALUE(LEFT(G62,2))),DATE(VALUE(RIGHT(G62,4)),VLOOKUP(TRIM(MID(G62,FIND(" ",G62)+1,LEN(G62)-FIND(" ",G62)-5)),Справочники!$M$3:$N$14,2,0),VALUE(LEFT(G62,FIND(" ",G62)-1))))),"")</f>
        <v>45170</v>
      </c>
      <c r="M62" t="str">
        <f t="shared" si="188"/>
        <v xml:space="preserve">+7 (903) 678-90-12</v>
      </c>
      <c r="N62" t="str">
        <f t="shared" si="189"/>
        <v>kalinin@mail</v>
      </c>
      <c r="O62" t="str">
        <f t="shared" si="190"/>
        <v xml:space="preserve">Ошибка Email</v>
      </c>
      <c r="P62" t="str">
        <f>IFERROR(VLOOKUP(TRIM(SUBSTITUTE(SUBSTITUTE(" "&amp;F62," г "," "),"г.","")),Справочники!$J$3:$K$102,2,0),TRIM(SUBSTITUTE(SUBSTITUTE(" "&amp;F62," г "," "),"г.","")))</f>
        <v>Грозный</v>
      </c>
    </row>
    <row r="63">
      <c r="A63" s="3" t="s">
        <v>2094</v>
      </c>
      <c r="B63" s="3" t="s">
        <v>4282</v>
      </c>
      <c r="C63" s="3" t="s">
        <v>4283</v>
      </c>
      <c r="D63" s="3" t="s">
        <v>1605</v>
      </c>
      <c r="E63" s="3" t="s">
        <v>4284</v>
      </c>
      <c r="F63" s="3" t="s">
        <v>4285</v>
      </c>
      <c r="G63" s="3" t="s">
        <v>4286</v>
      </c>
      <c r="H63" t="str">
        <f t="shared" si="185"/>
        <v xml:space="preserve">Мартынова Лариса Олеговна</v>
      </c>
      <c r="I63" s="5">
        <f>IFERROR(IF(ISNUMBER(FIND("-",C63)),DATE(VALUE(LEFT(C63,4)),VALUE(MID(C63,6,2)),VALUE(RIGHT(C63,2))),IF(ISNUMBER(FIND(".",C63)),DATE(VALUE(RIGHT(C63,4)),VALUE(MID(C63,4,2)),VALUE(LEFT(C63,2))),DATE(VALUE(RIGHT(C63,4)),VLOOKUP(TRIM(MID(C63,FIND(" ",C63)+1,LEN(C63)-FIND(" ",C63)-5)),Справочники!$M$3:$N$14,2,0),VALUE(LEFT(C63,FIND(" ",C63)-1))))),"")</f>
        <v>29930</v>
      </c>
      <c r="J63" s="6">
        <f t="shared" si="186"/>
        <v>44</v>
      </c>
      <c r="K63" t="str">
        <f t="shared" si="187"/>
        <v>ОК</v>
      </c>
      <c r="L63" s="5">
        <f>IFERROR(IF(ISNUMBER(FIND("-",G63)),DATE(VALUE(LEFT(G63,4)),VALUE(MID(G63,6,2)),VALUE(RIGHT(G63,2))),IF(ISNUMBER(FIND(".",G63)),DATE(VALUE(RIGHT(G63,4)),VALUE(MID(G63,4,2)),VALUE(LEFT(G63,2))),DATE(VALUE(RIGHT(G63,4)),VLOOKUP(TRIM(MID(G63,FIND(" ",G63)+1,LEN(G63)-FIND(" ",G63)-5)),Справочники!$M$3:$N$14,2,0),VALUE(LEFT(G63,FIND(" ",G63)-1))))),"")</f>
        <v>45184</v>
      </c>
      <c r="M63" t="str">
        <f t="shared" si="188"/>
        <v xml:space="preserve">+7 (903) 678-90-12</v>
      </c>
      <c r="N63" t="str">
        <f t="shared" si="189"/>
        <v>martynova@yandex</v>
      </c>
      <c r="O63" t="str">
        <f t="shared" si="190"/>
        <v xml:space="preserve">Ошибка Email</v>
      </c>
      <c r="P63" t="str">
        <f>IFERROR(VLOOKUP(TRIM(SUBSTITUTE(SUBSTITUTE(" "&amp;F63," г "," "),"г.","")),Справочники!$J$3:$K$102,2,0),TRIM(SUBSTITUTE(SUBSTITUTE(" "&amp;F63," г "," "),"г.","")))</f>
        <v>Бийск</v>
      </c>
    </row>
    <row r="64">
      <c r="A64" s="3" t="s">
        <v>2097</v>
      </c>
      <c r="B64" s="3" t="s">
        <v>4287</v>
      </c>
      <c r="C64" s="3" t="s">
        <v>4288</v>
      </c>
      <c r="D64" s="3" t="s">
        <v>4001</v>
      </c>
      <c r="E64" s="3" t="s">
        <v>4289</v>
      </c>
      <c r="F64" s="3" t="s">
        <v>4290</v>
      </c>
      <c r="G64" s="3" t="s">
        <v>4291</v>
      </c>
      <c r="H64" t="str">
        <f t="shared" si="185"/>
        <v xml:space="preserve">Одинцов Сергей Алексеевич</v>
      </c>
      <c r="I64" s="5">
        <f>IFERROR(IF(ISNUMBER(FIND("-",C64)),DATE(VALUE(LEFT(C64,4)),VALUE(MID(C64,6,2)),VALUE(RIGHT(C64,2))),IF(ISNUMBER(FIND(".",C64)),DATE(VALUE(RIGHT(C64,4)),VALUE(MID(C64,4,2)),VALUE(LEFT(C64,2))),DATE(VALUE(RIGHT(C64,4)),VLOOKUP(TRIM(MID(C64,FIND(" ",C64)+1,LEN(C64)-FIND(" ",C64)-5)),Справочники!$M$3:$N$14,2,0),VALUE(LEFT(C64,FIND(" ",C64)-1))))),"")</f>
        <v>32438</v>
      </c>
      <c r="J64" s="6">
        <f t="shared" si="186"/>
        <v>38</v>
      </c>
      <c r="K64" t="str">
        <f t="shared" si="187"/>
        <v>ОК</v>
      </c>
      <c r="L64" s="5">
        <f>IFERROR(IF(ISNUMBER(FIND("-",G64)),DATE(VALUE(LEFT(G64,4)),VALUE(MID(G64,6,2)),VALUE(RIGHT(G64,2))),IF(ISNUMBER(FIND(".",G64)),DATE(VALUE(RIGHT(G64,4)),VALUE(MID(G64,4,2)),VALUE(LEFT(G64,2))),DATE(VALUE(RIGHT(G64,4)),VLOOKUP(TRIM(MID(G64,FIND(" ",G64)+1,LEN(G64)-FIND(" ",G64)-5)),Справочники!$M$3:$N$14,2,0),VALUE(LEFT(G64,FIND(" ",G64)-1))))),"")</f>
        <v>45184</v>
      </c>
      <c r="M64" t="str">
        <f t="shared" si="188"/>
        <v xml:space="preserve">+7 (903) 789-01-23</v>
      </c>
      <c r="N64" t="str">
        <f t="shared" si="189"/>
        <v>odintsov@gmail</v>
      </c>
      <c r="O64" t="str">
        <f t="shared" si="190"/>
        <v xml:space="preserve">Ошибка Email</v>
      </c>
      <c r="P64" t="str">
        <f>IFERROR(VLOOKUP(TRIM(SUBSTITUTE(SUBSTITUTE(" "&amp;F64," г "," "),"г.","")),Справочники!$J$3:$K$102,2,0),TRIM(SUBSTITUTE(SUBSTITUTE(" "&amp;F64," г "," "),"г.","")))</f>
        <v>Йошкар-Ола</v>
      </c>
    </row>
    <row r="65">
      <c r="A65" s="3" t="s">
        <v>2099</v>
      </c>
      <c r="B65" s="3" t="s">
        <v>4292</v>
      </c>
      <c r="C65" s="3" t="s">
        <v>4293</v>
      </c>
      <c r="D65" s="3" t="s">
        <v>4138</v>
      </c>
      <c r="E65" s="3" t="s">
        <v>4294</v>
      </c>
      <c r="F65" s="3" t="s">
        <v>4295</v>
      </c>
      <c r="G65" s="3" t="s">
        <v>4296</v>
      </c>
      <c r="H65" t="str">
        <f t="shared" si="185"/>
        <v xml:space="preserve">Емельянова Татьяна Николаевна</v>
      </c>
      <c r="I65" s="5">
        <f>IFERROR(IF(ISNUMBER(FIND("-",C65)),DATE(VALUE(LEFT(C65,4)),VALUE(MID(C65,6,2)),VALUE(RIGHT(C65,2))),IF(ISNUMBER(FIND(".",C65)),DATE(VALUE(RIGHT(C65,4)),VALUE(MID(C65,4,2)),VALUE(LEFT(C65,2))),DATE(VALUE(RIGHT(C65,4)),VLOOKUP(TRIM(MID(C65,FIND(" ",C65)+1,LEN(C65)-FIND(" ",C65)-5)),Справочники!$M$3:$N$14,2,0),VALUE(LEFT(C65,FIND(" ",C65)-1))))),"")</f>
        <v>26515</v>
      </c>
      <c r="J65" s="6">
        <f t="shared" si="186"/>
        <v>54</v>
      </c>
      <c r="K65" t="str">
        <f t="shared" si="187"/>
        <v>ОК</v>
      </c>
      <c r="L65" s="5">
        <f>IFERROR(IF(ISNUMBER(FIND("-",G65)),DATE(VALUE(LEFT(G65,4)),VALUE(MID(G65,6,2)),VALUE(RIGHT(G65,2))),IF(ISNUMBER(FIND(".",G65)),DATE(VALUE(RIGHT(G65,4)),VALUE(MID(G65,4,2)),VALUE(LEFT(G65,2))),DATE(VALUE(RIGHT(G65,4)),VLOOKUP(TRIM(MID(G65,FIND(" ",G65)+1,LEN(G65)-FIND(" ",G65)-5)),Справочники!$M$3:$N$14,2,0),VALUE(LEFT(G65,FIND(" ",G65)-1))))),"")</f>
        <v>45200</v>
      </c>
      <c r="M65" t="str">
        <f t="shared" si="188"/>
        <v xml:space="preserve">+7 (903) 789-01-23</v>
      </c>
      <c r="N65" t="str">
        <f t="shared" si="189"/>
        <v>emelyanova@mail</v>
      </c>
      <c r="O65" t="str">
        <f t="shared" si="190"/>
        <v xml:space="preserve">Ошибка Email</v>
      </c>
      <c r="P65" t="str">
        <f>IFERROR(VLOOKUP(TRIM(SUBSTITUTE(SUBSTITUTE(" "&amp;F65," г "," "),"г.","")),Справочники!$J$3:$K$102,2,0),TRIM(SUBSTITUTE(SUBSTITUTE(" "&amp;F65," г "," "),"г.","")))</f>
        <v>Курган</v>
      </c>
    </row>
    <row r="66">
      <c r="A66" s="3" t="s">
        <v>2101</v>
      </c>
      <c r="B66" s="3" t="s">
        <v>4297</v>
      </c>
      <c r="C66" s="3" t="s">
        <v>4298</v>
      </c>
      <c r="D66" s="3" t="s">
        <v>4144</v>
      </c>
      <c r="E66" s="3" t="s">
        <v>4299</v>
      </c>
      <c r="F66" s="3" t="s">
        <v>4300</v>
      </c>
      <c r="G66" s="3" t="s">
        <v>4301</v>
      </c>
      <c r="H66" t="str">
        <f t="shared" si="185"/>
        <v xml:space="preserve">Павлов Антон Сергеевич</v>
      </c>
      <c r="I66" s="5">
        <f>IFERROR(IF(ISNUMBER(FIND("-",C66)),DATE(VALUE(LEFT(C66,4)),VALUE(MID(C66,6,2)),VALUE(RIGHT(C66,2))),IF(ISNUMBER(FIND(".",C66)),DATE(VALUE(RIGHT(C66,4)),VALUE(MID(C66,4,2)),VALUE(LEFT(C66,2))),DATE(VALUE(RIGHT(C66,4)),VLOOKUP(TRIM(MID(C66,FIND(" ",C66)+1,LEN(C66)-FIND(" ",C66)-5)),Справочники!$M$3:$N$14,2,0),VALUE(LEFT(C66,FIND(" ",C66)-1))))),"")</f>
        <v>35022</v>
      </c>
      <c r="J66" s="6">
        <f t="shared" si="186"/>
        <v>30</v>
      </c>
      <c r="K66" t="str">
        <f t="shared" si="187"/>
        <v>ОК</v>
      </c>
      <c r="L66" s="5">
        <f>IFERROR(IF(ISNUMBER(FIND("-",G66)),DATE(VALUE(LEFT(G66,4)),VALUE(MID(G66,6,2)),VALUE(RIGHT(G66,2))),IF(ISNUMBER(FIND(".",G66)),DATE(VALUE(RIGHT(G66,4)),VALUE(MID(G66,4,2)),VALUE(LEFT(G66,2))),DATE(VALUE(RIGHT(G66,4)),VLOOKUP(TRIM(MID(G66,FIND(" ",G66)+1,LEN(G66)-FIND(" ",G66)-5)),Справочники!$M$3:$N$14,2,0),VALUE(LEFT(G66,FIND(" ",G66)-1))))),"")</f>
        <v>45209</v>
      </c>
      <c r="M66" t="str">
        <f t="shared" si="188"/>
        <v xml:space="preserve">+7 (903) 789-01-23</v>
      </c>
      <c r="N66" t="str">
        <f t="shared" si="189"/>
        <v>pavlov@yandex</v>
      </c>
      <c r="O66" t="str">
        <f t="shared" si="190"/>
        <v xml:space="preserve">Ошибка Email</v>
      </c>
      <c r="P66" t="str">
        <f>IFERROR(VLOOKUP(TRIM(SUBSTITUTE(SUBSTITUTE(" "&amp;F66," г "," "),"г.","")),Справочники!$J$3:$K$102,2,0),TRIM(SUBSTITUTE(SUBSTITUTE(" "&amp;F66," г "," "),"г.","")))</f>
        <v>Архангельск</v>
      </c>
    </row>
    <row r="67">
      <c r="A67" s="3" t="s">
        <v>2103</v>
      </c>
      <c r="B67" s="3" t="s">
        <v>4302</v>
      </c>
      <c r="C67" s="3" t="s">
        <v>4303</v>
      </c>
      <c r="D67" s="3" t="s">
        <v>4150</v>
      </c>
      <c r="E67" s="3" t="s">
        <v>4304</v>
      </c>
      <c r="F67" s="3" t="s">
        <v>4305</v>
      </c>
      <c r="G67" s="3" t="s">
        <v>4306</v>
      </c>
      <c r="H67" t="str">
        <f t="shared" si="185"/>
        <v xml:space="preserve">Морозова Алина Викторовна</v>
      </c>
      <c r="I67" s="5">
        <f>IFERROR(IF(ISNUMBER(FIND("-",C67)),DATE(VALUE(LEFT(C67,4)),VALUE(MID(C67,6,2)),VALUE(RIGHT(C67,2))),IF(ISNUMBER(FIND(".",C67)),DATE(VALUE(RIGHT(C67,4)),VALUE(MID(C67,4,2)),VALUE(LEFT(C67,2))),DATE(VALUE(RIGHT(C67,4)),VLOOKUP(TRIM(MID(C67,FIND(" ",C67)+1,LEN(C67)-FIND(" ",C67)-5)),Справочники!$M$3:$N$14,2,0),VALUE(LEFT(C67,FIND(" ",C67)-1))))),"")</f>
        <v>30490</v>
      </c>
      <c r="J67" s="6">
        <f t="shared" si="186"/>
        <v>43</v>
      </c>
      <c r="K67" t="str">
        <f t="shared" si="187"/>
        <v>ОК</v>
      </c>
      <c r="L67" s="5">
        <f>IFERROR(IF(ISNUMBER(FIND("-",G67)),DATE(VALUE(LEFT(G67,4)),VALUE(MID(G67,6,2)),VALUE(RIGHT(G67,2))),IF(ISNUMBER(FIND(".",G67)),DATE(VALUE(RIGHT(G67,4)),VALUE(MID(G67,4,2)),VALUE(LEFT(G67,2))),DATE(VALUE(RIGHT(G67,4)),VLOOKUP(TRIM(MID(G67,FIND(" ",G67)+1,LEN(G67)-FIND(" ",G67)-5)),Справочники!$M$3:$N$14,2,0),VALUE(LEFT(G67,FIND(" ",G67)-1))))),"")</f>
        <v>45209</v>
      </c>
      <c r="M67" t="str">
        <f t="shared" si="188"/>
        <v xml:space="preserve">+7 (903) 890-12-34</v>
      </c>
      <c r="N67" t="str">
        <f t="shared" si="189"/>
        <v>morozova@gmail</v>
      </c>
      <c r="O67" t="str">
        <f t="shared" si="190"/>
        <v xml:space="preserve">Ошибка Email</v>
      </c>
      <c r="P67" t="str">
        <f>IFERROR(VLOOKUP(TRIM(SUBSTITUTE(SUBSTITUTE(" "&amp;F67," г "," "),"г.","")),Справочники!$J$3:$K$102,2,0),TRIM(SUBSTITUTE(SUBSTITUTE(" "&amp;F67," г "," "),"г.","")))</f>
        <v>Благовещенск</v>
      </c>
    </row>
    <row r="68">
      <c r="A68" s="3" t="s">
        <v>2106</v>
      </c>
      <c r="B68" s="3" t="s">
        <v>4307</v>
      </c>
      <c r="C68" s="3" t="s">
        <v>4308</v>
      </c>
      <c r="D68" s="3" t="s">
        <v>4007</v>
      </c>
      <c r="E68" s="3" t="s">
        <v>4309</v>
      </c>
      <c r="F68" s="3" t="s">
        <v>4310</v>
      </c>
      <c r="G68" s="3" t="s">
        <v>4311</v>
      </c>
      <c r="H68" t="str">
        <f t="shared" si="185"/>
        <v xml:space="preserve">Кожевникова Инна Александровна</v>
      </c>
      <c r="I68" s="5">
        <f>IFERROR(IF(ISNUMBER(FIND("-",C68)),DATE(VALUE(LEFT(C68,4)),VALUE(MID(C68,6,2)),VALUE(RIGHT(C68,2))),IF(ISNUMBER(FIND(".",C68)),DATE(VALUE(RIGHT(C68,4)),VALUE(MID(C68,4,2)),VALUE(LEFT(C68,2))),DATE(VALUE(RIGHT(C68,4)),VLOOKUP(TRIM(MID(C68,FIND(" ",C68)+1,LEN(C68)-FIND(" ",C68)-5)),Справочники!$M$3:$N$14,2,0),VALUE(LEFT(C68,FIND(" ",C68)-1))))),"")</f>
        <v>28506</v>
      </c>
      <c r="J68" s="6">
        <f t="shared" si="186"/>
        <v>48</v>
      </c>
      <c r="K68" t="str">
        <f t="shared" si="187"/>
        <v>ОК</v>
      </c>
      <c r="L68" s="5">
        <f>IFERROR(IF(ISNUMBER(FIND("-",G68)),DATE(VALUE(LEFT(G68,4)),VALUE(MID(G68,6,2)),VALUE(RIGHT(G68,2))),IF(ISNUMBER(FIND(".",G68)),DATE(VALUE(RIGHT(G68,4)),VALUE(MID(G68,4,2)),VALUE(LEFT(G68,2))),DATE(VALUE(RIGHT(G68,4)),VLOOKUP(TRIM(MID(G68,FIND(" ",G68)+1,LEN(G68)-FIND(" ",G68)-5)),Справочники!$M$3:$N$14,2,0),VALUE(LEFT(G68,FIND(" ",G68)-1))))),"")</f>
        <v>45231</v>
      </c>
      <c r="M68" t="str">
        <f t="shared" si="188"/>
        <v xml:space="preserve">+7 (903) 890-12-34</v>
      </c>
      <c r="N68" t="str">
        <f t="shared" si="189"/>
        <v>kozhevnikova@mail</v>
      </c>
      <c r="O68" t="str">
        <f t="shared" si="190"/>
        <v xml:space="preserve">Ошибка Email</v>
      </c>
      <c r="P68" t="str">
        <f>IFERROR(VLOOKUP(TRIM(SUBSTITUTE(SUBSTITUTE(" "&amp;F68," г "," "),"г.","")),Справочники!$J$3:$K$102,2,0),TRIM(SUBSTITUTE(SUBSTITUTE(" "&amp;F68," г "," "),"г.","")))</f>
        <v>Майкоп</v>
      </c>
    </row>
    <row r="69">
      <c r="A69" s="3" t="s">
        <v>2107</v>
      </c>
      <c r="B69" s="3" t="s">
        <v>4312</v>
      </c>
      <c r="C69" s="3" t="s">
        <v>4313</v>
      </c>
      <c r="D69" s="3" t="s">
        <v>1619</v>
      </c>
      <c r="E69" s="3" t="s">
        <v>4314</v>
      </c>
      <c r="F69" s="3" t="s">
        <v>4315</v>
      </c>
      <c r="G69" s="3" t="s">
        <v>4316</v>
      </c>
      <c r="H69" t="str">
        <f t="shared" si="185"/>
        <v xml:space="preserve">Баранова Снежана Олеговна</v>
      </c>
      <c r="I69" s="5">
        <f>IFERROR(IF(ISNUMBER(FIND("-",C69)),DATE(VALUE(LEFT(C69,4)),VALUE(MID(C69,6,2)),VALUE(RIGHT(C69,2))),IF(ISNUMBER(FIND(".",C69)),DATE(VALUE(RIGHT(C69,4)),VALUE(MID(C69,4,2)),VALUE(LEFT(C69,2))),DATE(VALUE(RIGHT(C69,4)),VLOOKUP(TRIM(MID(C69,FIND(" ",C69)+1,LEN(C69)-FIND(" ",C69)-5)),Справочники!$M$3:$N$14,2,0),VALUE(LEFT(C69,FIND(" ",C69)-1))))),"")</f>
        <v>33119</v>
      </c>
      <c r="J69" s="6">
        <f t="shared" si="186"/>
        <v>36</v>
      </c>
      <c r="K69" t="str">
        <f t="shared" si="187"/>
        <v>ОК</v>
      </c>
      <c r="L69" s="5">
        <f>IFERROR(IF(ISNUMBER(FIND("-",G69)),DATE(VALUE(LEFT(G69,4)),VALUE(MID(G69,6,2)),VALUE(RIGHT(G69,2))),IF(ISNUMBER(FIND(".",G69)),DATE(VALUE(RIGHT(G69,4)),VALUE(MID(G69,4,2)),VALUE(LEFT(G69,2))),DATE(VALUE(RIGHT(G69,4)),VLOOKUP(TRIM(MID(G69,FIND(" ",G69)+1,LEN(G69)-FIND(" ",G69)-5)),Справочники!$M$3:$N$14,2,0),VALUE(LEFT(G69,FIND(" ",G69)-1))))),"")</f>
        <v>45245</v>
      </c>
      <c r="M69" t="str">
        <f t="shared" si="188"/>
        <v xml:space="preserve">+7 (903) 890-12-34</v>
      </c>
      <c r="N69" t="str">
        <f t="shared" si="189"/>
        <v>baranova@yandex</v>
      </c>
      <c r="O69" t="str">
        <f t="shared" si="190"/>
        <v xml:space="preserve">Ошибка Email</v>
      </c>
      <c r="P69" t="str">
        <f>IFERROR(VLOOKUP(TRIM(SUBSTITUTE(SUBSTITUTE(" "&amp;F69," г "," "),"г.","")),Справочники!$J$3:$K$102,2,0),TRIM(SUBSTITUTE(SUBSTITUTE(" "&amp;F69," г "," "),"г.","")))</f>
        <v>Уссурийск</v>
      </c>
    </row>
    <row r="70">
      <c r="A70" s="3" t="s">
        <v>2111</v>
      </c>
      <c r="B70" s="3" t="s">
        <v>4317</v>
      </c>
      <c r="C70" s="3" t="s">
        <v>4318</v>
      </c>
      <c r="D70" s="3" t="s">
        <v>4018</v>
      </c>
      <c r="E70" s="3" t="s">
        <v>4319</v>
      </c>
      <c r="F70" s="3" t="s">
        <v>4320</v>
      </c>
      <c r="G70" s="3" t="s">
        <v>4321</v>
      </c>
      <c r="H70" t="str">
        <f t="shared" si="185"/>
        <v xml:space="preserve">Казакова Надежда Андреевна</v>
      </c>
      <c r="I70" s="5">
        <f>IFERROR(IF(ISNUMBER(FIND("-",C70)),DATE(VALUE(LEFT(C70,4)),VALUE(MID(C70,6,2)),VALUE(RIGHT(C70,2))),IF(ISNUMBER(FIND(".",C70)),DATE(VALUE(RIGHT(C70,4)),VALUE(MID(C70,4,2)),VALUE(LEFT(C70,2))),DATE(VALUE(RIGHT(C70,4)),VLOOKUP(TRIM(MID(C70,FIND(" ",C70)+1,LEN(C70)-FIND(" ",C70)-5)),Справочники!$M$3:$N$14,2,0),VALUE(LEFT(C70,FIND(" ",C70)-1))))),"")</f>
        <v>31165</v>
      </c>
      <c r="J70" s="6">
        <f t="shared" si="186"/>
        <v>41</v>
      </c>
      <c r="K70" t="str">
        <f t="shared" si="187"/>
        <v>ОК</v>
      </c>
      <c r="L70" s="5">
        <f>IFERROR(IF(ISNUMBER(FIND("-",G70)),DATE(VALUE(LEFT(G70,4)),VALUE(MID(G70,6,2)),VALUE(RIGHT(G70,2))),IF(ISNUMBER(FIND(".",G70)),DATE(VALUE(RIGHT(G70,4)),VALUE(MID(G70,4,2)),VALUE(LEFT(G70,2))),DATE(VALUE(RIGHT(G70,4)),VLOOKUP(TRIM(MID(G70,FIND(" ",G70)+1,LEN(G70)-FIND(" ",G70)-5)),Справочники!$M$3:$N$14,2,0),VALUE(LEFT(G70,FIND(" ",G70)-1))))),"")</f>
        <v>45245</v>
      </c>
      <c r="M70" t="str">
        <f t="shared" si="188"/>
        <v xml:space="preserve">+7 (903) 901-23-45</v>
      </c>
      <c r="N70" t="str">
        <f t="shared" si="189"/>
        <v>kazakova@gmail</v>
      </c>
      <c r="O70" t="str">
        <f t="shared" si="190"/>
        <v xml:space="preserve">Ошибка Email</v>
      </c>
      <c r="P70" t="str">
        <f>IFERROR(VLOOKUP(TRIM(SUBSTITUTE(SUBSTITUTE(" "&amp;F70," г "," "),"г.","")),Справочники!$J$3:$K$102,2,0),TRIM(SUBSTITUTE(SUBSTITUTE(" "&amp;F70," г "," "),"г.","")))</f>
        <v>Миасс</v>
      </c>
    </row>
    <row r="71">
      <c r="A71" s="3" t="s">
        <v>2112</v>
      </c>
      <c r="B71" s="3" t="s">
        <v>4322</v>
      </c>
      <c r="C71" s="3" t="s">
        <v>4323</v>
      </c>
      <c r="D71" s="3" t="s">
        <v>1626</v>
      </c>
      <c r="E71" s="3" t="s">
        <v>4324</v>
      </c>
      <c r="F71" s="3" t="s">
        <v>4325</v>
      </c>
      <c r="G71" s="3" t="s">
        <v>4326</v>
      </c>
      <c r="H71" t="str">
        <f t="shared" si="185"/>
        <v xml:space="preserve">Кравцов Павел Сергеевич</v>
      </c>
      <c r="I71" s="5">
        <f>IFERROR(IF(ISNUMBER(FIND("-",C71)),DATE(VALUE(LEFT(C71,4)),VALUE(MID(C71,6,2)),VALUE(RIGHT(C71,2))),IF(ISNUMBER(FIND(".",C71)),DATE(VALUE(RIGHT(C71,4)),VALUE(MID(C71,4,2)),VALUE(LEFT(C71,2))),DATE(VALUE(RIGHT(C71,4)),VLOOKUP(TRIM(MID(C71,FIND(" ",C71)+1,LEN(C71)-FIND(" ",C71)-5)),Справочники!$M$3:$N$14,2,0),VALUE(LEFT(C71,FIND(" ",C71)-1))))),"")</f>
        <v>27377</v>
      </c>
      <c r="J71" s="6">
        <f t="shared" si="186"/>
        <v>51</v>
      </c>
      <c r="K71" t="str">
        <f t="shared" si="187"/>
        <v>ОК</v>
      </c>
      <c r="L71" s="5">
        <f>IFERROR(IF(ISNUMBER(FIND("-",G71)),DATE(VALUE(LEFT(G71,4)),VALUE(MID(G71,6,2)),VALUE(RIGHT(G71,2))),IF(ISNUMBER(FIND(".",G71)),DATE(VALUE(RIGHT(G71,4)),VALUE(MID(G71,4,2)),VALUE(LEFT(G71,2))),DATE(VALUE(RIGHT(G71,4)),VLOOKUP(TRIM(MID(G71,FIND(" ",G71)+1,LEN(G71)-FIND(" ",G71)-5)),Справочники!$M$3:$N$14,2,0),VALUE(LEFT(G71,FIND(" ",G71)-1))))),"")</f>
        <v>45261</v>
      </c>
      <c r="M71" t="str">
        <f t="shared" si="188"/>
        <v xml:space="preserve">+7 (903) 901-23-45</v>
      </c>
      <c r="N71" t="str">
        <f t="shared" si="189"/>
        <v>kravtsov@mail</v>
      </c>
      <c r="O71" t="str">
        <f t="shared" si="190"/>
        <v xml:space="preserve">Ошибка Email</v>
      </c>
      <c r="P71" t="str">
        <f>IFERROR(VLOOKUP(TRIM(SUBSTITUTE(SUBSTITUTE(" "&amp;F71," г "," "),"г.","")),Справочники!$J$3:$K$102,2,0),TRIM(SUBSTITUTE(SUBSTITUTE(" "&amp;F71," г "," "),"г.","")))</f>
        <v>Кызыл</v>
      </c>
    </row>
    <row r="72">
      <c r="A72" s="3" t="s">
        <v>2115</v>
      </c>
      <c r="B72" s="3" t="s">
        <v>4327</v>
      </c>
      <c r="C72" s="3" t="s">
        <v>4328</v>
      </c>
      <c r="D72" s="3" t="s">
        <v>4176</v>
      </c>
      <c r="E72" s="3" t="s">
        <v>4329</v>
      </c>
      <c r="F72" s="3" t="s">
        <v>4330</v>
      </c>
      <c r="G72" s="3" t="s">
        <v>4331</v>
      </c>
      <c r="H72" t="str">
        <f t="shared" si="185"/>
        <v xml:space="preserve">Васина Виктория Михайловна</v>
      </c>
      <c r="I72" s="5">
        <f>IFERROR(IF(ISNUMBER(FIND("-",C72)),DATE(VALUE(LEFT(C72,4)),VALUE(MID(C72,6,2)),VALUE(RIGHT(C72,2))),IF(ISNUMBER(FIND(".",C72)),DATE(VALUE(RIGHT(C72,4)),VALUE(MID(C72,4,2)),VALUE(LEFT(C72,2))),DATE(VALUE(RIGHT(C72,4)),VLOOKUP(TRIM(MID(C72,FIND(" ",C72)+1,LEN(C72)-FIND(" ",C72)-5)),Справочники!$M$3:$N$14,2,0),VALUE(LEFT(C72,FIND(" ",C72)-1))))),"")</f>
        <v>33806</v>
      </c>
      <c r="J72" s="6">
        <f t="shared" si="186"/>
        <v>34</v>
      </c>
      <c r="K72" t="str">
        <f t="shared" si="187"/>
        <v>ОК</v>
      </c>
      <c r="L72" s="5">
        <f>IFERROR(IF(ISNUMBER(FIND("-",G72)),DATE(VALUE(LEFT(G72,4)),VALUE(MID(G72,6,2)),VALUE(RIGHT(G72,2))),IF(ISNUMBER(FIND(".",G72)),DATE(VALUE(RIGHT(G72,4)),VALUE(MID(G72,4,2)),VALUE(LEFT(G72,2))),DATE(VALUE(RIGHT(G72,4)),VLOOKUP(TRIM(MID(G72,FIND(" ",G72)+1,LEN(G72)-FIND(" ",G72)-5)),Справочники!$M$3:$N$14,2,0),VALUE(LEFT(G72,FIND(" ",G72)-1))))),"")</f>
        <v>45270</v>
      </c>
      <c r="M72" t="str">
        <f t="shared" si="188"/>
        <v xml:space="preserve">+7 (903) 901-23-45</v>
      </c>
      <c r="N72" t="str">
        <f t="shared" si="189"/>
        <v>vasina@yandex</v>
      </c>
      <c r="O72" t="str">
        <f t="shared" si="190"/>
        <v xml:space="preserve">Ошибка Email</v>
      </c>
      <c r="P72" t="str">
        <f>IFERROR(VLOOKUP(TRIM(SUBSTITUTE(SUBSTITUTE(" "&amp;F72," г "," "),"г.","")),Справочники!$J$3:$K$102,2,0),TRIM(SUBSTITUTE(SUBSTITUTE(" "&amp;F72," г "," "),"г.","")))</f>
        <v>Калининград</v>
      </c>
    </row>
    <row r="73">
      <c r="A73" s="3" t="s">
        <v>2117</v>
      </c>
      <c r="B73" s="3" t="s">
        <v>4332</v>
      </c>
      <c r="C73" s="3" t="s">
        <v>4333</v>
      </c>
      <c r="D73" s="3" t="s">
        <v>4182</v>
      </c>
      <c r="E73" s="3" t="s">
        <v>4334</v>
      </c>
      <c r="F73" s="3" t="s">
        <v>4335</v>
      </c>
      <c r="G73" s="3" t="s">
        <v>4336</v>
      </c>
      <c r="H73" t="str">
        <f t="shared" si="185"/>
        <v xml:space="preserve">Петухов Анатолий Игоревич</v>
      </c>
      <c r="I73" s="5">
        <f>IFERROR(IF(ISNUMBER(FIND("-",C73)),DATE(VALUE(LEFT(C73,4)),VALUE(MID(C73,6,2)),VALUE(RIGHT(C73,2))),IF(ISNUMBER(FIND(".",C73)),DATE(VALUE(RIGHT(C73,4)),VALUE(MID(C73,4,2)),VALUE(LEFT(C73,2))),DATE(VALUE(RIGHT(C73,4)),VLOOKUP(TRIM(MID(C73,FIND(" ",C73)+1,LEN(C73)-FIND(" ",C73)-5)),Справочники!$M$3:$N$14,2,0),VALUE(LEFT(C73,FIND(" ",C73)-1))))),"")</f>
        <v>29716</v>
      </c>
      <c r="J73" s="6">
        <f t="shared" si="186"/>
        <v>45</v>
      </c>
      <c r="K73" t="str">
        <f t="shared" si="187"/>
        <v>ОК</v>
      </c>
      <c r="L73" s="5">
        <f>IFERROR(IF(ISNUMBER(FIND("-",G73)),DATE(VALUE(LEFT(G73,4)),VALUE(MID(G73,6,2)),VALUE(RIGHT(G73,2))),IF(ISNUMBER(FIND(".",G73)),DATE(VALUE(RIGHT(G73,4)),VALUE(MID(G73,4,2)),VALUE(LEFT(G73,2))),DATE(VALUE(RIGHT(G73,4)),VLOOKUP(TRIM(MID(G73,FIND(" ",G73)+1,LEN(G73)-FIND(" ",G73)-5)),Справочники!$M$3:$N$14,2,0),VALUE(LEFT(G73,FIND(" ",G73)-1))))),"")</f>
        <v>45270</v>
      </c>
      <c r="M73" t="str">
        <f t="shared" si="188"/>
        <v xml:space="preserve">+7 (903) 012-34-56</v>
      </c>
      <c r="N73" t="str">
        <f t="shared" si="189"/>
        <v>petuhov@gmail</v>
      </c>
      <c r="O73" t="str">
        <f t="shared" si="190"/>
        <v xml:space="preserve">Ошибка Email</v>
      </c>
      <c r="P73" t="str">
        <f>IFERROR(VLOOKUP(TRIM(SUBSTITUTE(SUBSTITUTE(" "&amp;F73," г "," "),"г.","")),Справочники!$J$3:$K$102,2,0),TRIM(SUBSTITUTE(SUBSTITUTE(" "&amp;F73," г "," "),"г.","")))</f>
        <v>Петрозаводск</v>
      </c>
    </row>
    <row r="74">
      <c r="A74" s="3" t="s">
        <v>2119</v>
      </c>
      <c r="B74" s="3" t="s">
        <v>4337</v>
      </c>
      <c r="C74" s="3" t="s">
        <v>4338</v>
      </c>
      <c r="D74" s="3" t="s">
        <v>4188</v>
      </c>
      <c r="E74" s="3" t="s">
        <v>4339</v>
      </c>
      <c r="F74" s="3" t="s">
        <v>4340</v>
      </c>
      <c r="G74" s="3" t="s">
        <v>4341</v>
      </c>
      <c r="H74" t="str">
        <f t="shared" ref="H74:H99" si="191">PROPER(TRIM(B74))</f>
        <v xml:space="preserve">Гаврилова Светлана Алексеевна</v>
      </c>
      <c r="I74" s="5">
        <f>IFERROR(IF(ISNUMBER(FIND("-",C74)),DATE(VALUE(LEFT(C74,4)),VALUE(MID(C74,6,2)),VALUE(RIGHT(C74,2))),IF(ISNUMBER(FIND(".",C74)),DATE(VALUE(RIGHT(C74,4)),VALUE(MID(C74,4,2)),VALUE(LEFT(C74,2))),DATE(VALUE(RIGHT(C74,4)),VLOOKUP(TRIM(MID(C74,FIND(" ",C74)+1,LEN(C74)-FIND(" ",C74)-5)),Справочники!$M$3:$N$14,2,0),VALUE(LEFT(C74,FIND(" ",C74)-1))))),"")</f>
        <v>28093</v>
      </c>
      <c r="J74" s="6">
        <f t="shared" ref="J74:J99" si="192">IF(I74="","",DATEDIF(I74,TODAY(),"Y"))</f>
        <v>49</v>
      </c>
      <c r="K74" t="str">
        <f t="shared" ref="K74:K99" si="193">IF(OR(I74="",J74&lt;18,J74&gt;120),"Ошибка даты рождения","ОК")</f>
        <v>ОК</v>
      </c>
      <c r="L74" s="5">
        <f>IFERROR(IF(ISNUMBER(FIND("-",G74)),DATE(VALUE(LEFT(G74,4)),VALUE(MID(G74,6,2)),VALUE(RIGHT(G74,2))),IF(ISNUMBER(FIND(".",G74)),DATE(VALUE(RIGHT(G74,4)),VALUE(MID(G74,4,2)),VALUE(LEFT(G74,2))),DATE(VALUE(RIGHT(G74,4)),VLOOKUP(TRIM(MID(G74,FIND(" ",G74)+1,LEN(G74)-FIND(" ",G74)-5)),Справочники!$M$3:$N$14,2,0),VALUE(LEFT(G74,FIND(" ",G74)-1))))),"")</f>
        <v>45292</v>
      </c>
      <c r="M74" t="str">
        <f t="shared" ref="M74:M99" si="194">IF(LEN(SUBSTITUTE(SUBSTITUTE(SUBSTITUTE(SUBSTITUTE(SUBSTITUTE(D74,"+",""),"-","")," ",""),"(",""),")",""))&lt;10,"Ошибка телефона","+7 ("&amp;MID(RIGHT(SUBSTITUTE(SUBSTITUTE(SUBSTITUTE(SUBSTITUTE(SUBSTITUTE(D74,"+",""),"-","")," ",""),"(",""),")",""),10),1,3)&amp;") "&amp;MID(RIGHT(SUBSTITUTE(SUBSTITUTE(SUBSTITUTE(SUBSTITUTE(SUBSTITUTE(D74,"+",""),"-","")," ",""),"(",""),")",""),10),4,3)&amp;"-"&amp;MID(RIGHT(SUBSTITUTE(SUBSTITUTE(SUBSTITUTE(SUBSTITUTE(SUBSTITUTE(D74,"+",""),"-","")," ",""),"(",""),")",""),10),7,2)&amp;"-"&amp;RIGHT(SUBSTITUTE(SUBSTITUTE(SUBSTITUTE(SUBSTITUTE(SUBSTITUTE(D74,"+",""),"-","")," ",""),"(",""),")",""),2))</f>
        <v xml:space="preserve">+7 (903) 012-34-56</v>
      </c>
      <c r="N74" t="str">
        <f t="shared" ref="N74:N99" si="195">LOWER(SUBSTITUTE(TRIM(E74)," ",""))</f>
        <v>gavrilova@mail</v>
      </c>
      <c r="O74" t="str">
        <f t="shared" ref="O74:O99" si="196">IF(AND(ISNUMBER(FIND("@",N74)),ISNUMBER(FIND(".",N74,FIND("@",N74)+2))),"ОК","Ошибка Email")</f>
        <v xml:space="preserve">Ошибка Email</v>
      </c>
      <c r="P74" t="str">
        <f>IFERROR(VLOOKUP(TRIM(SUBSTITUTE(SUBSTITUTE(" "&amp;F74," г "," "),"г.","")),Справочники!$J$3:$K$102,2,0),TRIM(SUBSTITUTE(SUBSTITUTE(" "&amp;F74," г "," "),"г.","")))</f>
        <v>Рубцовск</v>
      </c>
    </row>
    <row r="75">
      <c r="A75" s="3" t="s">
        <v>2121</v>
      </c>
      <c r="B75" s="3" t="s">
        <v>4342</v>
      </c>
      <c r="C75" s="3" t="s">
        <v>4343</v>
      </c>
      <c r="D75" s="3" t="s">
        <v>1633</v>
      </c>
      <c r="E75" s="3" t="s">
        <v>4344</v>
      </c>
      <c r="F75" s="3" t="s">
        <v>4345</v>
      </c>
      <c r="G75" s="3" t="s">
        <v>4346</v>
      </c>
      <c r="H75" t="str">
        <f t="shared" si="191"/>
        <v xml:space="preserve">Харламов Федор Владимирович</v>
      </c>
      <c r="I75" s="5">
        <f>IFERROR(IF(ISNUMBER(FIND("-",C75)),DATE(VALUE(LEFT(C75,4)),VALUE(MID(C75,6,2)),VALUE(RIGHT(C75,2))),IF(ISNUMBER(FIND(".",C75)),DATE(VALUE(RIGHT(C75,4)),VALUE(MID(C75,4,2)),VALUE(LEFT(C75,2))),DATE(VALUE(RIGHT(C75,4)),VLOOKUP(TRIM(MID(C75,FIND(" ",C75)+1,LEN(C75)-FIND(" ",C75)-5)),Справочники!$M$3:$N$14,2,0),VALUE(LEFT(C75,FIND(" ",C75)-1))))),"")</f>
        <v>32367</v>
      </c>
      <c r="J75" s="6">
        <f t="shared" si="192"/>
        <v>38</v>
      </c>
      <c r="K75" t="str">
        <f t="shared" si="193"/>
        <v>ОК</v>
      </c>
      <c r="L75" s="5">
        <f>IFERROR(IF(ISNUMBER(FIND("-",G75)),DATE(VALUE(LEFT(G75,4)),VALUE(MID(G75,6,2)),VALUE(RIGHT(G75,2))),IF(ISNUMBER(FIND(".",G75)),DATE(VALUE(RIGHT(G75,4)),VALUE(MID(G75,4,2)),VALUE(LEFT(G75,2))),DATE(VALUE(RIGHT(G75,4)),VLOOKUP(TRIM(MID(G75,FIND(" ",G75)+1,LEN(G75)-FIND(" ",G75)-5)),Справочники!$M$3:$N$14,2,0),VALUE(LEFT(G75,FIND(" ",G75)-1))))),"")</f>
        <v>45306</v>
      </c>
      <c r="M75" t="str">
        <f t="shared" si="194"/>
        <v xml:space="preserve">+7 (903) 012-34-56</v>
      </c>
      <c r="N75" t="str">
        <f t="shared" si="195"/>
        <v>harlamov@yandex</v>
      </c>
      <c r="O75" t="str">
        <f t="shared" si="196"/>
        <v xml:space="preserve">Ошибка Email</v>
      </c>
      <c r="P75" t="str">
        <f>IFERROR(VLOOKUP(TRIM(SUBSTITUTE(SUBSTITUTE(" "&amp;F75," г "," "),"г.","")),Справочники!$J$3:$K$102,2,0),TRIM(SUBSTITUTE(SUBSTITUTE(" "&amp;F75," г "," "),"г.","")))</f>
        <v>Элиста</v>
      </c>
    </row>
    <row r="76">
      <c r="A76" s="3" t="s">
        <v>2125</v>
      </c>
      <c r="B76" s="3" t="s">
        <v>4347</v>
      </c>
      <c r="C76" s="3" t="s">
        <v>4348</v>
      </c>
      <c r="D76" s="3" t="s">
        <v>4034</v>
      </c>
      <c r="E76" s="3" t="s">
        <v>4349</v>
      </c>
      <c r="F76" s="3" t="s">
        <v>4350</v>
      </c>
      <c r="G76" s="3" t="s">
        <v>4351</v>
      </c>
      <c r="H76" t="str">
        <f t="shared" si="191"/>
        <v xml:space="preserve">Юдина Майя Евгеньевна</v>
      </c>
      <c r="I76" s="5">
        <f>IFERROR(IF(ISNUMBER(FIND("-",C76)),DATE(VALUE(LEFT(C76,4)),VALUE(MID(C76,6,2)),VALUE(RIGHT(C76,2))),IF(ISNUMBER(FIND(".",C76)),DATE(VALUE(RIGHT(C76,4)),VALUE(MID(C76,4,2)),VALUE(LEFT(C76,2))),DATE(VALUE(RIGHT(C76,4)),VLOOKUP(TRIM(MID(C76,FIND(" ",C76)+1,LEN(C76)-FIND(" ",C76)-5)),Справочники!$M$3:$N$14,2,0),VALUE(LEFT(C76,FIND(" ",C76)-1))))),"")</f>
        <v>34035</v>
      </c>
      <c r="J76" s="6">
        <f t="shared" si="192"/>
        <v>33</v>
      </c>
      <c r="K76" t="str">
        <f t="shared" si="193"/>
        <v>ОК</v>
      </c>
      <c r="L76" s="5">
        <f>IFERROR(IF(ISNUMBER(FIND("-",G76)),DATE(VALUE(LEFT(G76,4)),VALUE(MID(G76,6,2)),VALUE(RIGHT(G76,2))),IF(ISNUMBER(FIND(".",G76)),DATE(VALUE(RIGHT(G76,4)),VALUE(MID(G76,4,2)),VALUE(LEFT(G76,2))),DATE(VALUE(RIGHT(G76,4)),VLOOKUP(TRIM(MID(G76,FIND(" ",G76)+1,LEN(G76)-FIND(" ",G76)-5)),Справочники!$M$3:$N$14,2,0),VALUE(LEFT(G76,FIND(" ",G76)-1))))),"")</f>
        <v>45306</v>
      </c>
      <c r="M76" t="str">
        <f t="shared" si="194"/>
        <v xml:space="preserve">+7 (903) 123-45-67</v>
      </c>
      <c r="N76" t="str">
        <f t="shared" si="195"/>
        <v>yudina@gmail</v>
      </c>
      <c r="O76" t="str">
        <f t="shared" si="196"/>
        <v xml:space="preserve">Ошибка Email</v>
      </c>
      <c r="P76" t="str">
        <f>IFERROR(VLOOKUP(TRIM(SUBSTITUTE(SUBSTITUTE(" "&amp;F76," г "," "),"г.","")),Справочники!$J$3:$K$102,2,0),TRIM(SUBSTITUTE(SUBSTITUTE(" "&amp;F76," г "," "),"г.","")))</f>
        <v>Орск</v>
      </c>
    </row>
    <row r="77">
      <c r="A77" s="3" t="s">
        <v>2127</v>
      </c>
      <c r="B77" s="3" t="s">
        <v>4352</v>
      </c>
      <c r="C77" s="3" t="s">
        <v>4353</v>
      </c>
      <c r="D77" s="3" t="s">
        <v>4040</v>
      </c>
      <c r="E77" s="3" t="s">
        <v>4354</v>
      </c>
      <c r="F77" s="3" t="s">
        <v>4355</v>
      </c>
      <c r="G77" s="3" t="s">
        <v>4356</v>
      </c>
      <c r="H77" t="str">
        <f t="shared" si="191"/>
        <v xml:space="preserve">Прохоров Вадим Александрович</v>
      </c>
      <c r="I77" s="5">
        <f>IFERROR(IF(ISNUMBER(FIND("-",C77)),DATE(VALUE(LEFT(C77,4)),VALUE(MID(C77,6,2)),VALUE(RIGHT(C77,2))),IF(ISNUMBER(FIND(".",C77)),DATE(VALUE(RIGHT(C77,4)),VALUE(MID(C77,4,2)),VALUE(LEFT(C77,2))),DATE(VALUE(RIGHT(C77,4)),VLOOKUP(TRIM(MID(C77,FIND(" ",C77)+1,LEN(C77)-FIND(" ",C77)-5)),Справочники!$M$3:$N$14,2,0),VALUE(LEFT(C77,FIND(" ",C77)-1))))),"")</f>
        <v>29123</v>
      </c>
      <c r="J77" s="6">
        <f t="shared" si="192"/>
        <v>47</v>
      </c>
      <c r="K77" t="str">
        <f t="shared" si="193"/>
        <v>ОК</v>
      </c>
      <c r="L77" s="5">
        <f>IFERROR(IF(ISNUMBER(FIND("-",G77)),DATE(VALUE(LEFT(G77,4)),VALUE(MID(G77,6,2)),VALUE(RIGHT(G77,2))),IF(ISNUMBER(FIND(".",G77)),DATE(VALUE(RIGHT(G77,4)),VALUE(MID(G77,4,2)),VALUE(LEFT(G77,2))),DATE(VALUE(RIGHT(G77,4)),VLOOKUP(TRIM(MID(G77,FIND(" ",G77)+1,LEN(G77)-FIND(" ",G77)-5)),Справочники!$M$3:$N$14,2,0),VALUE(LEFT(G77,FIND(" ",G77)-1))))),"")</f>
        <v>45323</v>
      </c>
      <c r="M77" t="str">
        <f t="shared" si="194"/>
        <v xml:space="preserve">+7 (903) 123-45-67</v>
      </c>
      <c r="N77" t="str">
        <f t="shared" si="195"/>
        <v>prohorov@mail</v>
      </c>
      <c r="O77" t="str">
        <f t="shared" si="196"/>
        <v xml:space="preserve">Ошибка Email</v>
      </c>
      <c r="P77" t="str">
        <f>IFERROR(VLOOKUP(TRIM(SUBSTITUTE(SUBSTITUTE(" "&amp;F77," г "," "),"г.","")),Справочники!$J$3:$K$102,2,0),TRIM(SUBSTITUTE(SUBSTITUTE(" "&amp;F77," г "," "),"г.","")))</f>
        <v>Нижневартовск</v>
      </c>
    </row>
    <row r="78">
      <c r="A78" s="3" t="s">
        <v>2129</v>
      </c>
      <c r="B78" s="3" t="s">
        <v>4357</v>
      </c>
      <c r="C78" s="3" t="s">
        <v>4358</v>
      </c>
      <c r="D78" s="3" t="s">
        <v>1570</v>
      </c>
      <c r="E78" s="3" t="s">
        <v>4359</v>
      </c>
      <c r="F78" s="3" t="s">
        <v>4360</v>
      </c>
      <c r="G78" s="3" t="s">
        <v>4361</v>
      </c>
      <c r="H78" t="str">
        <f t="shared" si="191"/>
        <v xml:space="preserve">Краснова Жанна Петровна</v>
      </c>
      <c r="I78" s="5">
        <f>IFERROR(IF(ISNUMBER(FIND("-",C78)),DATE(VALUE(LEFT(C78,4)),VALUE(MID(C78,6,2)),VALUE(RIGHT(C78,2))),IF(ISNUMBER(FIND(".",C78)),DATE(VALUE(RIGHT(C78,4)),VALUE(MID(C78,4,2)),VALUE(LEFT(C78,2))),DATE(VALUE(RIGHT(C78,4)),VLOOKUP(TRIM(MID(C78,FIND(" ",C78)+1,LEN(C78)-FIND(" ",C78)-5)),Справочники!$M$3:$N$14,2,0),VALUE(LEFT(C78,FIND(" ",C78)-1))))),"")</f>
        <v>31764</v>
      </c>
      <c r="J78" s="6">
        <f t="shared" si="192"/>
        <v>39</v>
      </c>
      <c r="K78" t="str">
        <f t="shared" si="193"/>
        <v>ОК</v>
      </c>
      <c r="L78" s="5">
        <f>IFERROR(IF(ISNUMBER(FIND("-",G78)),DATE(VALUE(LEFT(G78,4)),VALUE(MID(G78,6,2)),VALUE(RIGHT(G78,2))),IF(ISNUMBER(FIND(".",G78)),DATE(VALUE(RIGHT(G78,4)),VALUE(MID(G78,4,2)),VALUE(LEFT(G78,2))),DATE(VALUE(RIGHT(G78,4)),VLOOKUP(TRIM(MID(G78,FIND(" ",G78)+1,LEN(G78)-FIND(" ",G78)-5)),Справочники!$M$3:$N$14,2,0),VALUE(LEFT(G78,FIND(" ",G78)-1))))),"")</f>
        <v>45332</v>
      </c>
      <c r="M78" t="str">
        <f t="shared" si="194"/>
        <v xml:space="preserve">+7 (903) 123-45-67</v>
      </c>
      <c r="N78" t="str">
        <f t="shared" si="195"/>
        <v>krasnova@yandex</v>
      </c>
      <c r="O78" t="str">
        <f t="shared" si="196"/>
        <v xml:space="preserve">Ошибка Email</v>
      </c>
      <c r="P78" t="str">
        <f>IFERROR(VLOOKUP(TRIM(SUBSTITUTE(SUBSTITUTE(" "&amp;F78," г "," "),"г.","")),Справочники!$J$3:$K$102,2,0),TRIM(SUBSTITUTE(SUBSTITUTE(" "&amp;F78," г "," "),"г.","")))</f>
        <v>Новороссийск</v>
      </c>
    </row>
    <row r="79">
      <c r="A79" s="3" t="s">
        <v>2131</v>
      </c>
      <c r="B79" s="3" t="s">
        <v>4362</v>
      </c>
      <c r="C79" s="3" t="s">
        <v>4363</v>
      </c>
      <c r="D79" s="3" t="s">
        <v>4051</v>
      </c>
      <c r="E79" s="3" t="s">
        <v>4364</v>
      </c>
      <c r="F79" s="3" t="s">
        <v>4365</v>
      </c>
      <c r="G79" s="3" t="s">
        <v>4366</v>
      </c>
      <c r="H79" t="str">
        <f t="shared" si="191"/>
        <v xml:space="preserve">Савельева Таисия Сергеевна</v>
      </c>
      <c r="I79" s="5">
        <f>IFERROR(IF(ISNUMBER(FIND("-",C79)),DATE(VALUE(LEFT(C79,4)),VALUE(MID(C79,6,2)),VALUE(RIGHT(C79,2))),IF(ISNUMBER(FIND(".",C79)),DATE(VALUE(RIGHT(C79,4)),VALUE(MID(C79,4,2)),VALUE(LEFT(C79,2))),DATE(VALUE(RIGHT(C79,4)),VLOOKUP(TRIM(MID(C79,FIND(" ",C79)+1,LEN(C79)-FIND(" ",C79)-5)),Справочники!$M$3:$N$14,2,0),VALUE(LEFT(C79,FIND(" ",C79)-1))))),"")</f>
        <v>34487</v>
      </c>
      <c r="J79" s="6">
        <f t="shared" si="192"/>
        <v>32</v>
      </c>
      <c r="K79" t="str">
        <f t="shared" si="193"/>
        <v>ОК</v>
      </c>
      <c r="L79" s="5">
        <f>IFERROR(IF(ISNUMBER(FIND("-",G79)),DATE(VALUE(LEFT(G79,4)),VALUE(MID(G79,6,2)),VALUE(RIGHT(G79,2))),IF(ISNUMBER(FIND(".",G79)),DATE(VALUE(RIGHT(G79,4)),VALUE(MID(G79,4,2)),VALUE(LEFT(G79,2))),DATE(VALUE(RIGHT(G79,4)),VLOOKUP(TRIM(MID(G79,FIND(" ",G79)+1,LEN(G79)-FIND(" ",G79)-5)),Справочники!$M$3:$N$14,2,0),VALUE(LEFT(G79,FIND(" ",G79)-1))))),"")</f>
        <v>45332</v>
      </c>
      <c r="M79" t="str">
        <f t="shared" si="194"/>
        <v xml:space="preserve">+7 (903) 234-56-78</v>
      </c>
      <c r="N79" t="str">
        <f t="shared" si="195"/>
        <v>saveleva@gmail</v>
      </c>
      <c r="O79" t="str">
        <f t="shared" si="196"/>
        <v xml:space="preserve">Ошибка Email</v>
      </c>
      <c r="P79" t="str">
        <f>IFERROR(VLOOKUP(TRIM(SUBSTITUTE(SUBSTITUTE(" "&amp;F79," г "," "),"г.","")),Справочники!$J$3:$K$102,2,0),TRIM(SUBSTITUTE(SUBSTITUTE(" "&amp;F79," г "," "),"г.","")))</f>
        <v>Химки</v>
      </c>
    </row>
    <row r="80">
      <c r="A80" s="3" t="s">
        <v>2134</v>
      </c>
      <c r="B80" s="3" t="s">
        <v>4367</v>
      </c>
      <c r="C80" s="3" t="s">
        <v>4368</v>
      </c>
      <c r="D80" s="3" t="s">
        <v>4057</v>
      </c>
      <c r="E80" s="3" t="s">
        <v>4369</v>
      </c>
      <c r="F80" s="3" t="s">
        <v>4370</v>
      </c>
      <c r="G80" s="3" t="s">
        <v>4371</v>
      </c>
      <c r="H80" t="str">
        <f t="shared" si="191"/>
        <v xml:space="preserve">Шестаков Никита Игоревич</v>
      </c>
      <c r="I80" s="5">
        <f>IFERROR(IF(ISNUMBER(FIND("-",C80)),DATE(VALUE(LEFT(C80,4)),VALUE(MID(C80,6,2)),VALUE(RIGHT(C80,2))),IF(ISNUMBER(FIND(".",C80)),DATE(VALUE(RIGHT(C80,4)),VALUE(MID(C80,4,2)),VALUE(LEFT(C80,2))),DATE(VALUE(RIGHT(C80,4)),VLOOKUP(TRIM(MID(C80,FIND(" ",C80)+1,LEN(C80)-FIND(" ",C80)-5)),Справочники!$M$3:$N$14,2,0),VALUE(LEFT(C80,FIND(" ",C80)-1))))),"")</f>
        <v>27425</v>
      </c>
      <c r="J80" s="6">
        <f t="shared" si="192"/>
        <v>51</v>
      </c>
      <c r="K80" t="str">
        <f t="shared" si="193"/>
        <v>ОК</v>
      </c>
      <c r="L80" s="5">
        <f>IFERROR(IF(ISNUMBER(FIND("-",G80)),DATE(VALUE(LEFT(G80,4)),VALUE(MID(G80,6,2)),VALUE(RIGHT(G80,2))),IF(ISNUMBER(FIND(".",G80)),DATE(VALUE(RIGHT(G80,4)),VALUE(MID(G80,4,2)),VALUE(LEFT(G80,2))),DATE(VALUE(RIGHT(G80,4)),VLOOKUP(TRIM(MID(G80,FIND(" ",G80)+1,LEN(G80)-FIND(" ",G80)-5)),Справочники!$M$3:$N$14,2,0),VALUE(LEFT(G80,FIND(" ",G80)-1))))),"")</f>
        <v>45352</v>
      </c>
      <c r="M80" t="str">
        <f t="shared" si="194"/>
        <v xml:space="preserve">+7 (903) 234-56-78</v>
      </c>
      <c r="N80" t="str">
        <f t="shared" si="195"/>
        <v>shestakov@mail</v>
      </c>
      <c r="O80" t="str">
        <f t="shared" si="196"/>
        <v xml:space="preserve">Ошибка Email</v>
      </c>
      <c r="P80" t="str">
        <f>IFERROR(VLOOKUP(TRIM(SUBSTITUTE(SUBSTITUTE(" "&amp;F80," г "," "),"г.","")),Справочники!$J$3:$K$102,2,0),TRIM(SUBSTITUTE(SUBSTITUTE(" "&amp;F80," г "," "),"г.","")))</f>
        <v>Подольск</v>
      </c>
    </row>
    <row r="81">
      <c r="A81" s="3" t="s">
        <v>2135</v>
      </c>
      <c r="B81" s="3" t="s">
        <v>4372</v>
      </c>
      <c r="C81" s="3" t="s">
        <v>4373</v>
      </c>
      <c r="D81" s="3" t="s">
        <v>1712</v>
      </c>
      <c r="E81" s="3" t="s">
        <v>4374</v>
      </c>
      <c r="F81" s="3" t="s">
        <v>4375</v>
      </c>
      <c r="G81" s="3" t="s">
        <v>4376</v>
      </c>
      <c r="H81" t="str">
        <f t="shared" si="191"/>
        <v xml:space="preserve">Виноградов Данил Олегович</v>
      </c>
      <c r="I81" s="5">
        <f>IFERROR(IF(ISNUMBER(FIND("-",C81)),DATE(VALUE(LEFT(C81,4)),VALUE(MID(C81,6,2)),VALUE(RIGHT(C81,2))),IF(ISNUMBER(FIND(".",C81)),DATE(VALUE(RIGHT(C81,4)),VALUE(MID(C81,4,2)),VALUE(LEFT(C81,2))),DATE(VALUE(RIGHT(C81,4)),VLOOKUP(TRIM(MID(C81,FIND(" ",C81)+1,LEN(C81)-FIND(" ",C81)-5)),Справочники!$M$3:$N$14,2,0),VALUE(LEFT(C81,FIND(" ",C81)-1))))),"")</f>
        <v>30237</v>
      </c>
      <c r="J81" s="6">
        <f t="shared" si="192"/>
        <v>44</v>
      </c>
      <c r="K81" t="str">
        <f t="shared" si="193"/>
        <v>ОК</v>
      </c>
      <c r="L81" s="5">
        <f>IFERROR(IF(ISNUMBER(FIND("-",G81)),DATE(VALUE(LEFT(G81,4)),VALUE(MID(G81,6,2)),VALUE(RIGHT(G81,2))),IF(ISNUMBER(FIND(".",G81)),DATE(VALUE(RIGHT(G81,4)),VALUE(MID(G81,4,2)),VALUE(LEFT(G81,2))),DATE(VALUE(RIGHT(G81,4)),VLOOKUP(TRIM(MID(G81,FIND(" ",G81)+1,LEN(G81)-FIND(" ",G81)-5)),Справочники!$M$3:$N$14,2,0),VALUE(LEFT(G81,FIND(" ",G81)-1))))),"")</f>
        <v>45366</v>
      </c>
      <c r="M81" t="str">
        <f t="shared" si="194"/>
        <v xml:space="preserve">+7 (903) 234-56-78</v>
      </c>
      <c r="N81" t="str">
        <f t="shared" si="195"/>
        <v>vinogradov@yandex</v>
      </c>
      <c r="O81" t="str">
        <f t="shared" si="196"/>
        <v xml:space="preserve">Ошибка Email</v>
      </c>
      <c r="P81" t="str">
        <f>IFERROR(VLOOKUP(TRIM(SUBSTITUTE(SUBSTITUTE(" "&amp;F81," г "," "),"г.","")),Справочники!$J$3:$K$102,2,0),TRIM(SUBSTITUTE(SUBSTITUTE(" "&amp;F81," г "," "),"г.","")))</f>
        <v>Балашиха</v>
      </c>
    </row>
    <row r="82">
      <c r="A82" s="3" t="s">
        <v>2137</v>
      </c>
      <c r="B82" s="3" t="s">
        <v>4377</v>
      </c>
      <c r="C82" s="3" t="s">
        <v>4378</v>
      </c>
      <c r="D82" s="3" t="s">
        <v>1584</v>
      </c>
      <c r="E82" s="3" t="s">
        <v>4379</v>
      </c>
      <c r="F82" s="3" t="s">
        <v>4380</v>
      </c>
      <c r="G82" s="3" t="s">
        <v>4381</v>
      </c>
      <c r="H82" t="str">
        <f t="shared" si="191"/>
        <v xml:space="preserve">Александрова Милана Викторовна</v>
      </c>
      <c r="I82" s="5">
        <f>IFERROR(IF(ISNUMBER(FIND("-",C82)),DATE(VALUE(LEFT(C82,4)),VALUE(MID(C82,6,2)),VALUE(RIGHT(C82,2))),IF(ISNUMBER(FIND(".",C82)),DATE(VALUE(RIGHT(C82,4)),VALUE(MID(C82,4,2)),VALUE(LEFT(C82,2))),DATE(VALUE(RIGHT(C82,4)),VLOOKUP(TRIM(MID(C82,FIND(" ",C82)+1,LEN(C82)-FIND(" ",C82)-5)),Справочники!$M$3:$N$14,2,0),VALUE(LEFT(C82,FIND(" ",C82)-1))))),"")</f>
        <v>33474</v>
      </c>
      <c r="J82" s="6">
        <f t="shared" si="192"/>
        <v>35</v>
      </c>
      <c r="K82" t="str">
        <f t="shared" si="193"/>
        <v>ОК</v>
      </c>
      <c r="L82" s="5">
        <f>IFERROR(IF(ISNUMBER(FIND("-",G82)),DATE(VALUE(LEFT(G82,4)),VALUE(MID(G82,6,2)),VALUE(RIGHT(G82,2))),IF(ISNUMBER(FIND(".",G82)),DATE(VALUE(RIGHT(G82,4)),VALUE(MID(G82,4,2)),VALUE(LEFT(G82,2))),DATE(VALUE(RIGHT(G82,4)),VLOOKUP(TRIM(MID(G82,FIND(" ",G82)+1,LEN(G82)-FIND(" ",G82)-5)),Справочники!$M$3:$N$14,2,0),VALUE(LEFT(G82,FIND(" ",G82)-1))))),"")</f>
        <v>45366</v>
      </c>
      <c r="M82" t="str">
        <f t="shared" si="194"/>
        <v xml:space="preserve">+7 (903) 345-67-89</v>
      </c>
      <c r="N82" t="str">
        <f t="shared" si="195"/>
        <v>aleksandrova@gmail</v>
      </c>
      <c r="O82" t="str">
        <f t="shared" si="196"/>
        <v xml:space="preserve">Ошибка Email</v>
      </c>
      <c r="P82" t="str">
        <f>IFERROR(VLOOKUP(TRIM(SUBSTITUTE(SUBSTITUTE(" "&amp;F82," г "," "),"г.","")),Справочники!$J$3:$K$102,2,0),TRIM(SUBSTITUTE(SUBSTITUTE(" "&amp;F82," г "," "),"г.","")))</f>
        <v>Сургут</v>
      </c>
    </row>
    <row r="83">
      <c r="A83" s="3" t="s">
        <v>2139</v>
      </c>
      <c r="B83" s="3" t="s">
        <v>4382</v>
      </c>
      <c r="C83" s="3" t="s">
        <v>4383</v>
      </c>
      <c r="D83" s="3" t="s">
        <v>4073</v>
      </c>
      <c r="E83" s="3" t="s">
        <v>4384</v>
      </c>
      <c r="F83" s="3" t="s">
        <v>4385</v>
      </c>
      <c r="G83" s="3" t="s">
        <v>4386</v>
      </c>
      <c r="H83" t="str">
        <f t="shared" si="191"/>
        <v xml:space="preserve">Борисенко Артём Денисович</v>
      </c>
      <c r="I83" s="5">
        <f>IFERROR(IF(ISNUMBER(FIND("-",C83)),DATE(VALUE(LEFT(C83,4)),VALUE(MID(C83,6,2)),VALUE(RIGHT(C83,2))),IF(ISNUMBER(FIND(".",C83)),DATE(VALUE(RIGHT(C83,4)),VALUE(MID(C83,4,2)),VALUE(LEFT(C83,2))),DATE(VALUE(RIGHT(C83,4)),VLOOKUP(TRIM(MID(C83,FIND(" ",C83)+1,LEN(C83)-FIND(" ",C83)-5)),Справочники!$M$3:$N$14,2,0),VALUE(LEFT(C83,FIND(" ",C83)-1))))),"")</f>
        <v>28221</v>
      </c>
      <c r="J83" s="6">
        <f t="shared" si="192"/>
        <v>49</v>
      </c>
      <c r="K83" t="str">
        <f t="shared" si="193"/>
        <v>ОК</v>
      </c>
      <c r="L83" s="5">
        <f>IFERROR(IF(ISNUMBER(FIND("-",G83)),DATE(VALUE(LEFT(G83,4)),VALUE(MID(G83,6,2)),VALUE(RIGHT(G83,2))),IF(ISNUMBER(FIND(".",G83)),DATE(VALUE(RIGHT(G83,4)),VALUE(MID(G83,4,2)),VALUE(LEFT(G83,2))),DATE(VALUE(RIGHT(G83,4)),VLOOKUP(TRIM(MID(G83,FIND(" ",G83)+1,LEN(G83)-FIND(" ",G83)-5)),Справочники!$M$3:$N$14,2,0),VALUE(LEFT(G83,FIND(" ",G83)-1))))),"")</f>
        <v>45383</v>
      </c>
      <c r="M83" t="str">
        <f t="shared" si="194"/>
        <v xml:space="preserve">+7 (903) 345-67-89</v>
      </c>
      <c r="N83" t="str">
        <f t="shared" si="195"/>
        <v>borisenko@mail</v>
      </c>
      <c r="O83" t="str">
        <f t="shared" si="196"/>
        <v xml:space="preserve">Ошибка Email</v>
      </c>
      <c r="P83" t="str">
        <f>IFERROR(VLOOKUP(TRIM(SUBSTITUTE(SUBSTITUTE(" "&amp;F83," г "," "),"г.","")),Справочники!$J$3:$K$102,2,0),TRIM(SUBSTITUTE(SUBSTITUTE(" "&amp;F83," г "," "),"г.","")))</f>
        <v>Армавир</v>
      </c>
    </row>
    <row r="84">
      <c r="A84" s="3" t="s">
        <v>2142</v>
      </c>
      <c r="B84" s="3" t="s">
        <v>4387</v>
      </c>
      <c r="C84" s="3" t="s">
        <v>4388</v>
      </c>
      <c r="D84" s="3" t="s">
        <v>4079</v>
      </c>
      <c r="E84" s="3" t="s">
        <v>4389</v>
      </c>
      <c r="F84" s="3" t="s">
        <v>4390</v>
      </c>
      <c r="G84" s="3" t="s">
        <v>4391</v>
      </c>
      <c r="H84" t="str">
        <f t="shared" si="191"/>
        <v xml:space="preserve">Некрасова Екатерина Николаевна</v>
      </c>
      <c r="I84" s="5">
        <f>IFERROR(IF(ISNUMBER(FIND("-",C84)),DATE(VALUE(LEFT(C84,4)),VALUE(MID(C84,6,2)),VALUE(RIGHT(C84,2))),IF(ISNUMBER(FIND(".",C84)),DATE(VALUE(RIGHT(C84,4)),VALUE(MID(C84,4,2)),VALUE(LEFT(C84,2))),DATE(VALUE(RIGHT(C84,4)),VLOOKUP(TRIM(MID(C84,FIND(" ",C84)+1,LEN(C84)-FIND(" ",C84)-5)),Справочники!$M$3:$N$14,2,0),VALUE(LEFT(C84,FIND(" ",C84)-1))))),"")</f>
        <v>31033</v>
      </c>
      <c r="J84" s="6">
        <f t="shared" si="192"/>
        <v>41</v>
      </c>
      <c r="K84" t="str">
        <f t="shared" si="193"/>
        <v>ОК</v>
      </c>
      <c r="L84" s="5">
        <f>IFERROR(IF(ISNUMBER(FIND("-",G84)),DATE(VALUE(LEFT(G84,4)),VALUE(MID(G84,6,2)),VALUE(RIGHT(G84,2))),IF(ISNUMBER(FIND(".",G84)),DATE(VALUE(RIGHT(G84,4)),VALUE(MID(G84,4,2)),VALUE(LEFT(G84,2))),DATE(VALUE(RIGHT(G84,4)),VLOOKUP(TRIM(MID(G84,FIND(" ",G84)+1,LEN(G84)-FIND(" ",G84)-5)),Справочники!$M$3:$N$14,2,0),VALUE(LEFT(G84,FIND(" ",G84)-1))))),"")</f>
        <v>45392</v>
      </c>
      <c r="M84" t="str">
        <f t="shared" si="194"/>
        <v xml:space="preserve">+7 (903) 345-67-89</v>
      </c>
      <c r="N84" t="str">
        <f t="shared" si="195"/>
        <v>nekrasova@yandex</v>
      </c>
      <c r="O84" t="str">
        <f t="shared" si="196"/>
        <v xml:space="preserve">Ошибка Email</v>
      </c>
      <c r="P84" t="str">
        <f>IFERROR(VLOOKUP(TRIM(SUBSTITUTE(SUBSTITUTE(" "&amp;F84," г "," "),"г.","")),Справочники!$J$3:$K$102,2,0),TRIM(SUBSTITUTE(SUBSTITUTE(" "&amp;F84," г "," "),"г.","")))</f>
        <v>Волжский</v>
      </c>
    </row>
    <row r="85">
      <c r="A85" s="3" t="s">
        <v>2144</v>
      </c>
      <c r="B85" s="3" t="s">
        <v>4392</v>
      </c>
      <c r="C85" s="3" t="s">
        <v>4393</v>
      </c>
      <c r="D85" s="3" t="s">
        <v>4085</v>
      </c>
      <c r="E85" s="3" t="s">
        <v>4394</v>
      </c>
      <c r="F85" s="3" t="s">
        <v>4395</v>
      </c>
      <c r="G85" s="3" t="s">
        <v>4396</v>
      </c>
      <c r="H85" t="str">
        <f t="shared" si="191"/>
        <v xml:space="preserve">Агапов Борис Евгеньевич</v>
      </c>
      <c r="I85" s="5">
        <f>IFERROR(IF(ISNUMBER(FIND("-",C85)),DATE(VALUE(LEFT(C85,4)),VALUE(MID(C85,6,2)),VALUE(RIGHT(C85,2))),IF(ISNUMBER(FIND(".",C85)),DATE(VALUE(RIGHT(C85,4)),VALUE(MID(C85,4,2)),VALUE(LEFT(C85,2))),DATE(VALUE(RIGHT(C85,4)),VLOOKUP(TRIM(MID(C85,FIND(" ",C85)+1,LEN(C85)-FIND(" ",C85)-5)),Справочники!$M$3:$N$14,2,0),VALUE(LEFT(C85,FIND(" ",C85)-1))))),"")</f>
        <v>32719</v>
      </c>
      <c r="J85" s="6">
        <f t="shared" si="192"/>
        <v>37</v>
      </c>
      <c r="K85" t="str">
        <f t="shared" si="193"/>
        <v>ОК</v>
      </c>
      <c r="L85" s="5">
        <f>IFERROR(IF(ISNUMBER(FIND("-",G85)),DATE(VALUE(LEFT(G85,4)),VALUE(MID(G85,6,2)),VALUE(RIGHT(G85,2))),IF(ISNUMBER(FIND(".",G85)),DATE(VALUE(RIGHT(G85,4)),VALUE(MID(G85,4,2)),VALUE(LEFT(G85,2))),DATE(VALUE(RIGHT(G85,4)),VLOOKUP(TRIM(MID(G85,FIND(" ",G85)+1,LEN(G85)-FIND(" ",G85)-5)),Справочники!$M$3:$N$14,2,0),VALUE(LEFT(G85,FIND(" ",G85)-1))))),"")</f>
        <v>45392</v>
      </c>
      <c r="M85" t="str">
        <f t="shared" si="194"/>
        <v xml:space="preserve">+7 (903) 456-78-90</v>
      </c>
      <c r="N85" t="str">
        <f t="shared" si="195"/>
        <v>agapov@gmail</v>
      </c>
      <c r="O85" t="str">
        <f t="shared" si="196"/>
        <v xml:space="preserve">Ошибка Email</v>
      </c>
      <c r="P85" t="str">
        <f>IFERROR(VLOOKUP(TRIM(SUBSTITUTE(SUBSTITUTE(" "&amp;F85," г "," "),"г.","")),Справочники!$J$3:$K$102,2,0),TRIM(SUBSTITUTE(SUBSTITUTE(" "&amp;F85," г "," "),"г.","")))</f>
        <v>Шахты</v>
      </c>
    </row>
    <row r="86">
      <c r="A86" s="3" t="s">
        <v>2147</v>
      </c>
      <c r="B86" s="3" t="s">
        <v>4397</v>
      </c>
      <c r="C86" s="3" t="s">
        <v>4398</v>
      </c>
      <c r="D86" s="3" t="s">
        <v>1591</v>
      </c>
      <c r="E86" s="3" t="s">
        <v>4399</v>
      </c>
      <c r="F86" s="3" t="s">
        <v>4400</v>
      </c>
      <c r="G86" s="3" t="s">
        <v>4401</v>
      </c>
      <c r="H86" t="str">
        <f t="shared" si="191"/>
        <v xml:space="preserve">Фролова Дарья Павловна</v>
      </c>
      <c r="I86" s="5">
        <f>IFERROR(IF(ISNUMBER(FIND("-",C86)),DATE(VALUE(LEFT(C86,4)),VALUE(MID(C86,6,2)),VALUE(RIGHT(C86,2))),IF(ISNUMBER(FIND(".",C86)),DATE(VALUE(RIGHT(C86,4)),VALUE(MID(C86,4,2)),VALUE(LEFT(C86,2))),DATE(VALUE(RIGHT(C86,4)),VLOOKUP(TRIM(MID(C86,FIND(" ",C86)+1,LEN(C86)-FIND(" ",C86)-5)),Справочники!$M$3:$N$14,2,0),VALUE(LEFT(C86,FIND(" ",C86)-1))))),"")</f>
        <v>26732</v>
      </c>
      <c r="J86" s="6">
        <f t="shared" si="192"/>
        <v>53</v>
      </c>
      <c r="K86" t="str">
        <f t="shared" si="193"/>
        <v>ОК</v>
      </c>
      <c r="L86" s="5">
        <f>IFERROR(IF(ISNUMBER(FIND("-",G86)),DATE(VALUE(LEFT(G86,4)),VALUE(MID(G86,6,2)),VALUE(RIGHT(G86,2))),IF(ISNUMBER(FIND(".",G86)),DATE(VALUE(RIGHT(G86,4)),VALUE(MID(G86,4,2)),VALUE(LEFT(G86,2))),DATE(VALUE(RIGHT(G86,4)),VLOOKUP(TRIM(MID(G86,FIND(" ",G86)+1,LEN(G86)-FIND(" ",G86)-5)),Справочники!$M$3:$N$14,2,0),VALUE(LEFT(G86,FIND(" ",G86)-1))))),"")</f>
        <v>45413</v>
      </c>
      <c r="M86" t="str">
        <f t="shared" si="194"/>
        <v xml:space="preserve">+7 (903) 456-78-90</v>
      </c>
      <c r="N86" t="str">
        <f t="shared" si="195"/>
        <v>frolova@mail</v>
      </c>
      <c r="O86" t="str">
        <f t="shared" si="196"/>
        <v xml:space="preserve">Ошибка Email</v>
      </c>
      <c r="P86" t="str">
        <f>IFERROR(VLOOKUP(TRIM(SUBSTITUTE(SUBSTITUTE(" "&amp;F86," г "," "),"г.","")),Справочники!$J$3:$K$102,2,0),TRIM(SUBSTITUTE(SUBSTITUTE(" "&amp;F86," г "," "),"г.","")))</f>
        <v>Златоуст</v>
      </c>
    </row>
    <row r="87">
      <c r="A87" s="3" t="s">
        <v>2149</v>
      </c>
      <c r="B87" s="3" t="s">
        <v>4402</v>
      </c>
      <c r="C87" s="3" t="s">
        <v>4403</v>
      </c>
      <c r="D87" s="3" t="s">
        <v>1660</v>
      </c>
      <c r="E87" s="3" t="s">
        <v>4404</v>
      </c>
      <c r="F87" s="3" t="s">
        <v>4405</v>
      </c>
      <c r="G87" s="3" t="s">
        <v>4406</v>
      </c>
      <c r="H87" t="str">
        <f t="shared" si="191"/>
        <v xml:space="preserve">Мишина Татьяна Андреевна</v>
      </c>
      <c r="I87" s="5">
        <f>IFERROR(IF(ISNUMBER(FIND("-",C87)),DATE(VALUE(LEFT(C87,4)),VALUE(MID(C87,6,2)),VALUE(RIGHT(C87,2))),IF(ISNUMBER(FIND(".",C87)),DATE(VALUE(RIGHT(C87,4)),VALUE(MID(C87,4,2)),VALUE(LEFT(C87,2))),DATE(VALUE(RIGHT(C87,4)),VLOOKUP(TRIM(MID(C87,FIND(" ",C87)+1,LEN(C87)-FIND(" ",C87)-5)),Справочники!$M$3:$N$14,2,0),VALUE(LEFT(C87,FIND(" ",C87)-1))))),"")</f>
        <v>29515</v>
      </c>
      <c r="J87" s="6">
        <f t="shared" si="192"/>
        <v>46</v>
      </c>
      <c r="K87" t="str">
        <f t="shared" si="193"/>
        <v>ОК</v>
      </c>
      <c r="L87" s="5">
        <f>IFERROR(IF(ISNUMBER(FIND("-",G87)),DATE(VALUE(LEFT(G87,4)),VALUE(MID(G87,6,2)),VALUE(RIGHT(G87,2))),IF(ISNUMBER(FIND(".",G87)),DATE(VALUE(RIGHT(G87,4)),VALUE(MID(G87,4,2)),VALUE(LEFT(G87,2))),DATE(VALUE(RIGHT(G87,4)),VLOOKUP(TRIM(MID(G87,FIND(" ",G87)+1,LEN(G87)-FIND(" ",G87)-5)),Справочники!$M$3:$N$14,2,0),VALUE(LEFT(G87,FIND(" ",G87)-1))))),"")</f>
        <v>45427</v>
      </c>
      <c r="M87" t="str">
        <f t="shared" si="194"/>
        <v xml:space="preserve">+7 (903) 456-78-90</v>
      </c>
      <c r="N87" t="str">
        <f t="shared" si="195"/>
        <v>mishina@yandex</v>
      </c>
      <c r="O87" t="str">
        <f t="shared" si="196"/>
        <v xml:space="preserve">Ошибка Email</v>
      </c>
      <c r="P87" t="str">
        <f>IFERROR(VLOOKUP(TRIM(SUBSTITUTE(SUBSTITUTE(" "&amp;F87," г "," "),"г.","")),Справочники!$J$3:$K$102,2,0),TRIM(SUBSTITUTE(SUBSTITUTE(" "&amp;F87," г "," "),"г.","")))</f>
        <v>Ангарск</v>
      </c>
    </row>
    <row r="88">
      <c r="A88" s="3" t="s">
        <v>2153</v>
      </c>
      <c r="B88" s="3" t="s">
        <v>4407</v>
      </c>
      <c r="C88" s="3" t="s">
        <v>4408</v>
      </c>
      <c r="D88" s="3" t="s">
        <v>3984</v>
      </c>
      <c r="E88" s="3" t="s">
        <v>4409</v>
      </c>
      <c r="F88" s="3" t="s">
        <v>4410</v>
      </c>
      <c r="G88" s="3" t="s">
        <v>4411</v>
      </c>
      <c r="H88" t="str">
        <f t="shared" si="191"/>
        <v xml:space="preserve">Ильин Евгений Сергеевич</v>
      </c>
      <c r="I88" s="5">
        <f>IFERROR(IF(ISNUMBER(FIND("-",C88)),DATE(VALUE(LEFT(C88,4)),VALUE(MID(C88,6,2)),VALUE(RIGHT(C88,2))),IF(ISNUMBER(FIND(".",C88)),DATE(VALUE(RIGHT(C88,4)),VALUE(MID(C88,4,2)),VALUE(LEFT(C88,2))),DATE(VALUE(RIGHT(C88,4)),VLOOKUP(TRIM(MID(C88,FIND(" ",C88)+1,LEN(C88)-FIND(" ",C88)-5)),Справочники!$M$3:$N$14,2,0),VALUE(LEFT(C88,FIND(" ",C88)-1))))),"")</f>
        <v>34854</v>
      </c>
      <c r="J88" s="6">
        <f t="shared" si="192"/>
        <v>31</v>
      </c>
      <c r="K88" t="str">
        <f t="shared" si="193"/>
        <v>ОК</v>
      </c>
      <c r="L88" s="5">
        <f>IFERROR(IF(ISNUMBER(FIND("-",G88)),DATE(VALUE(LEFT(G88,4)),VALUE(MID(G88,6,2)),VALUE(RIGHT(G88,2))),IF(ISNUMBER(FIND(".",G88)),DATE(VALUE(RIGHT(G88,4)),VALUE(MID(G88,4,2)),VALUE(LEFT(G88,2))),DATE(VALUE(RIGHT(G88,4)),VLOOKUP(TRIM(MID(G88,FIND(" ",G88)+1,LEN(G88)-FIND(" ",G88)-5)),Справочники!$M$3:$N$14,2,0),VALUE(LEFT(G88,FIND(" ",G88)-1))))),"")</f>
        <v>45427</v>
      </c>
      <c r="M88" t="str">
        <f t="shared" si="194"/>
        <v xml:space="preserve">+7 (903) 567-89-01</v>
      </c>
      <c r="N88" t="str">
        <f t="shared" si="195"/>
        <v>ilin@gmail</v>
      </c>
      <c r="O88" t="str">
        <f t="shared" si="196"/>
        <v xml:space="preserve">Ошибка Email</v>
      </c>
      <c r="P88" t="str">
        <f>IFERROR(VLOOKUP(TRIM(SUBSTITUTE(SUBSTITUTE(" "&amp;F88," г "," "),"г.","")),Справочники!$J$3:$K$102,2,0),TRIM(SUBSTITUTE(SUBSTITUTE(" "&amp;F88," г "," "),"г.","")))</f>
        <v>Озёрск</v>
      </c>
    </row>
    <row r="89">
      <c r="A89" s="3" t="s">
        <v>2154</v>
      </c>
      <c r="B89" s="3" t="s">
        <v>4412</v>
      </c>
      <c r="C89" s="3" t="s">
        <v>4413</v>
      </c>
      <c r="D89" s="3" t="s">
        <v>3990</v>
      </c>
      <c r="E89" s="3" t="s">
        <v>4414</v>
      </c>
      <c r="F89" s="3" t="s">
        <v>4415</v>
      </c>
      <c r="G89" s="3" t="s">
        <v>4416</v>
      </c>
      <c r="H89" t="str">
        <f t="shared" si="191"/>
        <v xml:space="preserve">Горбунова Виктория Дмитриевна</v>
      </c>
      <c r="I89" s="5">
        <f>IFERROR(IF(ISNUMBER(FIND("-",C89)),DATE(VALUE(LEFT(C89,4)),VALUE(MID(C89,6,2)),VALUE(RIGHT(C89,2))),IF(ISNUMBER(FIND(".",C89)),DATE(VALUE(RIGHT(C89,4)),VALUE(MID(C89,4,2)),VALUE(LEFT(C89,2))),DATE(VALUE(RIGHT(C89,4)),VLOOKUP(TRIM(MID(C89,FIND(" ",C89)+1,LEN(C89)-FIND(" ",C89)-5)),Справочники!$M$3:$N$14,2,0),VALUE(LEFT(C89,FIND(" ",C89)-1))))),"")</f>
        <v>25899</v>
      </c>
      <c r="J89" s="6">
        <f t="shared" si="192"/>
        <v>55</v>
      </c>
      <c r="K89" t="str">
        <f t="shared" si="193"/>
        <v>ОК</v>
      </c>
      <c r="L89" s="5">
        <f>IFERROR(IF(ISNUMBER(FIND("-",G89)),DATE(VALUE(LEFT(G89,4)),VALUE(MID(G89,6,2)),VALUE(RIGHT(G89,2))),IF(ISNUMBER(FIND(".",G89)),DATE(VALUE(RIGHT(G89,4)),VALUE(MID(G89,4,2)),VALUE(LEFT(G89,2))),DATE(VALUE(RIGHT(G89,4)),VLOOKUP(TRIM(MID(G89,FIND(" ",G89)+1,LEN(G89)-FIND(" ",G89)-5)),Справочники!$M$3:$N$14,2,0),VALUE(LEFT(G89,FIND(" ",G89)-1))))),"")</f>
        <v>45444</v>
      </c>
      <c r="M89" t="str">
        <f t="shared" si="194"/>
        <v xml:space="preserve">+7 (903) 567-89-01</v>
      </c>
      <c r="N89" t="str">
        <f t="shared" si="195"/>
        <v>gorbunova@mail</v>
      </c>
      <c r="O89" t="str">
        <f t="shared" si="196"/>
        <v xml:space="preserve">Ошибка Email</v>
      </c>
      <c r="P89" t="str">
        <f>IFERROR(VLOOKUP(TRIM(SUBSTITUTE(SUBSTITUTE(" "&amp;F89," г "," "),"г.","")),Справочники!$J$3:$K$102,2,0),TRIM(SUBSTITUTE(SUBSTITUTE(" "&amp;F89," г "," "),"г.","")))</f>
        <v>Орел</v>
      </c>
    </row>
    <row r="90">
      <c r="A90" s="3" t="s">
        <v>2157</v>
      </c>
      <c r="B90" s="3" t="s">
        <v>4417</v>
      </c>
      <c r="C90" s="3" t="s">
        <v>4418</v>
      </c>
      <c r="D90" s="3" t="s">
        <v>1598</v>
      </c>
      <c r="E90" s="3" t="s">
        <v>4419</v>
      </c>
      <c r="F90" s="3" t="s">
        <v>4184</v>
      </c>
      <c r="G90" s="3" t="s">
        <v>4420</v>
      </c>
      <c r="H90" t="str">
        <f t="shared" si="191"/>
        <v xml:space="preserve">Ширяев Валерий Петрович</v>
      </c>
      <c r="I90" s="5">
        <f>IFERROR(IF(ISNUMBER(FIND("-",C90)),DATE(VALUE(LEFT(C90,4)),VALUE(MID(C90,6,2)),VALUE(RIGHT(C90,2))),IF(ISNUMBER(FIND(".",C90)),DATE(VALUE(RIGHT(C90,4)),VALUE(MID(C90,4,2)),VALUE(LEFT(C90,2))),DATE(VALUE(RIGHT(C90,4)),VLOOKUP(TRIM(MID(C90,FIND(" ",C90)+1,LEN(C90)-FIND(" ",C90)-5)),Справочники!$M$3:$N$14,2,0),VALUE(LEFT(C90,FIND(" ",C90)-1))))),"")</f>
        <v>30362</v>
      </c>
      <c r="J90" s="6">
        <f t="shared" si="192"/>
        <v>43</v>
      </c>
      <c r="K90" t="str">
        <f t="shared" si="193"/>
        <v>ОК</v>
      </c>
      <c r="L90" s="5">
        <f>IFERROR(IF(ISNUMBER(FIND("-",G90)),DATE(VALUE(LEFT(G90,4)),VALUE(MID(G90,6,2)),VALUE(RIGHT(G90,2))),IF(ISNUMBER(FIND(".",G90)),DATE(VALUE(RIGHT(G90,4)),VALUE(MID(G90,4,2)),VALUE(LEFT(G90,2))),DATE(VALUE(RIGHT(G90,4)),VLOOKUP(TRIM(MID(G90,FIND(" ",G90)+1,LEN(G90)-FIND(" ",G90)-5)),Справочники!$M$3:$N$14,2,0),VALUE(LEFT(G90,FIND(" ",G90)-1))))),"")</f>
        <v>45453</v>
      </c>
      <c r="M90" t="str">
        <f t="shared" si="194"/>
        <v xml:space="preserve">+7 (903) 567-89-01</v>
      </c>
      <c r="N90" t="str">
        <f t="shared" si="195"/>
        <v>shiryaev@yandex</v>
      </c>
      <c r="O90" t="str">
        <f t="shared" si="196"/>
        <v xml:space="preserve">Ошибка Email</v>
      </c>
      <c r="P90" t="str">
        <f>IFERROR(VLOOKUP(TRIM(SUBSTITUTE(SUBSTITUTE(" "&amp;F90," г "," "),"г.","")),Справочники!$J$3:$K$102,2,0),TRIM(SUBSTITUTE(SUBSTITUTE(" "&amp;F90," г "," "),"г.","")))</f>
        <v>Магнитогорск</v>
      </c>
    </row>
    <row r="91">
      <c r="A91" s="3" t="s">
        <v>2159</v>
      </c>
      <c r="B91" s="3" t="s">
        <v>4421</v>
      </c>
      <c r="C91" s="3" t="s">
        <v>4422</v>
      </c>
      <c r="D91" s="3" t="s">
        <v>4116</v>
      </c>
      <c r="E91" s="3" t="s">
        <v>4423</v>
      </c>
      <c r="F91" s="3" t="s">
        <v>4205</v>
      </c>
      <c r="G91" s="3" t="s">
        <v>4424</v>
      </c>
      <c r="H91" t="str">
        <f t="shared" si="191"/>
        <v xml:space="preserve">Пчелинцева Наталья Владимировна</v>
      </c>
      <c r="I91" s="5">
        <f>IFERROR(IF(ISNUMBER(FIND("-",C91)),DATE(VALUE(LEFT(C91,4)),VALUE(MID(C91,6,2)),VALUE(RIGHT(C91,2))),IF(ISNUMBER(FIND(".",C91)),DATE(VALUE(RIGHT(C91,4)),VALUE(MID(C91,4,2)),VALUE(LEFT(C91,2))),DATE(VALUE(RIGHT(C91,4)),VLOOKUP(TRIM(MID(C91,FIND(" ",C91)+1,LEN(C91)-FIND(" ",C91)-5)),Справочники!$M$3:$N$14,2,0),VALUE(LEFT(C91,FIND(" ",C91)-1))))),"")</f>
        <v>32028</v>
      </c>
      <c r="J91" s="6">
        <f t="shared" si="192"/>
        <v>39</v>
      </c>
      <c r="K91" t="str">
        <f t="shared" si="193"/>
        <v>ОК</v>
      </c>
      <c r="L91" s="5">
        <f>IFERROR(IF(ISNUMBER(FIND("-",G91)),DATE(VALUE(LEFT(G91,4)),VALUE(MID(G91,6,2)),VALUE(RIGHT(G91,2))),IF(ISNUMBER(FIND(".",G91)),DATE(VALUE(RIGHT(G91,4)),VALUE(MID(G91,4,2)),VALUE(LEFT(G91,2))),DATE(VALUE(RIGHT(G91,4)),VLOOKUP(TRIM(MID(G91,FIND(" ",G91)+1,LEN(G91)-FIND(" ",G91)-5)),Справочники!$M$3:$N$14,2,0),VALUE(LEFT(G91,FIND(" ",G91)-1))))),"")</f>
        <v>45453</v>
      </c>
      <c r="M91" t="str">
        <f t="shared" si="194"/>
        <v xml:space="preserve">+7 (903) 678-90-12</v>
      </c>
      <c r="N91" t="str">
        <f t="shared" si="195"/>
        <v>pchelintseva@gmail</v>
      </c>
      <c r="O91" t="str">
        <f t="shared" si="196"/>
        <v xml:space="preserve">Ошибка Email</v>
      </c>
      <c r="P91" t="str">
        <f>IFERROR(VLOOKUP(TRIM(SUBSTITUTE(SUBSTITUTE(" "&amp;F91," г "," "),"г.","")),Справочники!$J$3:$K$102,2,0),TRIM(SUBSTITUTE(SUBSTITUTE(" "&amp;F91," г "," "),"г.","")))</f>
        <v>Якутск</v>
      </c>
    </row>
    <row r="92">
      <c r="A92" s="3" t="s">
        <v>2162</v>
      </c>
      <c r="B92" s="3" t="s">
        <v>4425</v>
      </c>
      <c r="C92" s="3" t="s">
        <v>4426</v>
      </c>
      <c r="D92" s="3" t="s">
        <v>4122</v>
      </c>
      <c r="E92" s="3" t="s">
        <v>4427</v>
      </c>
      <c r="F92" s="3" t="s">
        <v>4152</v>
      </c>
      <c r="G92" s="3" t="s">
        <v>4428</v>
      </c>
      <c r="H92" t="str">
        <f t="shared" si="191"/>
        <v xml:space="preserve">Столяров Алексей Валентинович</v>
      </c>
      <c r="I92" s="5">
        <f>IFERROR(IF(ISNUMBER(FIND("-",C92)),DATE(VALUE(LEFT(C92,4)),VALUE(MID(C92,6,2)),VALUE(RIGHT(C92,2))),IF(ISNUMBER(FIND(".",C92)),DATE(VALUE(RIGHT(C92,4)),VALUE(MID(C92,4,2)),VALUE(LEFT(C92,2))),DATE(VALUE(RIGHT(C92,4)),VLOOKUP(TRIM(MID(C92,FIND(" ",C92)+1,LEN(C92)-FIND(" ",C92)-5)),Справочники!$M$3:$N$14,2,0),VALUE(LEFT(C92,FIND(" ",C92)-1))))),"")</f>
        <v>27899</v>
      </c>
      <c r="J92" s="6">
        <f t="shared" si="192"/>
        <v>50</v>
      </c>
      <c r="K92" t="str">
        <f t="shared" si="193"/>
        <v>ОК</v>
      </c>
      <c r="L92" s="5">
        <f>IFERROR(IF(ISNUMBER(FIND("-",G92)),DATE(VALUE(LEFT(G92,4)),VALUE(MID(G92,6,2)),VALUE(RIGHT(G92,2))),IF(ISNUMBER(FIND(".",G92)),DATE(VALUE(RIGHT(G92,4)),VALUE(MID(G92,4,2)),VALUE(LEFT(G92,2))),DATE(VALUE(RIGHT(G92,4)),VLOOKUP(TRIM(MID(G92,FIND(" ",G92)+1,LEN(G92)-FIND(" ",G92)-5)),Справочники!$M$3:$N$14,2,0),VALUE(LEFT(G92,FIND(" ",G92)-1))))),"")</f>
        <v>45474</v>
      </c>
      <c r="M92" t="str">
        <f t="shared" si="194"/>
        <v xml:space="preserve">+7 (903) 678-90-12</v>
      </c>
      <c r="N92" t="str">
        <f t="shared" si="195"/>
        <v>stolyarov@mail</v>
      </c>
      <c r="O92" t="str">
        <f t="shared" si="196"/>
        <v xml:space="preserve">Ошибка Email</v>
      </c>
      <c r="P92" t="str">
        <f>IFERROR(VLOOKUP(TRIM(SUBSTITUTE(SUBSTITUTE(" "&amp;F92," г "," "),"г.","")),Справочники!$J$3:$K$102,2,0),TRIM(SUBSTITUTE(SUBSTITUTE(" "&amp;F92," г "," "),"г.","")))</f>
        <v>Чебоксары</v>
      </c>
    </row>
    <row r="93">
      <c r="A93" s="3" t="s">
        <v>2163</v>
      </c>
      <c r="B93" s="3" t="s">
        <v>4429</v>
      </c>
      <c r="C93" s="3" t="s">
        <v>4430</v>
      </c>
      <c r="D93" s="3" t="s">
        <v>1605</v>
      </c>
      <c r="E93" s="3" t="s">
        <v>4431</v>
      </c>
      <c r="F93" s="3" t="s">
        <v>4245</v>
      </c>
      <c r="G93" s="3" t="s">
        <v>4432</v>
      </c>
      <c r="H93" t="str">
        <f t="shared" si="191"/>
        <v xml:space="preserve">Королева Анжела Алексеевна</v>
      </c>
      <c r="I93" s="5">
        <f>IFERROR(IF(ISNUMBER(FIND("-",C93)),DATE(VALUE(LEFT(C93,4)),VALUE(MID(C93,6,2)),VALUE(RIGHT(C93,2))),IF(ISNUMBER(FIND(".",C93)),DATE(VALUE(RIGHT(C93,4)),VALUE(MID(C93,4,2)),VALUE(LEFT(C93,2))),DATE(VALUE(RIGHT(C93,4)),VLOOKUP(TRIM(MID(C93,FIND(" ",C93)+1,LEN(C93)-FIND(" ",C93)-5)),Справочники!$M$3:$N$14,2,0),VALUE(LEFT(C93,FIND(" ",C93)-1))))),"")</f>
        <v>33939</v>
      </c>
      <c r="J93" s="6">
        <f t="shared" si="192"/>
        <v>33</v>
      </c>
      <c r="K93" t="str">
        <f t="shared" si="193"/>
        <v>ОК</v>
      </c>
      <c r="L93" s="5">
        <f>IFERROR(IF(ISNUMBER(FIND("-",G93)),DATE(VALUE(LEFT(G93,4)),VALUE(MID(G93,6,2)),VALUE(RIGHT(G93,2))),IF(ISNUMBER(FIND(".",G93)),DATE(VALUE(RIGHT(G93,4)),VALUE(MID(G93,4,2)),VALUE(LEFT(G93,2))),DATE(VALUE(RIGHT(G93,4)),VLOOKUP(TRIM(MID(G93,FIND(" ",G93)+1,LEN(G93)-FIND(" ",G93)-5)),Справочники!$M$3:$N$14,2,0),VALUE(LEFT(G93,FIND(" ",G93)-1))))),"")</f>
        <v>45488</v>
      </c>
      <c r="M93" t="str">
        <f t="shared" si="194"/>
        <v xml:space="preserve">+7 (903) 678-90-12</v>
      </c>
      <c r="N93" t="str">
        <f t="shared" si="195"/>
        <v>koroleva@yandex</v>
      </c>
      <c r="O93" t="str">
        <f t="shared" si="196"/>
        <v xml:space="preserve">Ошибка Email</v>
      </c>
      <c r="P93" t="str">
        <f>IFERROR(VLOOKUP(TRIM(SUBSTITUTE(SUBSTITUTE(" "&amp;F93," г "," "),"г.","")),Справочники!$J$3:$K$102,2,0),TRIM(SUBSTITUTE(SUBSTITUTE(" "&amp;F93," г "," "),"г.","")))</f>
        <v>Мурманск</v>
      </c>
    </row>
    <row r="94">
      <c r="A94" s="3" t="s">
        <v>2167</v>
      </c>
      <c r="B94" s="3" t="s">
        <v>4433</v>
      </c>
      <c r="C94" s="3" t="s">
        <v>4434</v>
      </c>
      <c r="D94" s="3" t="s">
        <v>4001</v>
      </c>
      <c r="E94" s="3" t="s">
        <v>4435</v>
      </c>
      <c r="F94" s="3" t="s">
        <v>4235</v>
      </c>
      <c r="G94" s="3" t="s">
        <v>4436</v>
      </c>
      <c r="H94" t="str">
        <f t="shared" si="191"/>
        <v xml:space="preserve">Мальцева Алла Борисовна</v>
      </c>
      <c r="I94" s="5">
        <f>IFERROR(IF(ISNUMBER(FIND("-",C94)),DATE(VALUE(LEFT(C94,4)),VALUE(MID(C94,6,2)),VALUE(RIGHT(C94,2))),IF(ISNUMBER(FIND(".",C94)),DATE(VALUE(RIGHT(C94,4)),VALUE(MID(C94,4,2)),VALUE(LEFT(C94,2))),DATE(VALUE(RIGHT(C94,4)),VLOOKUP(TRIM(MID(C94,FIND(" ",C94)+1,LEN(C94)-FIND(" ",C94)-5)),Справочники!$M$3:$N$14,2,0),VALUE(LEFT(C94,FIND(" ",C94)-1))))),"")</f>
        <v>29822</v>
      </c>
      <c r="J94" s="6">
        <f t="shared" si="192"/>
        <v>45</v>
      </c>
      <c r="K94" t="str">
        <f t="shared" si="193"/>
        <v>ОК</v>
      </c>
      <c r="L94" s="5">
        <f>IFERROR(IF(ISNUMBER(FIND("-",G94)),DATE(VALUE(LEFT(G94,4)),VALUE(MID(G94,6,2)),VALUE(RIGHT(G94,2))),IF(ISNUMBER(FIND(".",G94)),DATE(VALUE(RIGHT(G94,4)),VALUE(MID(G94,4,2)),VALUE(LEFT(G94,2))),DATE(VALUE(RIGHT(G94,4)),VLOOKUP(TRIM(MID(G94,FIND(" ",G94)+1,LEN(G94)-FIND(" ",G94)-5)),Справочники!$M$3:$N$14,2,0),VALUE(LEFT(G94,FIND(" ",G94)-1))))),"")</f>
        <v>45488</v>
      </c>
      <c r="M94" t="str">
        <f t="shared" si="194"/>
        <v xml:space="preserve">+7 (903) 789-01-23</v>
      </c>
      <c r="N94" t="str">
        <f t="shared" si="195"/>
        <v>maltseva@gmail</v>
      </c>
      <c r="O94" t="str">
        <f t="shared" si="196"/>
        <v xml:space="preserve">Ошибка Email</v>
      </c>
      <c r="P94" t="str">
        <f>IFERROR(VLOOKUP(TRIM(SUBSTITUTE(SUBSTITUTE(" "&amp;F94," г "," "),"г.","")),Справочники!$J$3:$K$102,2,0),TRIM(SUBSTITUTE(SUBSTITUTE(" "&amp;F94," г "," "),"г.","")))</f>
        <v>Смоленск</v>
      </c>
    </row>
    <row r="95">
      <c r="A95" s="3" t="s">
        <v>2168</v>
      </c>
      <c r="B95" s="3" t="s">
        <v>4437</v>
      </c>
      <c r="C95" s="3" t="s">
        <v>4438</v>
      </c>
      <c r="D95" s="3" t="s">
        <v>4138</v>
      </c>
      <c r="E95" s="3" t="s">
        <v>4439</v>
      </c>
      <c r="F95" s="3" t="s">
        <v>4220</v>
      </c>
      <c r="G95" s="3" t="s">
        <v>4440</v>
      </c>
      <c r="H95" t="str">
        <f t="shared" si="191"/>
        <v xml:space="preserve">Тарасова Ирина Павловна</v>
      </c>
      <c r="I95" s="5">
        <f>IFERROR(IF(ISNUMBER(FIND("-",C95)),DATE(VALUE(LEFT(C95,4)),VALUE(MID(C95,6,2)),VALUE(RIGHT(C95,2))),IF(ISNUMBER(FIND(".",C95)),DATE(VALUE(RIGHT(C95,4)),VALUE(MID(C95,4,2)),VALUE(LEFT(C95,2))),DATE(VALUE(RIGHT(C95,4)),VLOOKUP(TRIM(MID(C95,FIND(" ",C95)+1,LEN(C95)-FIND(" ",C95)-5)),Справочники!$M$3:$N$14,2,0),VALUE(LEFT(C95,FIND(" ",C95)-1))))),"")</f>
        <v>27313</v>
      </c>
      <c r="J95" s="6">
        <f t="shared" si="192"/>
        <v>52</v>
      </c>
      <c r="K95" t="str">
        <f t="shared" si="193"/>
        <v>ОК</v>
      </c>
      <c r="L95" s="5">
        <f>IFERROR(IF(ISNUMBER(FIND("-",G95)),DATE(VALUE(LEFT(G95,4)),VALUE(MID(G95,6,2)),VALUE(RIGHT(G95,2))),IF(ISNUMBER(FIND(".",G95)),DATE(VALUE(RIGHT(G95,4)),VALUE(MID(G95,4,2)),VALUE(LEFT(G95,2))),DATE(VALUE(RIGHT(G95,4)),VLOOKUP(TRIM(MID(G95,FIND(" ",G95)+1,LEN(G95)-FIND(" ",G95)-5)),Справочники!$M$3:$N$14,2,0),VALUE(LEFT(G95,FIND(" ",G95)-1))))),"")</f>
        <v>45505</v>
      </c>
      <c r="M95" t="str">
        <f t="shared" si="194"/>
        <v xml:space="preserve">+7 (903) 789-01-23</v>
      </c>
      <c r="N95" t="str">
        <f t="shared" si="195"/>
        <v>tarasova@mail</v>
      </c>
      <c r="O95" t="str">
        <f t="shared" si="196"/>
        <v xml:space="preserve">Ошибка Email</v>
      </c>
      <c r="P95" t="str">
        <f>IFERROR(VLOOKUP(TRIM(SUBSTITUTE(SUBSTITUTE(" "&amp;F95," г "," "),"г.","")),Справочники!$J$3:$K$102,2,0),TRIM(SUBSTITUTE(SUBSTITUTE(" "&amp;F95," г "," "),"г.","")))</f>
        <v>Тула</v>
      </c>
    </row>
    <row r="96">
      <c r="A96" s="3" t="s">
        <v>2171</v>
      </c>
      <c r="B96" s="3" t="s">
        <v>4441</v>
      </c>
      <c r="C96" s="3" t="s">
        <v>4442</v>
      </c>
      <c r="D96" s="3" t="s">
        <v>4144</v>
      </c>
      <c r="E96" s="3" t="s">
        <v>4443</v>
      </c>
      <c r="F96" s="3" t="s">
        <v>4225</v>
      </c>
      <c r="G96" s="3" t="s">
        <v>4444</v>
      </c>
      <c r="H96" t="str">
        <f t="shared" si="191"/>
        <v xml:space="preserve">Беспалов Глеб Анатольевич</v>
      </c>
      <c r="I96" s="5">
        <f>IFERROR(IF(ISNUMBER(FIND("-",C96)),DATE(VALUE(LEFT(C96,4)),VALUE(MID(C96,6,2)),VALUE(RIGHT(C96,2))),IF(ISNUMBER(FIND(".",C96)),DATE(VALUE(RIGHT(C96,4)),VALUE(MID(C96,4,2)),VALUE(LEFT(C96,2))),DATE(VALUE(RIGHT(C96,4)),VLOOKUP(TRIM(MID(C96,FIND(" ",C96)+1,LEN(C96)-FIND(" ",C96)-5)),Справочники!$M$3:$N$14,2,0),VALUE(LEFT(C96,FIND(" ",C96)-1))))),"")</f>
        <v>32320</v>
      </c>
      <c r="J96" s="6">
        <f t="shared" si="192"/>
        <v>38</v>
      </c>
      <c r="K96" t="str">
        <f t="shared" si="193"/>
        <v>ОК</v>
      </c>
      <c r="L96" s="5">
        <f>IFERROR(IF(ISNUMBER(FIND("-",G96)),DATE(VALUE(LEFT(G96,4)),VALUE(MID(G96,6,2)),VALUE(RIGHT(G96,2))),IF(ISNUMBER(FIND(".",G96)),DATE(VALUE(RIGHT(G96,4)),VALUE(MID(G96,4,2)),VALUE(LEFT(G96,2))),DATE(VALUE(RIGHT(G96,4)),VLOOKUP(TRIM(MID(G96,FIND(" ",G96)+1,LEN(G96)-FIND(" ",G96)-5)),Справочники!$M$3:$N$14,2,0),VALUE(LEFT(G96,FIND(" ",G96)-1))))),"")</f>
        <v>45514</v>
      </c>
      <c r="M96" t="str">
        <f t="shared" si="194"/>
        <v xml:space="preserve">+7 (903) 789-01-23</v>
      </c>
      <c r="N96" t="str">
        <f t="shared" si="195"/>
        <v>bespalov@yandex</v>
      </c>
      <c r="O96" t="str">
        <f t="shared" si="196"/>
        <v xml:space="preserve">Ошибка Email</v>
      </c>
      <c r="P96" t="str">
        <f>IFERROR(VLOOKUP(TRIM(SUBSTITUTE(SUBSTITUTE(" "&amp;F96," г "," "),"г.","")),Справочники!$J$3:$K$102,2,0),TRIM(SUBSTITUTE(SUBSTITUTE(" "&amp;F96," г "," "),"г.","")))</f>
        <v>Калуга</v>
      </c>
    </row>
    <row r="97">
      <c r="A97" s="3" t="s">
        <v>2173</v>
      </c>
      <c r="B97" s="3" t="s">
        <v>4445</v>
      </c>
      <c r="C97" s="3" t="s">
        <v>4446</v>
      </c>
      <c r="D97" s="3" t="s">
        <v>4150</v>
      </c>
      <c r="E97" s="3" t="s">
        <v>4447</v>
      </c>
      <c r="F97" s="3" t="s">
        <v>4092</v>
      </c>
      <c r="G97" s="3" t="s">
        <v>4448</v>
      </c>
      <c r="H97" t="str">
        <f t="shared" si="191"/>
        <v xml:space="preserve">Соколовская Ольга Михайловна</v>
      </c>
      <c r="I97" s="5">
        <f>IFERROR(IF(ISNUMBER(FIND("-",C97)),DATE(VALUE(LEFT(C97,4)),VALUE(MID(C97,6,2)),VALUE(RIGHT(C97,2))),IF(ISNUMBER(FIND(".",C97)),DATE(VALUE(RIGHT(C97,4)),VALUE(MID(C97,4,2)),VALUE(LEFT(C97,2))),DATE(VALUE(RIGHT(C97,4)),VLOOKUP(TRIM(MID(C97,FIND(" ",C97)+1,LEN(C97)-FIND(" ",C97)-5)),Справочники!$M$3:$N$14,2,0),VALUE(LEFT(C97,FIND(" ",C97)-1))))),"")</f>
        <v>28917</v>
      </c>
      <c r="J97" s="6">
        <f t="shared" si="192"/>
        <v>47</v>
      </c>
      <c r="K97" t="str">
        <f t="shared" si="193"/>
        <v>ОК</v>
      </c>
      <c r="L97" s="5">
        <f>IFERROR(IF(ISNUMBER(FIND("-",G97)),DATE(VALUE(LEFT(G97,4)),VALUE(MID(G97,6,2)),VALUE(RIGHT(G97,2))),IF(ISNUMBER(FIND(".",G97)),DATE(VALUE(RIGHT(G97,4)),VALUE(MID(G97,4,2)),VALUE(LEFT(G97,2))),DATE(VALUE(RIGHT(G97,4)),VLOOKUP(TRIM(MID(G97,FIND(" ",G97)+1,LEN(G97)-FIND(" ",G97)-5)),Справочники!$M$3:$N$14,2,0),VALUE(LEFT(G97,FIND(" ",G97)-1))))),"")</f>
        <v>45514</v>
      </c>
      <c r="M97" t="str">
        <f t="shared" si="194"/>
        <v xml:space="preserve">+7 (903) 890-12-34</v>
      </c>
      <c r="N97" t="str">
        <f t="shared" si="195"/>
        <v>sokolovskaya@gmail</v>
      </c>
      <c r="O97" t="str">
        <f t="shared" si="196"/>
        <v xml:space="preserve">Ошибка Email</v>
      </c>
      <c r="P97" t="str">
        <f>IFERROR(VLOOKUP(TRIM(SUBSTITUTE(SUBSTITUTE(" "&amp;F97," г "," "),"г.","")),Справочники!$J$3:$K$102,2,0),TRIM(SUBSTITUTE(SUBSTITUTE(" "&amp;F97," г "," "),"г.","")))</f>
        <v>Владивосток</v>
      </c>
    </row>
    <row r="98">
      <c r="A98" s="3" t="s">
        <v>2175</v>
      </c>
      <c r="B98" s="3" t="s">
        <v>4449</v>
      </c>
      <c r="C98" s="3" t="s">
        <v>4450</v>
      </c>
      <c r="D98" s="3" t="s">
        <v>4007</v>
      </c>
      <c r="E98" s="3" t="s">
        <v>4451</v>
      </c>
      <c r="F98" s="3" t="s">
        <v>4025</v>
      </c>
      <c r="G98" s="3" t="s">
        <v>4452</v>
      </c>
      <c r="H98" t="str">
        <f t="shared" si="191"/>
        <v xml:space="preserve">Ермаков Павел Владимирович</v>
      </c>
      <c r="I98" s="5">
        <f>IFERROR(IF(ISNUMBER(FIND("-",C98)),DATE(VALUE(LEFT(C98,4)),VALUE(MID(C98,6,2)),VALUE(RIGHT(C98,2))),IF(ISNUMBER(FIND(".",C98)),DATE(VALUE(RIGHT(C98,4)),VALUE(MID(C98,4,2)),VALUE(LEFT(C98,2))),DATE(VALUE(RIGHT(C98,4)),VLOOKUP(TRIM(MID(C98,FIND(" ",C98)+1,LEN(C98)-FIND(" ",C98)-5)),Справочники!$M$3:$N$14,2,0),VALUE(LEFT(C98,FIND(" ",C98)-1))))),"")</f>
        <v>31395</v>
      </c>
      <c r="J98" s="6">
        <f t="shared" si="192"/>
        <v>40</v>
      </c>
      <c r="K98" t="str">
        <f t="shared" si="193"/>
        <v>ОК</v>
      </c>
      <c r="L98" s="5">
        <f>IFERROR(IF(ISNUMBER(FIND("-",G98)),DATE(VALUE(LEFT(G98,4)),VALUE(MID(G98,6,2)),VALUE(RIGHT(G98,2))),IF(ISNUMBER(FIND(".",G98)),DATE(VALUE(RIGHT(G98,4)),VALUE(MID(G98,4,2)),VALUE(LEFT(G98,2))),DATE(VALUE(RIGHT(G98,4)),VLOOKUP(TRIM(MID(G98,FIND(" ",G98)+1,LEN(G98)-FIND(" ",G98)-5)),Справочники!$M$3:$N$14,2,0),VALUE(LEFT(G98,FIND(" ",G98)-1))))),"")</f>
        <v>45536</v>
      </c>
      <c r="M98" t="str">
        <f t="shared" si="194"/>
        <v xml:space="preserve">+7 (903) 890-12-34</v>
      </c>
      <c r="N98" t="str">
        <f t="shared" si="195"/>
        <v>ermakov@mail</v>
      </c>
      <c r="O98" t="str">
        <f t="shared" si="196"/>
        <v xml:space="preserve">Ошибка Email</v>
      </c>
      <c r="P98" t="str">
        <f>IFERROR(VLOOKUP(TRIM(SUBSTITUTE(SUBSTITUTE(" "&amp;F98," г "," "),"г.","")),Справочники!$J$3:$K$102,2,0),TRIM(SUBSTITUTE(SUBSTITUTE(" "&amp;F98," г "," "),"г.","")))</f>
        <v>Пермь</v>
      </c>
    </row>
    <row r="99">
      <c r="A99" s="3" t="s">
        <v>2177</v>
      </c>
      <c r="B99" s="3" t="s">
        <v>4453</v>
      </c>
      <c r="C99" s="3" t="s">
        <v>4454</v>
      </c>
      <c r="D99" s="3" t="s">
        <v>1619</v>
      </c>
      <c r="E99" s="3" t="s">
        <v>4455</v>
      </c>
      <c r="F99" s="3" t="s">
        <v>4162</v>
      </c>
      <c r="G99" s="3" t="s">
        <v>4456</v>
      </c>
      <c r="H99" t="str">
        <f t="shared" si="191"/>
        <v xml:space="preserve">Герасимова Анна Юрьевна</v>
      </c>
      <c r="I99" s="5">
        <f>IFERROR(IF(ISNUMBER(FIND("-",C99)),DATE(VALUE(LEFT(C99,4)),VALUE(MID(C99,6,2)),VALUE(RIGHT(C99,2))),IF(ISNUMBER(FIND(".",C99)),DATE(VALUE(RIGHT(C99,4)),VALUE(MID(C99,4,2)),VALUE(LEFT(C99,2))),DATE(VALUE(RIGHT(C99,4)),VLOOKUP(TRIM(MID(C99,FIND(" ",C99)+1,LEN(C99)-FIND(" ",C99)-5)),Справочники!$M$3:$N$14,2,0),VALUE(LEFT(C99,FIND(" ",C99)-1))))),"")</f>
        <v>34172</v>
      </c>
      <c r="J99" s="6">
        <f t="shared" si="192"/>
        <v>33</v>
      </c>
      <c r="K99" t="str">
        <f t="shared" si="193"/>
        <v>ОК</v>
      </c>
      <c r="L99" s="5">
        <f>IFERROR(IF(ISNUMBER(FIND("-",G99)),DATE(VALUE(LEFT(G99,4)),VALUE(MID(G99,6,2)),VALUE(RIGHT(G99,2))),IF(ISNUMBER(FIND(".",G99)),DATE(VALUE(RIGHT(G99,4)),VALUE(MID(G99,4,2)),VALUE(LEFT(G99,2))),DATE(VALUE(RIGHT(G99,4)),VLOOKUP(TRIM(MID(G99,FIND(" ",G99)+1,LEN(G99)-FIND(" ",G99)-5)),Справочники!$M$3:$N$14,2,0),VALUE(LEFT(G99,FIND(" ",G99)-1))))),"")</f>
        <v>45550</v>
      </c>
      <c r="M99" t="str">
        <f t="shared" si="194"/>
        <v xml:space="preserve">+7 (903) 890-12-34</v>
      </c>
      <c r="N99" t="str">
        <f t="shared" si="195"/>
        <v>gerasimova@yandex</v>
      </c>
      <c r="O99" t="str">
        <f t="shared" si="196"/>
        <v xml:space="preserve">Ошибка Email</v>
      </c>
      <c r="P99" t="str">
        <f>IFERROR(VLOOKUP(TRIM(SUBSTITUTE(SUBSTITUTE(" "&amp;F99," г "," "),"г.","")),Справочники!$J$3:$K$102,2,0),TRIM(SUBSTITUTE(SUBSTITUTE(" "&amp;F99," г "," "),"г.","")))</f>
        <v>Краснодар</v>
      </c>
    </row>
    <row r="100">
      <c r="A100" s="3" t="s">
        <v>2180</v>
      </c>
      <c r="B100" s="3" t="s">
        <v>4457</v>
      </c>
      <c r="C100" s="3" t="s">
        <v>4458</v>
      </c>
      <c r="D100" s="3" t="s">
        <v>4018</v>
      </c>
      <c r="E100" s="3" t="s">
        <v>4459</v>
      </c>
      <c r="F100" s="3" t="s">
        <v>4042</v>
      </c>
      <c r="G100" s="3" t="s">
        <v>4460</v>
      </c>
      <c r="H100" t="str">
        <f t="shared" ref="H100:H163" si="197">PROPER(TRIM(B100))</f>
        <v xml:space="preserve">Кузьмина Ева Евгеньевна</v>
      </c>
      <c r="I100" s="5">
        <f>IFERROR(IF(ISNUMBER(FIND("-",C100)),DATE(VALUE(LEFT(C100,4)),VALUE(MID(C100,6,2)),VALUE(RIGHT(C100,2))),IF(ISNUMBER(FIND(".",C100)),DATE(VALUE(RIGHT(C100,4)),VALUE(MID(C100,4,2)),VALUE(LEFT(C100,2))),DATE(VALUE(RIGHT(C100,4)),VLOOKUP(TRIM(MID(C100,FIND(" ",C100)+1,LEN(C100)-FIND(" ",C100)-5)),Справочники!$M$3:$N$14,2,0),VALUE(LEFT(C100,FIND(" ",C100)-1))))),"")</f>
        <v>28134</v>
      </c>
      <c r="J100" s="6">
        <f t="shared" ref="J100:J163" si="198">IF(I100="","",DATEDIF(I100,TODAY(),"Y"))</f>
        <v>49</v>
      </c>
      <c r="K100" t="str">
        <f t="shared" ref="K100:K163" si="199">IF(OR(I100="",J100&lt;18,J100&gt;120),"Ошибка даты рождения","ОК")</f>
        <v>ОК</v>
      </c>
      <c r="L100" s="5">
        <f>IFERROR(IF(ISNUMBER(FIND("-",G100)),DATE(VALUE(LEFT(G100,4)),VALUE(MID(G100,6,2)),VALUE(RIGHT(G100,2))),IF(ISNUMBER(FIND(".",G100)),DATE(VALUE(RIGHT(G100,4)),VALUE(MID(G100,4,2)),VALUE(LEFT(G100,2))),DATE(VALUE(RIGHT(G100,4)),VLOOKUP(TRIM(MID(G100,FIND(" ",G100)+1,LEN(G100)-FIND(" ",G100)-5)),Справочники!$M$3:$N$14,2,0),VALUE(LEFT(G100,FIND(" ",G100)-1))))),"")</f>
        <v>45550</v>
      </c>
      <c r="M100" t="str">
        <f t="shared" ref="M100:M163" si="200">IF(LEN(SUBSTITUTE(SUBSTITUTE(SUBSTITUTE(SUBSTITUTE(SUBSTITUTE(D100,"+",""),"-","")," ",""),"(",""),")",""))&lt;10,"Ошибка телефона","+7 ("&amp;MID(RIGHT(SUBSTITUTE(SUBSTITUTE(SUBSTITUTE(SUBSTITUTE(SUBSTITUTE(D100,"+",""),"-","")," ",""),"(",""),")",""),10),1,3)&amp;") "&amp;MID(RIGHT(SUBSTITUTE(SUBSTITUTE(SUBSTITUTE(SUBSTITUTE(SUBSTITUTE(D100,"+",""),"-","")," ",""),"(",""),")",""),10),4,3)&amp;"-"&amp;MID(RIGHT(SUBSTITUTE(SUBSTITUTE(SUBSTITUTE(SUBSTITUTE(SUBSTITUTE(D100,"+",""),"-","")," ",""),"(",""),")",""),10),7,2)&amp;"-"&amp;RIGHT(SUBSTITUTE(SUBSTITUTE(SUBSTITUTE(SUBSTITUTE(SUBSTITUTE(D100,"+",""),"-","")," ",""),"(",""),")",""),2))</f>
        <v xml:space="preserve">+7 (903) 901-23-45</v>
      </c>
      <c r="N100" t="str">
        <f t="shared" ref="N100:N163" si="201">LOWER(SUBSTITUTE(TRIM(E100)," ",""))</f>
        <v>kuzmina@gmail</v>
      </c>
      <c r="O100" t="str">
        <f t="shared" ref="O100:O163" si="202">IF(AND(ISNUMBER(FIND("@",N100)),ISNUMBER(FIND(".",N100,FIND("@",N100)+2))),"ОК","Ошибка Email")</f>
        <v xml:space="preserve">Ошибка Email</v>
      </c>
      <c r="P100" t="str">
        <f>IFERROR(VLOOKUP(TRIM(SUBSTITUTE(SUBSTITUTE(" "&amp;F100," г "," "),"г.","")),Справочники!$J$3:$K$102,2,0),TRIM(SUBSTITUTE(SUBSTITUTE(" "&amp;F100," г "," "),"г.","")))</f>
        <v>Саратов</v>
      </c>
    </row>
    <row r="101">
      <c r="A101" s="3" t="s">
        <v>2181</v>
      </c>
      <c r="B101" s="3" t="s">
        <v>4461</v>
      </c>
      <c r="C101" s="3" t="s">
        <v>4462</v>
      </c>
      <c r="D101" s="3" t="s">
        <v>1626</v>
      </c>
      <c r="E101" s="3" t="s">
        <v>4463</v>
      </c>
      <c r="F101" s="3" t="s">
        <v>4047</v>
      </c>
      <c r="G101" s="3" t="s">
        <v>4464</v>
      </c>
      <c r="H101" t="str">
        <f t="shared" si="197"/>
        <v xml:space="preserve">Литвинов Станислав Андреевич</v>
      </c>
      <c r="I101" s="5">
        <f>IFERROR(IF(ISNUMBER(FIND("-",C101)),DATE(VALUE(LEFT(C101,4)),VALUE(MID(C101,6,2)),VALUE(RIGHT(C101,2))),IF(ISNUMBER(FIND(".",C101)),DATE(VALUE(RIGHT(C101,4)),VALUE(MID(C101,4,2)),VALUE(LEFT(C101,2))),DATE(VALUE(RIGHT(C101,4)),VLOOKUP(TRIM(MID(C101,FIND(" ",C101)+1,LEN(C101)-FIND(" ",C101)-5)),Справочники!$M$3:$N$14,2,0),VALUE(LEFT(C101,FIND(" ",C101)-1))))),"")</f>
        <v>30942</v>
      </c>
      <c r="J101" s="6">
        <f t="shared" si="198"/>
        <v>42</v>
      </c>
      <c r="K101" t="str">
        <f t="shared" si="199"/>
        <v>ОК</v>
      </c>
      <c r="L101" s="5">
        <f>IFERROR(IF(ISNUMBER(FIND("-",G101)),DATE(VALUE(LEFT(G101,4)),VALUE(MID(G101,6,2)),VALUE(RIGHT(G101,2))),IF(ISNUMBER(FIND(".",G101)),DATE(VALUE(RIGHT(G101,4)),VALUE(MID(G101,4,2)),VALUE(LEFT(G101,2))),DATE(VALUE(RIGHT(G101,4)),VLOOKUP(TRIM(MID(G101,FIND(" ",G101)+1,LEN(G101)-FIND(" ",G101)-5)),Справочники!$M$3:$N$14,2,0),VALUE(LEFT(G101,FIND(" ",G101)-1))))),"")</f>
        <v>45566</v>
      </c>
      <c r="M101" t="str">
        <f t="shared" si="200"/>
        <v xml:space="preserve">+7 (903) 901-23-45</v>
      </c>
      <c r="N101" t="str">
        <f t="shared" si="201"/>
        <v>litvinov@mail</v>
      </c>
      <c r="O101" t="str">
        <f t="shared" si="202"/>
        <v xml:space="preserve">Ошибка Email</v>
      </c>
      <c r="P101" t="str">
        <f>IFERROR(VLOOKUP(TRIM(SUBSTITUTE(SUBSTITUTE(" "&amp;F101," г "," "),"г.","")),Справочники!$J$3:$K$102,2,0),TRIM(SUBSTITUTE(SUBSTITUTE(" "&amp;F101," г "," "),"г.","")))</f>
        <v>Тольятти</v>
      </c>
    </row>
    <row r="102">
      <c r="A102" s="3" t="s">
        <v>2184</v>
      </c>
      <c r="B102" s="3" t="s">
        <v>4465</v>
      </c>
      <c r="C102" s="3" t="s">
        <v>4466</v>
      </c>
      <c r="D102" s="3" t="s">
        <v>4176</v>
      </c>
      <c r="E102" s="3" t="s">
        <v>4467</v>
      </c>
      <c r="F102" s="3" t="s">
        <v>4069</v>
      </c>
      <c r="G102" s="3" t="s">
        <v>4468</v>
      </c>
      <c r="H102" t="str">
        <f t="shared" si="197"/>
        <v xml:space="preserve">Архипова Диана Валерьевна</v>
      </c>
      <c r="I102" s="5">
        <f>IFERROR(IF(ISNUMBER(FIND("-",C102)),DATE(VALUE(LEFT(C102,4)),VALUE(MID(C102,6,2)),VALUE(RIGHT(C102,2))),IF(ISNUMBER(FIND(".",C102)),DATE(VALUE(RIGHT(C102,4)),VALUE(MID(C102,4,2)),VALUE(LEFT(C102,2))),DATE(VALUE(RIGHT(C102,4)),VLOOKUP(TRIM(MID(C102,FIND(" ",C102)+1,LEN(C102)-FIND(" ",C102)-5)),Справочники!$M$3:$N$14,2,0),VALUE(LEFT(C102,FIND(" ",C102)-1))))),"")</f>
        <v>33356</v>
      </c>
      <c r="J102" s="6">
        <f t="shared" si="198"/>
        <v>35</v>
      </c>
      <c r="K102" t="str">
        <f t="shared" si="199"/>
        <v>ОК</v>
      </c>
      <c r="L102" s="5">
        <f>IFERROR(IF(ISNUMBER(FIND("-",G102)),DATE(VALUE(LEFT(G102,4)),VALUE(MID(G102,6,2)),VALUE(RIGHT(G102,2))),IF(ISNUMBER(FIND(".",G102)),DATE(VALUE(RIGHT(G102,4)),VALUE(MID(G102,4,2)),VALUE(LEFT(G102,2))),DATE(VALUE(RIGHT(G102,4)),VLOOKUP(TRIM(MID(G102,FIND(" ",G102)+1,LEN(G102)-FIND(" ",G102)-5)),Справочники!$M$3:$N$14,2,0),VALUE(LEFT(G102,FIND(" ",G102)-1))))),"")</f>
        <v>45575</v>
      </c>
      <c r="M102" t="str">
        <f t="shared" si="200"/>
        <v xml:space="preserve">+7 (903) 901-23-45</v>
      </c>
      <c r="N102" t="str">
        <f t="shared" si="201"/>
        <v>arhipova@yandex</v>
      </c>
      <c r="O102" t="str">
        <f t="shared" si="202"/>
        <v xml:space="preserve">Ошибка Email</v>
      </c>
      <c r="P102" t="str">
        <f>IFERROR(VLOOKUP(TRIM(SUBSTITUTE(SUBSTITUTE(" "&amp;F102," г "," "),"г.","")),Справочники!$J$3:$K$102,2,0),TRIM(SUBSTITUTE(SUBSTITUTE(" "&amp;F102," г "," "),"г.","")))</f>
        <v>Ульяновск</v>
      </c>
    </row>
    <row r="103">
      <c r="A103" s="3" t="s">
        <v>2186</v>
      </c>
      <c r="B103" s="3" t="s">
        <v>4469</v>
      </c>
      <c r="C103" s="3" t="s">
        <v>4470</v>
      </c>
      <c r="D103" s="3" t="s">
        <v>4182</v>
      </c>
      <c r="E103" s="3" t="s">
        <v>4471</v>
      </c>
      <c r="F103" s="3" t="s">
        <v>4081</v>
      </c>
      <c r="G103" s="3" t="s">
        <v>4472</v>
      </c>
      <c r="H103" t="str">
        <f t="shared" si="197"/>
        <v xml:space="preserve">Кузьмин Андрей Сергеевич</v>
      </c>
      <c r="I103" s="5">
        <f>IFERROR(IF(ISNUMBER(FIND("-",C103)),DATE(VALUE(LEFT(C103,4)),VALUE(MID(C103,6,2)),VALUE(RIGHT(C103,2))),IF(ISNUMBER(FIND(".",C103)),DATE(VALUE(RIGHT(C103,4)),VALUE(MID(C103,4,2)),VALUE(LEFT(C103,2))),DATE(VALUE(RIGHT(C103,4)),VLOOKUP(TRIM(MID(C103,FIND(" ",C103)+1,LEN(C103)-FIND(" ",C103)-5)),Справочники!$M$3:$N$14,2,0),VALUE(LEFT(C103,FIND(" ",C103)-1))))),"")</f>
        <v>26606</v>
      </c>
      <c r="J103" s="6">
        <f t="shared" si="198"/>
        <v>53</v>
      </c>
      <c r="K103" t="str">
        <f t="shared" si="199"/>
        <v>ОК</v>
      </c>
      <c r="L103" s="5">
        <f>IFERROR(IF(ISNUMBER(FIND("-",G103)),DATE(VALUE(LEFT(G103,4)),VALUE(MID(G103,6,2)),VALUE(RIGHT(G103,2))),IF(ISNUMBER(FIND(".",G103)),DATE(VALUE(RIGHT(G103,4)),VALUE(MID(G103,4,2)),VALUE(LEFT(G103,2))),DATE(VALUE(RIGHT(G103,4)),VLOOKUP(TRIM(MID(G103,FIND(" ",G103)+1,LEN(G103)-FIND(" ",G103)-5)),Справочники!$M$3:$N$14,2,0),VALUE(LEFT(G103,FIND(" ",G103)-1))))),"")</f>
        <v>45575</v>
      </c>
      <c r="M103" t="str">
        <f t="shared" si="200"/>
        <v xml:space="preserve">+7 (903) 012-34-56</v>
      </c>
      <c r="N103" t="str">
        <f t="shared" si="201"/>
        <v>kuzmin@gmail</v>
      </c>
      <c r="O103" t="str">
        <f t="shared" si="202"/>
        <v xml:space="preserve">Ошибка Email</v>
      </c>
      <c r="P103" t="str">
        <f>IFERROR(VLOOKUP(TRIM(SUBSTITUTE(SUBSTITUTE(" "&amp;F103," г "," "),"г.","")),Справочники!$J$3:$K$102,2,0),TRIM(SUBSTITUTE(SUBSTITUTE(" "&amp;F103," г "," "),"г.","")))</f>
        <v>Хабаровск</v>
      </c>
    </row>
    <row r="104">
      <c r="A104" s="3" t="s">
        <v>2189</v>
      </c>
      <c r="B104" s="3" t="s">
        <v>4473</v>
      </c>
      <c r="C104" s="3" t="s">
        <v>4474</v>
      </c>
      <c r="D104" s="3" t="s">
        <v>4188</v>
      </c>
      <c r="E104" s="3" t="s">
        <v>4475</v>
      </c>
      <c r="F104" s="3" t="s">
        <v>3992</v>
      </c>
      <c r="G104" s="3" t="s">
        <v>4476</v>
      </c>
      <c r="H104" t="str">
        <f t="shared" si="197"/>
        <v xml:space="preserve">Афанасьева Виктория Денисовна</v>
      </c>
      <c r="I104" s="5">
        <f>IFERROR(IF(ISNUMBER(FIND("-",C104)),DATE(VALUE(LEFT(C104,4)),VALUE(MID(C104,6,2)),VALUE(RIGHT(C104,2))),IF(ISNUMBER(FIND(".",C104)),DATE(VALUE(RIGHT(C104,4)),VALUE(MID(C104,4,2)),VALUE(LEFT(C104,2))),DATE(VALUE(RIGHT(C104,4)),VLOOKUP(TRIM(MID(C104,FIND(" ",C104)+1,LEN(C104)-FIND(" ",C104)-5)),Справочники!$M$3:$N$14,2,0),VALUE(LEFT(C104,FIND(" ",C104)-1))))),"")</f>
        <v>31579</v>
      </c>
      <c r="J104" s="6">
        <f t="shared" si="198"/>
        <v>40</v>
      </c>
      <c r="K104" t="str">
        <f t="shared" si="199"/>
        <v>ОК</v>
      </c>
      <c r="L104" s="5">
        <f>IFERROR(IF(ISNUMBER(FIND("-",G104)),DATE(VALUE(LEFT(G104,4)),VALUE(MID(G104,6,2)),VALUE(RIGHT(G104,2))),IF(ISNUMBER(FIND(".",G104)),DATE(VALUE(RIGHT(G104,4)),VALUE(MID(G104,4,2)),VALUE(LEFT(G104,2))),DATE(VALUE(RIGHT(G104,4)),VLOOKUP(TRIM(MID(G104,FIND(" ",G104)+1,LEN(G104)-FIND(" ",G104)-5)),Справочники!$M$3:$N$14,2,0),VALUE(LEFT(G104,FIND(" ",G104)-1))))),"")</f>
        <v>45597</v>
      </c>
      <c r="M104" t="str">
        <f t="shared" si="200"/>
        <v xml:space="preserve">+7 (903) 012-34-56</v>
      </c>
      <c r="N104" t="str">
        <f t="shared" si="201"/>
        <v>afanasieva@mail</v>
      </c>
      <c r="O104" t="str">
        <f t="shared" si="202"/>
        <v xml:space="preserve">Ошибка Email</v>
      </c>
      <c r="P104" t="str">
        <f>IFERROR(VLOOKUP(TRIM(SUBSTITUTE(SUBSTITUTE(" "&amp;F104," г "," "),"г.","")),Справочники!$J$3:$K$102,2,0),TRIM(SUBSTITUTE(SUBSTITUTE(" "&amp;F104," г "," "),"г.","")))</f>
        <v>Челябинск</v>
      </c>
    </row>
    <row r="105">
      <c r="A105" s="3" t="s">
        <v>2191</v>
      </c>
      <c r="B105" s="3" t="s">
        <v>4477</v>
      </c>
      <c r="C105" s="3" t="s">
        <v>4478</v>
      </c>
      <c r="D105" s="3" t="s">
        <v>1633</v>
      </c>
      <c r="E105" s="3" t="s">
        <v>4479</v>
      </c>
      <c r="F105" s="3" t="s">
        <v>4003</v>
      </c>
      <c r="G105" s="3" t="s">
        <v>4480</v>
      </c>
      <c r="H105" t="str">
        <f t="shared" si="197"/>
        <v xml:space="preserve">Денисов Константин Викторович</v>
      </c>
      <c r="I105" s="5">
        <f>IFERROR(IF(ISNUMBER(FIND("-",C105)),DATE(VALUE(LEFT(C105,4)),VALUE(MID(C105,6,2)),VALUE(RIGHT(C105,2))),IF(ISNUMBER(FIND(".",C105)),DATE(VALUE(RIGHT(C105,4)),VALUE(MID(C105,4,2)),VALUE(LEFT(C105,2))),DATE(VALUE(RIGHT(C105,4)),VLOOKUP(TRIM(MID(C105,FIND(" ",C105)+1,LEN(C105)-FIND(" ",C105)-5)),Справочники!$M$3:$N$14,2,0),VALUE(LEFT(C105,FIND(" ",C105)-1))))),"")</f>
        <v>34363</v>
      </c>
      <c r="J105" s="6">
        <f t="shared" si="198"/>
        <v>32</v>
      </c>
      <c r="K105" t="str">
        <f t="shared" si="199"/>
        <v>ОК</v>
      </c>
      <c r="L105" s="5">
        <f>IFERROR(IF(ISNUMBER(FIND("-",G105)),DATE(VALUE(LEFT(G105,4)),VALUE(MID(G105,6,2)),VALUE(RIGHT(G105,2))),IF(ISNUMBER(FIND(".",G105)),DATE(VALUE(RIGHT(G105,4)),VALUE(MID(G105,4,2)),VALUE(LEFT(G105,2))),DATE(VALUE(RIGHT(G105,4)),VLOOKUP(TRIM(MID(G105,FIND(" ",G105)+1,LEN(G105)-FIND(" ",G105)-5)),Справочники!$M$3:$N$14,2,0),VALUE(LEFT(G105,FIND(" ",G105)-1))))),"")</f>
        <v>45611</v>
      </c>
      <c r="M105" t="str">
        <f t="shared" si="200"/>
        <v xml:space="preserve">+7 (903) 012-34-56</v>
      </c>
      <c r="N105" t="str">
        <f t="shared" si="201"/>
        <v>denisov@yandex</v>
      </c>
      <c r="O105" t="str">
        <f t="shared" si="202"/>
        <v xml:space="preserve">Ошибка Email</v>
      </c>
      <c r="P105" t="str">
        <f>IFERROR(VLOOKUP(TRIM(SUBSTITUTE(SUBSTITUTE(" "&amp;F105," г "," "),"г.","")),Справочники!$J$3:$K$102,2,0),TRIM(SUBSTITUTE(SUBSTITUTE(" "&amp;F105," г "," "),"г.","")))</f>
        <v>Омск</v>
      </c>
    </row>
    <row r="106">
      <c r="A106" s="3" t="s">
        <v>2193</v>
      </c>
      <c r="B106" s="3" t="s">
        <v>4481</v>
      </c>
      <c r="C106" s="3" t="s">
        <v>4482</v>
      </c>
      <c r="D106" s="3" t="s">
        <v>4034</v>
      </c>
      <c r="E106" s="3" t="s">
        <v>4483</v>
      </c>
      <c r="F106" s="3" t="s">
        <v>4009</v>
      </c>
      <c r="G106" s="3" t="s">
        <v>4484</v>
      </c>
      <c r="H106" t="str">
        <f t="shared" si="197"/>
        <v xml:space="preserve">Серова Наталья Анатольевна</v>
      </c>
      <c r="I106" s="5">
        <f>IFERROR(IF(ISNUMBER(FIND("-",C106)),DATE(VALUE(LEFT(C106,4)),VALUE(MID(C106,6,2)),VALUE(RIGHT(C106,2))),IF(ISNUMBER(FIND(".",C106)),DATE(VALUE(RIGHT(C106,4)),VALUE(MID(C106,4,2)),VALUE(LEFT(C106,2))),DATE(VALUE(RIGHT(C106,4)),VLOOKUP(TRIM(MID(C106,FIND(" ",C106)+1,LEN(C106)-FIND(" ",C106)-5)),Справочники!$M$3:$N$14,2,0),VALUE(LEFT(C106,FIND(" ",C106)-1))))),"")</f>
        <v>28714</v>
      </c>
      <c r="J106" s="6">
        <f t="shared" si="198"/>
        <v>48</v>
      </c>
      <c r="K106" t="str">
        <f t="shared" si="199"/>
        <v>ОК</v>
      </c>
      <c r="L106" s="5">
        <f>IFERROR(IF(ISNUMBER(FIND("-",G106)),DATE(VALUE(LEFT(G106,4)),VALUE(MID(G106,6,2)),VALUE(RIGHT(G106,2))),IF(ISNUMBER(FIND(".",G106)),DATE(VALUE(RIGHT(G106,4)),VALUE(MID(G106,4,2)),VALUE(LEFT(G106,2))),DATE(VALUE(RIGHT(G106,4)),VLOOKUP(TRIM(MID(G106,FIND(" ",G106)+1,LEN(G106)-FIND(" ",G106)-5)),Справочники!$M$3:$N$14,2,0),VALUE(LEFT(G106,FIND(" ",G106)-1))))),"")</f>
        <v>45611</v>
      </c>
      <c r="M106" t="str">
        <f t="shared" si="200"/>
        <v xml:space="preserve">+7 (903) 123-45-67</v>
      </c>
      <c r="N106" t="str">
        <f t="shared" si="201"/>
        <v>serova@gmail</v>
      </c>
      <c r="O106" t="str">
        <f t="shared" si="202"/>
        <v xml:space="preserve">Ошибка Email</v>
      </c>
      <c r="P106" t="str">
        <f>IFERROR(VLOOKUP(TRIM(SUBSTITUTE(SUBSTITUTE(" "&amp;F106," г "," "),"г.","")),Справочники!$J$3:$K$102,2,0),TRIM(SUBSTITUTE(SUBSTITUTE(" "&amp;F106," г "," "),"г.","")))</f>
        <v>Ростов-на-Дону</v>
      </c>
    </row>
    <row r="107">
      <c r="A107" s="3" t="s">
        <v>2195</v>
      </c>
      <c r="B107" s="3" t="s">
        <v>4485</v>
      </c>
      <c r="C107" s="3" t="s">
        <v>4486</v>
      </c>
      <c r="D107" s="3" t="s">
        <v>4040</v>
      </c>
      <c r="E107" s="3" t="s">
        <v>4487</v>
      </c>
      <c r="F107" s="3" t="s">
        <v>4014</v>
      </c>
      <c r="G107" s="3" t="s">
        <v>4488</v>
      </c>
      <c r="H107" t="str">
        <f t="shared" si="197"/>
        <v xml:space="preserve">Голубев Максим Иванович</v>
      </c>
      <c r="I107" s="5">
        <f>IFERROR(IF(ISNUMBER(FIND("-",C107)),DATE(VALUE(LEFT(C107,4)),VALUE(MID(C107,6,2)),VALUE(RIGHT(C107,2))),IF(ISNUMBER(FIND(".",C107)),DATE(VALUE(RIGHT(C107,4)),VALUE(MID(C107,4,2)),VALUE(LEFT(C107,2))),DATE(VALUE(RIGHT(C107,4)),VLOOKUP(TRIM(MID(C107,FIND(" ",C107)+1,LEN(C107)-FIND(" ",C107)-5)),Справочники!$M$3:$N$14,2,0),VALUE(LEFT(C107,FIND(" ",C107)-1))))),"")</f>
        <v>30657</v>
      </c>
      <c r="J107" s="6">
        <f t="shared" si="198"/>
        <v>42</v>
      </c>
      <c r="K107" t="str">
        <f t="shared" si="199"/>
        <v>ОК</v>
      </c>
      <c r="L107" s="5">
        <f>IFERROR(IF(ISNUMBER(FIND("-",G107)),DATE(VALUE(LEFT(G107,4)),VALUE(MID(G107,6,2)),VALUE(RIGHT(G107,2))),IF(ISNUMBER(FIND(".",G107)),DATE(VALUE(RIGHT(G107,4)),VALUE(MID(G107,4,2)),VALUE(LEFT(G107,2))),DATE(VALUE(RIGHT(G107,4)),VLOOKUP(TRIM(MID(G107,FIND(" ",G107)+1,LEN(G107)-FIND(" ",G107)-5)),Справочники!$M$3:$N$14,2,0),VALUE(LEFT(G107,FIND(" ",G107)-1))))),"")</f>
        <v>45627</v>
      </c>
      <c r="M107" t="str">
        <f t="shared" si="200"/>
        <v xml:space="preserve">+7 (903) 123-45-67</v>
      </c>
      <c r="N107" t="str">
        <f t="shared" si="201"/>
        <v>golubev@mail</v>
      </c>
      <c r="O107" t="str">
        <f t="shared" si="202"/>
        <v xml:space="preserve">Ошибка Email</v>
      </c>
      <c r="P107" t="str">
        <f>IFERROR(VLOOKUP(TRIM(SUBSTITUTE(SUBSTITUTE(" "&amp;F107," г "," "),"г.","")),Справочники!$J$3:$K$102,2,0),TRIM(SUBSTITUTE(SUBSTITUTE(" "&amp;F107," г "," "),"г.","")))</f>
        <v>Уфа</v>
      </c>
    </row>
    <row r="108">
      <c r="A108" s="3" t="s">
        <v>2198</v>
      </c>
      <c r="B108" s="3" t="s">
        <v>4489</v>
      </c>
      <c r="C108" s="3" t="s">
        <v>4490</v>
      </c>
      <c r="D108" s="3" t="s">
        <v>1570</v>
      </c>
      <c r="E108" s="3" t="s">
        <v>4491</v>
      </c>
      <c r="F108" s="3" t="s">
        <v>4020</v>
      </c>
      <c r="G108" s="3" t="s">
        <v>4492</v>
      </c>
      <c r="H108" t="str">
        <f t="shared" si="197"/>
        <v xml:space="preserve">Панова Карина Александровна</v>
      </c>
      <c r="I108" s="5">
        <f>IFERROR(IF(ISNUMBER(FIND("-",C108)),DATE(VALUE(LEFT(C108,4)),VALUE(MID(C108,6,2)),VALUE(RIGHT(C108,2))),IF(ISNUMBER(FIND(".",C108)),DATE(VALUE(RIGHT(C108,4)),VALUE(MID(C108,4,2)),VALUE(LEFT(C108,2))),DATE(VALUE(RIGHT(C108,4)),VLOOKUP(TRIM(MID(C108,FIND(" ",C108)+1,LEN(C108)-FIND(" ",C108)-5)),Справочники!$M$3:$N$14,2,0),VALUE(LEFT(C108,FIND(" ",C108)-1))))),"")</f>
        <v>32952</v>
      </c>
      <c r="J108" s="6">
        <f t="shared" si="198"/>
        <v>36</v>
      </c>
      <c r="K108" t="str">
        <f t="shared" si="199"/>
        <v>ОК</v>
      </c>
      <c r="L108" s="5">
        <f>IFERROR(IF(ISNUMBER(FIND("-",G108)),DATE(VALUE(LEFT(G108,4)),VALUE(MID(G108,6,2)),VALUE(RIGHT(G108,2))),IF(ISNUMBER(FIND(".",G108)),DATE(VALUE(RIGHT(G108,4)),VALUE(MID(G108,4,2)),VALUE(LEFT(G108,2))),DATE(VALUE(RIGHT(G108,4)),VLOOKUP(TRIM(MID(G108,FIND(" ",G108)+1,LEN(G108)-FIND(" ",G108)-5)),Справочники!$M$3:$N$14,2,0),VALUE(LEFT(G108,FIND(" ",G108)-1))))),"")</f>
        <v>45636</v>
      </c>
      <c r="M108" t="str">
        <f t="shared" si="200"/>
        <v xml:space="preserve">+7 (903) 123-45-67</v>
      </c>
      <c r="N108" t="str">
        <f t="shared" si="201"/>
        <v>panova@yandex</v>
      </c>
      <c r="O108" t="str">
        <f t="shared" si="202"/>
        <v xml:space="preserve">Ошибка Email</v>
      </c>
      <c r="P108" t="str">
        <f>IFERROR(VLOOKUP(TRIM(SUBSTITUTE(SUBSTITUTE(" "&amp;F108," г "," "),"г.","")),Справочники!$J$3:$K$102,2,0),TRIM(SUBSTITUTE(SUBSTITUTE(" "&amp;F108," г "," "),"г.","")))</f>
        <v>Красноярск</v>
      </c>
    </row>
    <row r="109">
      <c r="A109" s="3" t="s">
        <v>2200</v>
      </c>
      <c r="B109" s="3" t="s">
        <v>4493</v>
      </c>
      <c r="C109" s="3" t="s">
        <v>4494</v>
      </c>
      <c r="D109" s="3" t="s">
        <v>4051</v>
      </c>
      <c r="E109" s="3" t="s">
        <v>4495</v>
      </c>
      <c r="F109" s="3" t="s">
        <v>4030</v>
      </c>
      <c r="G109" s="3" t="s">
        <v>4496</v>
      </c>
      <c r="H109" t="str">
        <f t="shared" si="197"/>
        <v xml:space="preserve">Шевченко Тимофей Олегович</v>
      </c>
      <c r="I109" s="5">
        <f>IFERROR(IF(ISNUMBER(FIND("-",C109)),DATE(VALUE(LEFT(C109,4)),VALUE(MID(C109,6,2)),VALUE(RIGHT(C109,2))),IF(ISNUMBER(FIND(".",C109)),DATE(VALUE(RIGHT(C109,4)),VALUE(MID(C109,4,2)),VALUE(LEFT(C109,2))),DATE(VALUE(RIGHT(C109,4)),VLOOKUP(TRIM(MID(C109,FIND(" ",C109)+1,LEN(C109)-FIND(" ",C109)-5)),Справочники!$M$3:$N$14,2,0),VALUE(LEFT(C109,FIND(" ",C109)-1))))),"")</f>
        <v>27692</v>
      </c>
      <c r="J109" s="6">
        <f t="shared" si="198"/>
        <v>50</v>
      </c>
      <c r="K109" t="str">
        <f t="shared" si="199"/>
        <v>ОК</v>
      </c>
      <c r="L109" s="5">
        <f>IFERROR(IF(ISNUMBER(FIND("-",G109)),DATE(VALUE(LEFT(G109,4)),VALUE(MID(G109,6,2)),VALUE(RIGHT(G109,2))),IF(ISNUMBER(FIND(".",G109)),DATE(VALUE(RIGHT(G109,4)),VALUE(MID(G109,4,2)),VALUE(LEFT(G109,2))),DATE(VALUE(RIGHT(G109,4)),VLOOKUP(TRIM(MID(G109,FIND(" ",G109)+1,LEN(G109)-FIND(" ",G109)-5)),Справочники!$M$3:$N$14,2,0),VALUE(LEFT(G109,FIND(" ",G109)-1))))),"")</f>
        <v>45636</v>
      </c>
      <c r="M109" t="str">
        <f t="shared" si="200"/>
        <v xml:space="preserve">+7 (903) 234-56-78</v>
      </c>
      <c r="N109" t="str">
        <f t="shared" si="201"/>
        <v>shevchenko@gmail</v>
      </c>
      <c r="O109" t="str">
        <f t="shared" si="202"/>
        <v xml:space="preserve">Ошибка Email</v>
      </c>
      <c r="P109" t="str">
        <f>IFERROR(VLOOKUP(TRIM(SUBSTITUTE(SUBSTITUTE(" "&amp;F109," г "," "),"г.","")),Справочники!$J$3:$K$102,2,0),TRIM(SUBSTITUTE(SUBSTITUTE(" "&amp;F109," г "," "),"г.","")))</f>
        <v>Волгоград</v>
      </c>
    </row>
    <row r="110">
      <c r="A110" s="3" t="s">
        <v>2203</v>
      </c>
      <c r="B110" s="3" t="s">
        <v>4497</v>
      </c>
      <c r="C110" s="3" t="s">
        <v>4498</v>
      </c>
      <c r="D110" s="3" t="s">
        <v>4057</v>
      </c>
      <c r="E110" s="3" t="s">
        <v>4499</v>
      </c>
      <c r="F110" s="3" t="s">
        <v>4036</v>
      </c>
      <c r="G110" s="3" t="s">
        <v>4500</v>
      </c>
      <c r="H110" t="str">
        <f t="shared" si="197"/>
        <v xml:space="preserve">Титова Ника Павловна</v>
      </c>
      <c r="I110" s="5">
        <f>IFERROR(IF(ISNUMBER(FIND("-",C110)),DATE(VALUE(LEFT(C110,4)),VALUE(MID(C110,6,2)),VALUE(RIGHT(C110,2))),IF(ISNUMBER(FIND(".",C110)),DATE(VALUE(RIGHT(C110,4)),VALUE(MID(C110,4,2)),VALUE(LEFT(C110,2))),DATE(VALUE(RIGHT(C110,4)),VLOOKUP(TRIM(MID(C110,FIND(" ",C110)+1,LEN(C110)-FIND(" ",C110)-5)),Справочники!$M$3:$N$14,2,0),VALUE(LEFT(C110,FIND(" ",C110)-1))))),"")</f>
        <v>30198</v>
      </c>
      <c r="J110" s="6">
        <f t="shared" si="198"/>
        <v>44</v>
      </c>
      <c r="K110" t="str">
        <f t="shared" si="199"/>
        <v>ОК</v>
      </c>
      <c r="L110" s="5">
        <f>IFERROR(IF(ISNUMBER(FIND("-",G110)),DATE(VALUE(LEFT(G110,4)),VALUE(MID(G110,6,2)),VALUE(RIGHT(G110,2))),IF(ISNUMBER(FIND(".",G110)),DATE(VALUE(RIGHT(G110,4)),VALUE(MID(G110,4,2)),VALUE(LEFT(G110,2))),DATE(VALUE(RIGHT(G110,4)),VLOOKUP(TRIM(MID(G110,FIND(" ",G110)+1,LEN(G110)-FIND(" ",G110)-5)),Справочники!$M$3:$N$14,2,0),VALUE(LEFT(G110,FIND(" ",G110)-1))))),"")</f>
        <v>45658</v>
      </c>
      <c r="M110" t="str">
        <f t="shared" si="200"/>
        <v xml:space="preserve">+7 (903) 234-56-78</v>
      </c>
      <c r="N110" t="str">
        <f t="shared" si="201"/>
        <v>titova@mail</v>
      </c>
      <c r="O110" t="str">
        <f t="shared" si="202"/>
        <v xml:space="preserve">Ошибка Email</v>
      </c>
      <c r="P110" t="str">
        <f>IFERROR(VLOOKUP(TRIM(SUBSTITUTE(SUBSTITUTE(" "&amp;F110," г "," "),"г.","")),Справочники!$J$3:$K$102,2,0),TRIM(SUBSTITUTE(SUBSTITUTE(" "&amp;F110," г "," "),"г.","")))</f>
        <v>Воронеж</v>
      </c>
    </row>
    <row r="111">
      <c r="A111" s="3" t="s">
        <v>2204</v>
      </c>
      <c r="B111" s="3" t="s">
        <v>4501</v>
      </c>
      <c r="C111" s="3" t="s">
        <v>4502</v>
      </c>
      <c r="D111" s="3" t="s">
        <v>1712</v>
      </c>
      <c r="E111" s="3" t="s">
        <v>4503</v>
      </c>
      <c r="F111" s="3" t="s">
        <v>3986</v>
      </c>
      <c r="G111" s="3" t="s">
        <v>4504</v>
      </c>
      <c r="H111" t="str">
        <f t="shared" si="197"/>
        <v xml:space="preserve">Федотов Илья Степанович</v>
      </c>
      <c r="I111" s="5">
        <f>IFERROR(IF(ISNUMBER(FIND("-",C111)),DATE(VALUE(LEFT(C111,4)),VALUE(MID(C111,6,2)),VALUE(RIGHT(C111,2))),IF(ISNUMBER(FIND(".",C111)),DATE(VALUE(RIGHT(C111,4)),VALUE(MID(C111,4,2)),VALUE(LEFT(C111,2))),DATE(VALUE(RIGHT(C111,4)),VLOOKUP(TRIM(MID(C111,FIND(" ",C111)+1,LEN(C111)-FIND(" ",C111)-5)),Справочники!$M$3:$N$14,2,0),VALUE(LEFT(C111,FIND(" ",C111)-1))))),"")</f>
        <v>34868</v>
      </c>
      <c r="J111" s="6">
        <f t="shared" si="198"/>
        <v>31</v>
      </c>
      <c r="K111" t="str">
        <f t="shared" si="199"/>
        <v>ОК</v>
      </c>
      <c r="L111" s="5">
        <f>IFERROR(IF(ISNUMBER(FIND("-",G111)),DATE(VALUE(LEFT(G111,4)),VALUE(MID(G111,6,2)),VALUE(RIGHT(G111,2))),IF(ISNUMBER(FIND(".",G111)),DATE(VALUE(RIGHT(G111,4)),VALUE(MID(G111,4,2)),VALUE(LEFT(G111,2))),DATE(VALUE(RIGHT(G111,4)),VLOOKUP(TRIM(MID(G111,FIND(" ",G111)+1,LEN(G111)-FIND(" ",G111)-5)),Справочники!$M$3:$N$14,2,0),VALUE(LEFT(G111,FIND(" ",G111)-1))))),"")</f>
        <v>45672</v>
      </c>
      <c r="M111" t="str">
        <f t="shared" si="200"/>
        <v xml:space="preserve">+7 (903) 234-56-78</v>
      </c>
      <c r="N111" t="str">
        <f t="shared" si="201"/>
        <v>fedotov@yandex</v>
      </c>
      <c r="O111" t="str">
        <f t="shared" si="202"/>
        <v xml:space="preserve">Ошибка Email</v>
      </c>
      <c r="P111" t="str">
        <f>IFERROR(VLOOKUP(TRIM(SUBSTITUTE(SUBSTITUTE(" "&amp;F111," г "," "),"г.","")),Справочники!$J$3:$K$102,2,0),TRIM(SUBSTITUTE(SUBSTITUTE(" "&amp;F111," г "," "),"г.","")))</f>
        <v xml:space="preserve">Нижний Новгород</v>
      </c>
    </row>
    <row r="112">
      <c r="A112" s="3" t="s">
        <v>2207</v>
      </c>
      <c r="B112" s="3" t="s">
        <v>4505</v>
      </c>
      <c r="C112" s="3" t="s">
        <v>4506</v>
      </c>
      <c r="D112" s="3" t="s">
        <v>1584</v>
      </c>
      <c r="E112" s="3" t="s">
        <v>4507</v>
      </c>
      <c r="F112" s="3" t="s">
        <v>3975</v>
      </c>
      <c r="G112" s="3" t="s">
        <v>4508</v>
      </c>
      <c r="H112" t="str">
        <f t="shared" si="197"/>
        <v xml:space="preserve">Захарова Елизавета Максимовна</v>
      </c>
      <c r="I112" s="5">
        <f>IFERROR(IF(ISNUMBER(FIND("-",C112)),DATE(VALUE(LEFT(C112,4)),VALUE(MID(C112,6,2)),VALUE(RIGHT(C112,2))),IF(ISNUMBER(FIND(".",C112)),DATE(VALUE(RIGHT(C112,4)),VALUE(MID(C112,4,2)),VALUE(LEFT(C112,2))),DATE(VALUE(RIGHT(C112,4)),VLOOKUP(TRIM(MID(C112,FIND(" ",C112)+1,LEN(C112)-FIND(" ",C112)-5)),Справочники!$M$3:$N$14,2,0),VALUE(LEFT(C112,FIND(" ",C112)-1))))),"")</f>
        <v>25991</v>
      </c>
      <c r="J112" s="6">
        <f t="shared" si="198"/>
        <v>55</v>
      </c>
      <c r="K112" t="str">
        <f t="shared" si="199"/>
        <v>ОК</v>
      </c>
      <c r="L112" s="5">
        <f>IFERROR(IF(ISNUMBER(FIND("-",G112)),DATE(VALUE(LEFT(G112,4)),VALUE(MID(G112,6,2)),VALUE(RIGHT(G112,2))),IF(ISNUMBER(FIND(".",G112)),DATE(VALUE(RIGHT(G112,4)),VALUE(MID(G112,4,2)),VALUE(LEFT(G112,2))),DATE(VALUE(RIGHT(G112,4)),VLOOKUP(TRIM(MID(G112,FIND(" ",G112)+1,LEN(G112)-FIND(" ",G112)-5)),Справочники!$M$3:$N$14,2,0),VALUE(LEFT(G112,FIND(" ",G112)-1))))),"")</f>
        <v>45672</v>
      </c>
      <c r="M112" t="str">
        <f t="shared" si="200"/>
        <v xml:space="preserve">+7 (903) 345-67-89</v>
      </c>
      <c r="N112" t="str">
        <f t="shared" si="201"/>
        <v>zaharova@gmail</v>
      </c>
      <c r="O112" t="str">
        <f t="shared" si="202"/>
        <v xml:space="preserve">Ошибка Email</v>
      </c>
      <c r="P112" t="str">
        <f>IFERROR(VLOOKUP(TRIM(SUBSTITUTE(SUBSTITUTE(" "&amp;F112," г "," "),"г.","")),Справочники!$J$3:$K$102,2,0),TRIM(SUBSTITUTE(SUBSTITUTE(" "&amp;F112," г "," "),"г.","")))</f>
        <v>Новосибирск</v>
      </c>
    </row>
    <row r="113">
      <c r="A113" s="3" t="s">
        <v>2209</v>
      </c>
      <c r="B113" s="3" t="s">
        <v>4509</v>
      </c>
      <c r="C113" s="3" t="s">
        <v>4510</v>
      </c>
      <c r="D113" s="3" t="s">
        <v>4073</v>
      </c>
      <c r="E113" s="3" t="s">
        <v>4511</v>
      </c>
      <c r="F113" s="3" t="s">
        <v>3970</v>
      </c>
      <c r="G113" s="3" t="s">
        <v>4512</v>
      </c>
      <c r="H113" t="str">
        <f t="shared" si="197"/>
        <v xml:space="preserve">Беляева Мария Сергеевна</v>
      </c>
      <c r="I113" s="5">
        <f>IFERROR(IF(ISNUMBER(FIND("-",C113)),DATE(VALUE(LEFT(C113,4)),VALUE(MID(C113,6,2)),VALUE(RIGHT(C113,2))),IF(ISNUMBER(FIND(".",C113)),DATE(VALUE(RIGHT(C113,4)),VALUE(MID(C113,4,2)),VALUE(LEFT(C113,2))),DATE(VALUE(RIGHT(C113,4)),VLOOKUP(TRIM(MID(C113,FIND(" ",C113)+1,LEN(C113)-FIND(" ",C113)-5)),Справочники!$M$3:$N$14,2,0),VALUE(LEFT(C113,FIND(" ",C113)-1))))),"")</f>
        <v>30995</v>
      </c>
      <c r="J113" s="6">
        <f t="shared" si="198"/>
        <v>41</v>
      </c>
      <c r="K113" t="str">
        <f t="shared" si="199"/>
        <v>ОК</v>
      </c>
      <c r="L113" s="5">
        <f>IFERROR(IF(ISNUMBER(FIND("-",G113)),DATE(VALUE(LEFT(G113,4)),VALUE(MID(G113,6,2)),VALUE(RIGHT(G113,2))),IF(ISNUMBER(FIND(".",G113)),DATE(VALUE(RIGHT(G113,4)),VALUE(MID(G113,4,2)),VALUE(LEFT(G113,2))),DATE(VALUE(RIGHT(G113,4)),VLOOKUP(TRIM(MID(G113,FIND(" ",G113)+1,LEN(G113)-FIND(" ",G113)-5)),Справочники!$M$3:$N$14,2,0),VALUE(LEFT(G113,FIND(" ",G113)-1))))),"")</f>
        <v>45689</v>
      </c>
      <c r="M113" t="str">
        <f t="shared" si="200"/>
        <v xml:space="preserve">+7 (903) 345-67-89</v>
      </c>
      <c r="N113" t="str">
        <f t="shared" si="201"/>
        <v>belyaeva@mail</v>
      </c>
      <c r="O113" t="str">
        <f t="shared" si="202"/>
        <v xml:space="preserve">Ошибка Email</v>
      </c>
      <c r="P113" t="str">
        <f>IFERROR(VLOOKUP(TRIM(SUBSTITUTE(SUBSTITUTE(" "&amp;F113," г "," "),"г.","")),Справочники!$J$3:$K$102,2,0),TRIM(SUBSTITUTE(SUBSTITUTE(" "&amp;F113," г "," "),"г.","")))</f>
        <v>Екатеринбург</v>
      </c>
    </row>
    <row r="114">
      <c r="A114" s="3" t="s">
        <v>2211</v>
      </c>
      <c r="B114" s="3" t="s">
        <v>4513</v>
      </c>
      <c r="C114" s="3" t="s">
        <v>4514</v>
      </c>
      <c r="D114" s="3" t="s">
        <v>4079</v>
      </c>
      <c r="E114" s="3" t="s">
        <v>4515</v>
      </c>
      <c r="F114" s="3" t="s">
        <v>3980</v>
      </c>
      <c r="G114" s="3" t="s">
        <v>4516</v>
      </c>
      <c r="H114" t="str">
        <f t="shared" si="197"/>
        <v xml:space="preserve">Новиков Петр Дмитриевич</v>
      </c>
      <c r="I114" s="5">
        <f>IFERROR(IF(ISNUMBER(FIND("-",C114)),DATE(VALUE(LEFT(C114,4)),VALUE(MID(C114,6,2)),VALUE(RIGHT(C114,2))),IF(ISNUMBER(FIND(".",C114)),DATE(VALUE(RIGHT(C114,4)),VALUE(MID(C114,4,2)),VALUE(LEFT(C114,2))),DATE(VALUE(RIGHT(C114,4)),VLOOKUP(TRIM(MID(C114,FIND(" ",C114)+1,LEN(C114)-FIND(" ",C114)-5)),Справочники!$M$3:$N$14,2,0),VALUE(LEFT(C114,FIND(" ",C114)-1))))),"")</f>
        <v>33800</v>
      </c>
      <c r="J114" s="6">
        <f t="shared" si="198"/>
        <v>34</v>
      </c>
      <c r="K114" t="str">
        <f t="shared" si="199"/>
        <v>ОК</v>
      </c>
      <c r="L114" s="5">
        <f>IFERROR(IF(ISNUMBER(FIND("-",G114)),DATE(VALUE(LEFT(G114,4)),VALUE(MID(G114,6,2)),VALUE(RIGHT(G114,2))),IF(ISNUMBER(FIND(".",G114)),DATE(VALUE(RIGHT(G114,4)),VALUE(MID(G114,4,2)),VALUE(LEFT(G114,2))),DATE(VALUE(RIGHT(G114,4)),VLOOKUP(TRIM(MID(G114,FIND(" ",G114)+1,LEN(G114)-FIND(" ",G114)-5)),Справочники!$M$3:$N$14,2,0),VALUE(LEFT(G114,FIND(" ",G114)-1))))),"")</f>
        <v>45698</v>
      </c>
      <c r="M114" t="str">
        <f t="shared" si="200"/>
        <v xml:space="preserve">+7 (903) 345-67-89</v>
      </c>
      <c r="N114" t="str">
        <f t="shared" si="201"/>
        <v>novikov@yandex</v>
      </c>
      <c r="O114" t="str">
        <f t="shared" si="202"/>
        <v xml:space="preserve">Ошибка Email</v>
      </c>
      <c r="P114" t="str">
        <f>IFERROR(VLOOKUP(TRIM(SUBSTITUTE(SUBSTITUTE(" "&amp;F114," г "," "),"г.","")),Справочники!$J$3:$K$102,2,0),TRIM(SUBSTITUTE(SUBSTITUTE(" "&amp;F114," г "," "),"г.","")))</f>
        <v>Казань</v>
      </c>
    </row>
    <row r="115">
      <c r="A115" s="3" t="s">
        <v>2213</v>
      </c>
      <c r="B115" s="3" t="s">
        <v>4517</v>
      </c>
      <c r="C115" s="3" t="s">
        <v>4518</v>
      </c>
      <c r="D115" s="3" t="s">
        <v>4085</v>
      </c>
      <c r="E115" s="3" t="s">
        <v>4519</v>
      </c>
      <c r="F115" s="3" t="s">
        <v>3997</v>
      </c>
      <c r="G115" s="3" t="s">
        <v>4520</v>
      </c>
      <c r="H115" t="str">
        <f t="shared" si="197"/>
        <v xml:space="preserve">Осипова Ксения Игоревна</v>
      </c>
      <c r="I115" s="5">
        <f>IFERROR(IF(ISNUMBER(FIND("-",C115)),DATE(VALUE(LEFT(C115,4)),VALUE(MID(C115,6,2)),VALUE(RIGHT(C115,2))),IF(ISNUMBER(FIND(".",C115)),DATE(VALUE(RIGHT(C115,4)),VALUE(MID(C115,4,2)),VALUE(LEFT(C115,2))),DATE(VALUE(RIGHT(C115,4)),VLOOKUP(TRIM(MID(C115,FIND(" ",C115)+1,LEN(C115)-FIND(" ",C115)-5)),Справочники!$M$3:$N$14,2,0),VALUE(LEFT(C115,FIND(" ",C115)-1))))),"")</f>
        <v>28245</v>
      </c>
      <c r="J115" s="6">
        <f t="shared" si="198"/>
        <v>49</v>
      </c>
      <c r="K115" t="str">
        <f t="shared" si="199"/>
        <v>ОК</v>
      </c>
      <c r="L115" s="5">
        <f>IFERROR(IF(ISNUMBER(FIND("-",G115)),DATE(VALUE(LEFT(G115,4)),VALUE(MID(G115,6,2)),VALUE(RIGHT(G115,2))),IF(ISNUMBER(FIND(".",G115)),DATE(VALUE(RIGHT(G115,4)),VALUE(MID(G115,4,2)),VALUE(LEFT(G115,2))),DATE(VALUE(RIGHT(G115,4)),VLOOKUP(TRIM(MID(G115,FIND(" ",G115)+1,LEN(G115)-FIND(" ",G115)-5)),Справочники!$M$3:$N$14,2,0),VALUE(LEFT(G115,FIND(" ",G115)-1))))),"")</f>
        <v>45698</v>
      </c>
      <c r="M115" t="str">
        <f t="shared" si="200"/>
        <v xml:space="preserve">+7 (903) 456-78-90</v>
      </c>
      <c r="N115" t="str">
        <f t="shared" si="201"/>
        <v>osipova@gmail</v>
      </c>
      <c r="O115" t="str">
        <f t="shared" si="202"/>
        <v xml:space="preserve">Ошибка Email</v>
      </c>
      <c r="P115" t="str">
        <f>IFERROR(VLOOKUP(TRIM(SUBSTITUTE(SUBSTITUTE(" "&amp;F115," г "," "),"г.","")),Справочники!$J$3:$K$102,2,0),TRIM(SUBSTITUTE(SUBSTITUTE(" "&amp;F115," г "," "),"г.","")))</f>
        <v>Самара</v>
      </c>
    </row>
    <row r="116">
      <c r="A116" s="3" t="s">
        <v>2215</v>
      </c>
      <c r="B116" s="3" t="s">
        <v>4521</v>
      </c>
      <c r="C116" s="3" t="s">
        <v>4522</v>
      </c>
      <c r="D116" s="3" t="s">
        <v>1591</v>
      </c>
      <c r="E116" s="3" t="s">
        <v>4523</v>
      </c>
      <c r="F116" s="3" t="s">
        <v>3992</v>
      </c>
      <c r="G116" s="3" t="s">
        <v>4524</v>
      </c>
      <c r="H116" t="str">
        <f t="shared" si="197"/>
        <v xml:space="preserve">Климов Алексей Сергеевич</v>
      </c>
      <c r="I116" s="5">
        <f>IFERROR(IF(ISNUMBER(FIND("-",C116)),DATE(VALUE(LEFT(C116,4)),VALUE(MID(C116,6,2)),VALUE(RIGHT(C116,2))),IF(ISNUMBER(FIND(".",C116)),DATE(VALUE(RIGHT(C116,4)),VALUE(MID(C116,4,2)),VALUE(LEFT(C116,2))),DATE(VALUE(RIGHT(C116,4)),VLOOKUP(TRIM(MID(C116,FIND(" ",C116)+1,LEN(C116)-FIND(" ",C116)-5)),Справочники!$M$3:$N$14,2,0),VALUE(LEFT(C116,FIND(" ",C116)-1))))),"")</f>
        <v>32865</v>
      </c>
      <c r="J116" s="6">
        <f t="shared" si="198"/>
        <v>36</v>
      </c>
      <c r="K116" t="str">
        <f t="shared" si="199"/>
        <v>ОК</v>
      </c>
      <c r="L116" s="5">
        <f>IFERROR(IF(ISNUMBER(FIND("-",G116)),DATE(VALUE(LEFT(G116,4)),VALUE(MID(G116,6,2)),VALUE(RIGHT(G116,2))),IF(ISNUMBER(FIND(".",G116)),DATE(VALUE(RIGHT(G116,4)),VALUE(MID(G116,4,2)),VALUE(LEFT(G116,2))),DATE(VALUE(RIGHT(G116,4)),VLOOKUP(TRIM(MID(G116,FIND(" ",G116)+1,LEN(G116)-FIND(" ",G116)-5)),Справочники!$M$3:$N$14,2,0),VALUE(LEFT(G116,FIND(" ",G116)-1))))),"")</f>
        <v>45717</v>
      </c>
      <c r="M116" t="str">
        <f t="shared" si="200"/>
        <v xml:space="preserve">+7 (903) 456-78-90</v>
      </c>
      <c r="N116" t="str">
        <f t="shared" si="201"/>
        <v>klimov@mail</v>
      </c>
      <c r="O116" t="str">
        <f t="shared" si="202"/>
        <v xml:space="preserve">Ошибка Email</v>
      </c>
      <c r="P116" t="str">
        <f>IFERROR(VLOOKUP(TRIM(SUBSTITUTE(SUBSTITUTE(" "&amp;F116," г "," "),"г.","")),Справочники!$J$3:$K$102,2,0),TRIM(SUBSTITUTE(SUBSTITUTE(" "&amp;F116," г "," "),"г.","")))</f>
        <v>Челябинск</v>
      </c>
    </row>
    <row r="117">
      <c r="A117" s="3" t="s">
        <v>2217</v>
      </c>
      <c r="B117" s="3" t="s">
        <v>4525</v>
      </c>
      <c r="C117" s="3" t="s">
        <v>4526</v>
      </c>
      <c r="D117" s="3" t="s">
        <v>1660</v>
      </c>
      <c r="E117" s="3" t="s">
        <v>4527</v>
      </c>
      <c r="F117" s="3" t="s">
        <v>4003</v>
      </c>
      <c r="G117" s="3" t="s">
        <v>4528</v>
      </c>
      <c r="H117" t="str">
        <f t="shared" si="197"/>
        <v xml:space="preserve">Шмидт Елена Викторовна</v>
      </c>
      <c r="I117" s="5">
        <f>IFERROR(IF(ISNUMBER(FIND("-",C117)),DATE(VALUE(LEFT(C117,4)),VALUE(MID(C117,6,2)),VALUE(RIGHT(C117,2))),IF(ISNUMBER(FIND(".",C117)),DATE(VALUE(RIGHT(C117,4)),VALUE(MID(C117,4,2)),VALUE(LEFT(C117,2))),DATE(VALUE(RIGHT(C117,4)),VLOOKUP(TRIM(MID(C117,FIND(" ",C117)+1,LEN(C117)-FIND(" ",C117)-5)),Справочники!$M$3:$N$14,2,0),VALUE(LEFT(C117,FIND(" ",C117)-1))))),"")</f>
        <v>27247</v>
      </c>
      <c r="J117" s="6">
        <f t="shared" si="198"/>
        <v>52</v>
      </c>
      <c r="K117" t="str">
        <f t="shared" si="199"/>
        <v>ОК</v>
      </c>
      <c r="L117" s="5">
        <f>IFERROR(IF(ISNUMBER(FIND("-",G117)),DATE(VALUE(LEFT(G117,4)),VALUE(MID(G117,6,2)),VALUE(RIGHT(G117,2))),IF(ISNUMBER(FIND(".",G117)),DATE(VALUE(RIGHT(G117,4)),VALUE(MID(G117,4,2)),VALUE(LEFT(G117,2))),DATE(VALUE(RIGHT(G117,4)),VLOOKUP(TRIM(MID(G117,FIND(" ",G117)+1,LEN(G117)-FIND(" ",G117)-5)),Справочники!$M$3:$N$14,2,0),VALUE(LEFT(G117,FIND(" ",G117)-1))))),"")</f>
        <v>45731</v>
      </c>
      <c r="M117" t="str">
        <f t="shared" si="200"/>
        <v xml:space="preserve">+7 (903) 456-78-90</v>
      </c>
      <c r="N117" t="str">
        <f t="shared" si="201"/>
        <v>shmidt@yandex</v>
      </c>
      <c r="O117" t="str">
        <f t="shared" si="202"/>
        <v xml:space="preserve">Ошибка Email</v>
      </c>
      <c r="P117" t="str">
        <f>IFERROR(VLOOKUP(TRIM(SUBSTITUTE(SUBSTITUTE(" "&amp;F117," г "," "),"г.","")),Справочники!$J$3:$K$102,2,0),TRIM(SUBSTITUTE(SUBSTITUTE(" "&amp;F117," г "," "),"г.","")))</f>
        <v>Омск</v>
      </c>
    </row>
    <row r="118">
      <c r="A118" s="3" t="s">
        <v>2219</v>
      </c>
      <c r="B118" s="3" t="s">
        <v>4529</v>
      </c>
      <c r="C118" s="3" t="s">
        <v>4530</v>
      </c>
      <c r="D118" s="3" t="s">
        <v>3984</v>
      </c>
      <c r="E118" s="3" t="s">
        <v>4531</v>
      </c>
      <c r="F118" s="3" t="s">
        <v>4009</v>
      </c>
      <c r="G118" s="3" t="s">
        <v>4532</v>
      </c>
      <c r="H118" t="str">
        <f t="shared" si="197"/>
        <v xml:space="preserve">Золотарева Людмила Петровна</v>
      </c>
      <c r="I118" s="5">
        <f>IFERROR(IF(ISNUMBER(FIND("-",C118)),DATE(VALUE(LEFT(C118,4)),VALUE(MID(C118,6,2)),VALUE(RIGHT(C118,2))),IF(ISNUMBER(FIND(".",C118)),DATE(VALUE(RIGHT(C118,4)),VALUE(MID(C118,4,2)),VALUE(LEFT(C118,2))),DATE(VALUE(RIGHT(C118,4)),VLOOKUP(TRIM(MID(C118,FIND(" ",C118)+1,LEN(C118)-FIND(" ",C118)-5)),Справочники!$M$3:$N$14,2,0),VALUE(LEFT(C118,FIND(" ",C118)-1))))),"")</f>
        <v>31431</v>
      </c>
      <c r="J118" s="6">
        <f t="shared" si="198"/>
        <v>40</v>
      </c>
      <c r="K118" t="str">
        <f t="shared" si="199"/>
        <v>ОК</v>
      </c>
      <c r="L118" s="5">
        <f>IFERROR(IF(ISNUMBER(FIND("-",G118)),DATE(VALUE(LEFT(G118,4)),VALUE(MID(G118,6,2)),VALUE(RIGHT(G118,2))),IF(ISNUMBER(FIND(".",G118)),DATE(VALUE(RIGHT(G118,4)),VALUE(MID(G118,4,2)),VALUE(LEFT(G118,2))),DATE(VALUE(RIGHT(G118,4)),VLOOKUP(TRIM(MID(G118,FIND(" ",G118)+1,LEN(G118)-FIND(" ",G118)-5)),Справочники!$M$3:$N$14,2,0),VALUE(LEFT(G118,FIND(" ",G118)-1))))),"")</f>
        <v>45731</v>
      </c>
      <c r="M118" t="str">
        <f t="shared" si="200"/>
        <v xml:space="preserve">+7 (903) 567-89-01</v>
      </c>
      <c r="N118" t="str">
        <f t="shared" si="201"/>
        <v>zolotareva@gmail</v>
      </c>
      <c r="O118" t="str">
        <f t="shared" si="202"/>
        <v xml:space="preserve">Ошибка Email</v>
      </c>
      <c r="P118" t="str">
        <f>IFERROR(VLOOKUP(TRIM(SUBSTITUTE(SUBSTITUTE(" "&amp;F118," г "," "),"г.","")),Справочники!$J$3:$K$102,2,0),TRIM(SUBSTITUTE(SUBSTITUTE(" "&amp;F118," г "," "),"г.","")))</f>
        <v>Ростов-на-Дону</v>
      </c>
    </row>
    <row r="119">
      <c r="A119" s="3" t="s">
        <v>2221</v>
      </c>
      <c r="B119" s="3" t="s">
        <v>4533</v>
      </c>
      <c r="C119" s="3" t="s">
        <v>4000</v>
      </c>
      <c r="D119" s="3" t="s">
        <v>3990</v>
      </c>
      <c r="E119" s="3" t="s">
        <v>4534</v>
      </c>
      <c r="F119" s="3" t="s">
        <v>4014</v>
      </c>
      <c r="G119" s="3" t="s">
        <v>4535</v>
      </c>
      <c r="H119" t="str">
        <f t="shared" si="197"/>
        <v xml:space="preserve">Субботин Владислав Романович</v>
      </c>
      <c r="I119" s="5">
        <f>IFERROR(IF(ISNUMBER(FIND("-",C119)),DATE(VALUE(LEFT(C119,4)),VALUE(MID(C119,6,2)),VALUE(RIGHT(C119,2))),IF(ISNUMBER(FIND(".",C119)),DATE(VALUE(RIGHT(C119,4)),VALUE(MID(C119,4,2)),VALUE(LEFT(C119,2))),DATE(VALUE(RIGHT(C119,4)),VLOOKUP(TRIM(MID(C119,FIND(" ",C119)+1,LEN(C119)-FIND(" ",C119)-5)),Справочники!$M$3:$N$14,2,0),VALUE(LEFT(C119,FIND(" ",C119)-1))))),"")</f>
        <v>34244</v>
      </c>
      <c r="J119" s="6">
        <f t="shared" si="198"/>
        <v>33</v>
      </c>
      <c r="K119" t="str">
        <f t="shared" si="199"/>
        <v>ОК</v>
      </c>
      <c r="L119" s="5">
        <f>IFERROR(IF(ISNUMBER(FIND("-",G119)),DATE(VALUE(LEFT(G119,4)),VALUE(MID(G119,6,2)),VALUE(RIGHT(G119,2))),IF(ISNUMBER(FIND(".",G119)),DATE(VALUE(RIGHT(G119,4)),VALUE(MID(G119,4,2)),VALUE(LEFT(G119,2))),DATE(VALUE(RIGHT(G119,4)),VLOOKUP(TRIM(MID(G119,FIND(" ",G119)+1,LEN(G119)-FIND(" ",G119)-5)),Справочники!$M$3:$N$14,2,0),VALUE(LEFT(G119,FIND(" ",G119)-1))))),"")</f>
        <v>45748</v>
      </c>
      <c r="M119" t="str">
        <f t="shared" si="200"/>
        <v xml:space="preserve">+7 (903) 567-89-01</v>
      </c>
      <c r="N119" t="str">
        <f t="shared" si="201"/>
        <v>subbotin@mail</v>
      </c>
      <c r="O119" t="str">
        <f t="shared" si="202"/>
        <v xml:space="preserve">Ошибка Email</v>
      </c>
      <c r="P119" t="str">
        <f>IFERROR(VLOOKUP(TRIM(SUBSTITUTE(SUBSTITUTE(" "&amp;F119," г "," "),"г.","")),Справочники!$J$3:$K$102,2,0),TRIM(SUBSTITUTE(SUBSTITUTE(" "&amp;F119," г "," "),"г.","")))</f>
        <v>Уфа</v>
      </c>
    </row>
    <row r="120">
      <c r="A120" s="3" t="s">
        <v>2224</v>
      </c>
      <c r="B120" s="3" t="s">
        <v>4536</v>
      </c>
      <c r="C120" s="3" t="s">
        <v>4537</v>
      </c>
      <c r="D120" s="3" t="s">
        <v>1598</v>
      </c>
      <c r="E120" s="3" t="s">
        <v>4538</v>
      </c>
      <c r="F120" s="3" t="s">
        <v>4020</v>
      </c>
      <c r="G120" s="3" t="s">
        <v>4539</v>
      </c>
      <c r="H120" t="str">
        <f t="shared" si="197"/>
        <v xml:space="preserve">Карасев Арсений Николаевич</v>
      </c>
      <c r="I120" s="5">
        <f>IFERROR(IF(ISNUMBER(FIND("-",C120)),DATE(VALUE(LEFT(C120,4)),VALUE(MID(C120,6,2)),VALUE(RIGHT(C120,2))),IF(ISNUMBER(FIND(".",C120)),DATE(VALUE(RIGHT(C120,4)),VALUE(MID(C120,4,2)),VALUE(LEFT(C120,2))),DATE(VALUE(RIGHT(C120,4)),VLOOKUP(TRIM(MID(C120,FIND(" ",C120)+1,LEN(C120)-FIND(" ",C120)-5)),Справочники!$M$3:$N$14,2,0),VALUE(LEFT(C120,FIND(" ",C120)-1))))),"")</f>
        <v>29720</v>
      </c>
      <c r="J120" s="6">
        <f t="shared" si="198"/>
        <v>45</v>
      </c>
      <c r="K120" t="str">
        <f t="shared" si="199"/>
        <v>ОК</v>
      </c>
      <c r="L120" s="5">
        <f>IFERROR(IF(ISNUMBER(FIND("-",G120)),DATE(VALUE(LEFT(G120,4)),VALUE(MID(G120,6,2)),VALUE(RIGHT(G120,2))),IF(ISNUMBER(FIND(".",G120)),DATE(VALUE(RIGHT(G120,4)),VALUE(MID(G120,4,2)),VALUE(LEFT(G120,2))),DATE(VALUE(RIGHT(G120,4)),VLOOKUP(TRIM(MID(G120,FIND(" ",G120)+1,LEN(G120)-FIND(" ",G120)-5)),Справочники!$M$3:$N$14,2,0),VALUE(LEFT(G120,FIND(" ",G120)-1))))),"")</f>
        <v>45757</v>
      </c>
      <c r="M120" t="str">
        <f t="shared" si="200"/>
        <v xml:space="preserve">+7 (903) 567-89-01</v>
      </c>
      <c r="N120" t="str">
        <f t="shared" si="201"/>
        <v>karasev@yandex</v>
      </c>
      <c r="O120" t="str">
        <f t="shared" si="202"/>
        <v xml:space="preserve">Ошибка Email</v>
      </c>
      <c r="P120" t="str">
        <f>IFERROR(VLOOKUP(TRIM(SUBSTITUTE(SUBSTITUTE(" "&amp;F120," г "," "),"г.","")),Справочники!$J$3:$K$102,2,0),TRIM(SUBSTITUTE(SUBSTITUTE(" "&amp;F120," г "," "),"г.","")))</f>
        <v>Красноярск</v>
      </c>
    </row>
    <row r="121">
      <c r="A121" s="3" t="s">
        <v>2226</v>
      </c>
      <c r="B121" s="3" t="s">
        <v>4540</v>
      </c>
      <c r="C121" s="3" t="s">
        <v>4541</v>
      </c>
      <c r="D121" s="3" t="s">
        <v>4116</v>
      </c>
      <c r="E121" s="3" t="s">
        <v>4542</v>
      </c>
      <c r="F121" s="3" t="s">
        <v>4030</v>
      </c>
      <c r="G121" s="3" t="s">
        <v>4543</v>
      </c>
      <c r="H121" t="str">
        <f t="shared" si="197"/>
        <v xml:space="preserve">Шаповалова Валерия Андреевна</v>
      </c>
      <c r="I121" s="5">
        <f>IFERROR(IF(ISNUMBER(FIND("-",C121)),DATE(VALUE(LEFT(C121,4)),VALUE(MID(C121,6,2)),VALUE(RIGHT(C121,2))),IF(ISNUMBER(FIND(".",C121)),DATE(VALUE(RIGHT(C121,4)),VALUE(MID(C121,4,2)),VALUE(LEFT(C121,2))),DATE(VALUE(RIGHT(C121,4)),VLOOKUP(TRIM(MID(C121,FIND(" ",C121)+1,LEN(C121)-FIND(" ",C121)-5)),Справочники!$M$3:$N$14,2,0),VALUE(LEFT(C121,FIND(" ",C121)-1))))),"")</f>
        <v>25910</v>
      </c>
      <c r="J121" s="6">
        <f t="shared" si="198"/>
        <v>55</v>
      </c>
      <c r="K121" t="str">
        <f t="shared" si="199"/>
        <v>ОК</v>
      </c>
      <c r="L121" s="5">
        <f>IFERROR(IF(ISNUMBER(FIND("-",G121)),DATE(VALUE(LEFT(G121,4)),VALUE(MID(G121,6,2)),VALUE(RIGHT(G121,2))),IF(ISNUMBER(FIND(".",G121)),DATE(VALUE(RIGHT(G121,4)),VALUE(MID(G121,4,2)),VALUE(LEFT(G121,2))),DATE(VALUE(RIGHT(G121,4)),VLOOKUP(TRIM(MID(G121,FIND(" ",G121)+1,LEN(G121)-FIND(" ",G121)-5)),Справочники!$M$3:$N$14,2,0),VALUE(LEFT(G121,FIND(" ",G121)-1))))),"")</f>
        <v>45757</v>
      </c>
      <c r="M121" t="str">
        <f t="shared" si="200"/>
        <v xml:space="preserve">+7 (903) 678-90-12</v>
      </c>
      <c r="N121" t="str">
        <f t="shared" si="201"/>
        <v>shapovalova@gmail</v>
      </c>
      <c r="O121" t="str">
        <f t="shared" si="202"/>
        <v xml:space="preserve">Ошибка Email</v>
      </c>
      <c r="P121" t="str">
        <f>IFERROR(VLOOKUP(TRIM(SUBSTITUTE(SUBSTITUTE(" "&amp;F121," г "," "),"г.","")),Справочники!$J$3:$K$102,2,0),TRIM(SUBSTITUTE(SUBSTITUTE(" "&amp;F121," г "," "),"г.","")))</f>
        <v>Волгоград</v>
      </c>
    </row>
    <row r="122">
      <c r="A122" s="3" t="s">
        <v>2228</v>
      </c>
      <c r="B122" s="3" t="s">
        <v>4544</v>
      </c>
      <c r="C122" s="3" t="s">
        <v>4545</v>
      </c>
      <c r="D122" s="3" t="s">
        <v>4122</v>
      </c>
      <c r="E122" s="3" t="s">
        <v>4546</v>
      </c>
      <c r="F122" s="3" t="s">
        <v>4036</v>
      </c>
      <c r="G122" s="3" t="s">
        <v>4547</v>
      </c>
      <c r="H122" t="str">
        <f t="shared" si="197"/>
        <v xml:space="preserve">Васильев Иван Петрович</v>
      </c>
      <c r="I122" s="5">
        <f>IFERROR(IF(ISNUMBER(FIND("-",C122)),DATE(VALUE(LEFT(C122,4)),VALUE(MID(C122,6,2)),VALUE(RIGHT(C122,2))),IF(ISNUMBER(FIND(".",C122)),DATE(VALUE(RIGHT(C122,4)),VALUE(MID(C122,4,2)),VALUE(LEFT(C122,2))),DATE(VALUE(RIGHT(C122,4)),VLOOKUP(TRIM(MID(C122,FIND(" ",C122)+1,LEN(C122)-FIND(" ",C122)-5)),Справочники!$M$3:$N$14,2,0),VALUE(LEFT(C122,FIND(" ",C122)-1))))),"")</f>
        <v>32223</v>
      </c>
      <c r="J122" s="6">
        <f t="shared" si="198"/>
        <v>38</v>
      </c>
      <c r="K122" t="str">
        <f t="shared" si="199"/>
        <v>ОК</v>
      </c>
      <c r="L122" s="5">
        <f>IFERROR(IF(ISNUMBER(FIND("-",G122)),DATE(VALUE(LEFT(G122,4)),VALUE(MID(G122,6,2)),VALUE(RIGHT(G122,2))),IF(ISNUMBER(FIND(".",G122)),DATE(VALUE(RIGHT(G122,4)),VALUE(MID(G122,4,2)),VALUE(LEFT(G122,2))),DATE(VALUE(RIGHT(G122,4)),VLOOKUP(TRIM(MID(G122,FIND(" ",G122)+1,LEN(G122)-FIND(" ",G122)-5)),Справочники!$M$3:$N$14,2,0),VALUE(LEFT(G122,FIND(" ",G122)-1))))),"")</f>
        <v>45778</v>
      </c>
      <c r="M122" t="str">
        <f t="shared" si="200"/>
        <v xml:space="preserve">+7 (903) 678-90-12</v>
      </c>
      <c r="N122" t="str">
        <f t="shared" si="201"/>
        <v>vasilev@mail</v>
      </c>
      <c r="O122" t="str">
        <f t="shared" si="202"/>
        <v xml:space="preserve">Ошибка Email</v>
      </c>
      <c r="P122" t="str">
        <f>IFERROR(VLOOKUP(TRIM(SUBSTITUTE(SUBSTITUTE(" "&amp;F122," г "," "),"г.","")),Справочники!$J$3:$K$102,2,0),TRIM(SUBSTITUTE(SUBSTITUTE(" "&amp;F122," г "," "),"г.","")))</f>
        <v>Воронеж</v>
      </c>
    </row>
    <row r="123">
      <c r="A123" s="3" t="s">
        <v>2229</v>
      </c>
      <c r="B123" s="3" t="s">
        <v>4548</v>
      </c>
      <c r="C123" s="3" t="s">
        <v>4549</v>
      </c>
      <c r="D123" s="3" t="s">
        <v>1605</v>
      </c>
      <c r="E123" s="3" t="s">
        <v>4550</v>
      </c>
      <c r="F123" s="3" t="s">
        <v>4042</v>
      </c>
      <c r="G123" s="3" t="s">
        <v>4551</v>
      </c>
      <c r="H123" t="str">
        <f t="shared" si="197"/>
        <v xml:space="preserve">Ковалев Сергей Владимирович</v>
      </c>
      <c r="I123" s="5">
        <f>IFERROR(IF(ISNUMBER(FIND("-",C123)),DATE(VALUE(LEFT(C123,4)),VALUE(MID(C123,6,2)),VALUE(RIGHT(C123,2))),IF(ISNUMBER(FIND(".",C123)),DATE(VALUE(RIGHT(C123,4)),VALUE(MID(C123,4,2)),VALUE(LEFT(C123,2))),DATE(VALUE(RIGHT(C123,4)),VLOOKUP(TRIM(MID(C123,FIND(" ",C123)+1,LEN(C123)-FIND(" ",C123)-5)),Справочники!$M$3:$N$14,2,0),VALUE(LEFT(C123,FIND(" ",C123)-1))))),"")</f>
        <v>30576</v>
      </c>
      <c r="J123" s="6">
        <f t="shared" si="198"/>
        <v>43</v>
      </c>
      <c r="K123" t="str">
        <f t="shared" si="199"/>
        <v>ОК</v>
      </c>
      <c r="L123" s="5">
        <f>IFERROR(IF(ISNUMBER(FIND("-",G123)),DATE(VALUE(LEFT(G123,4)),VALUE(MID(G123,6,2)),VALUE(RIGHT(G123,2))),IF(ISNUMBER(FIND(".",G123)),DATE(VALUE(RIGHT(G123,4)),VALUE(MID(G123,4,2)),VALUE(LEFT(G123,2))),DATE(VALUE(RIGHT(G123,4)),VLOOKUP(TRIM(MID(G123,FIND(" ",G123)+1,LEN(G123)-FIND(" ",G123)-5)),Справочники!$M$3:$N$14,2,0),VALUE(LEFT(G123,FIND(" ",G123)-1))))),"")</f>
        <v>45792</v>
      </c>
      <c r="M123" t="str">
        <f t="shared" si="200"/>
        <v xml:space="preserve">+7 (903) 678-90-12</v>
      </c>
      <c r="N123" t="str">
        <f t="shared" si="201"/>
        <v>kovalev@yandex</v>
      </c>
      <c r="O123" t="str">
        <f t="shared" si="202"/>
        <v xml:space="preserve">Ошибка Email</v>
      </c>
      <c r="P123" t="str">
        <f>IFERROR(VLOOKUP(TRIM(SUBSTITUTE(SUBSTITUTE(" "&amp;F123," г "," "),"г.","")),Справочники!$J$3:$K$102,2,0),TRIM(SUBSTITUTE(SUBSTITUTE(" "&amp;F123," г "," "),"г.","")))</f>
        <v>Саратов</v>
      </c>
    </row>
    <row r="124">
      <c r="A124" s="3" t="s">
        <v>2232</v>
      </c>
      <c r="B124" s="3" t="s">
        <v>4552</v>
      </c>
      <c r="C124" s="3" t="s">
        <v>4553</v>
      </c>
      <c r="D124" s="3" t="s">
        <v>4001</v>
      </c>
      <c r="E124" s="3" t="s">
        <v>4554</v>
      </c>
      <c r="F124" s="3" t="s">
        <v>4047</v>
      </c>
      <c r="G124" s="3" t="s">
        <v>4555</v>
      </c>
      <c r="H124" t="str">
        <f t="shared" si="197"/>
        <v xml:space="preserve">Мельникова Ольга Евгеньевна</v>
      </c>
      <c r="I124" s="5">
        <f>IFERROR(IF(ISNUMBER(FIND("-",C124)),DATE(VALUE(LEFT(C124,4)),VALUE(MID(C124,6,2)),VALUE(RIGHT(C124,2))),IF(ISNUMBER(FIND(".",C124)),DATE(VALUE(RIGHT(C124,4)),VALUE(MID(C124,4,2)),VALUE(LEFT(C124,2))),DATE(VALUE(RIGHT(C124,4)),VLOOKUP(TRIM(MID(C124,FIND(" ",C124)+1,LEN(C124)-FIND(" ",C124)-5)),Справочники!$M$3:$N$14,2,0),VALUE(LEFT(C124,FIND(" ",C124)-1))))),"")</f>
        <v>33430</v>
      </c>
      <c r="J124" s="6">
        <f t="shared" si="198"/>
        <v>35</v>
      </c>
      <c r="K124" t="str">
        <f t="shared" si="199"/>
        <v>ОК</v>
      </c>
      <c r="L124" s="5">
        <f>IFERROR(IF(ISNUMBER(FIND("-",G124)),DATE(VALUE(LEFT(G124,4)),VALUE(MID(G124,6,2)),VALUE(RIGHT(G124,2))),IF(ISNUMBER(FIND(".",G124)),DATE(VALUE(RIGHT(G124,4)),VALUE(MID(G124,4,2)),VALUE(LEFT(G124,2))),DATE(VALUE(RIGHT(G124,4)),VLOOKUP(TRIM(MID(G124,FIND(" ",G124)+1,LEN(G124)-FIND(" ",G124)-5)),Справочники!$M$3:$N$14,2,0),VALUE(LEFT(G124,FIND(" ",G124)-1))))),"")</f>
        <v>45792</v>
      </c>
      <c r="M124" t="str">
        <f t="shared" si="200"/>
        <v xml:space="preserve">+7 (903) 789-01-23</v>
      </c>
      <c r="N124" t="str">
        <f t="shared" si="201"/>
        <v>melnikova@gmail</v>
      </c>
      <c r="O124" t="str">
        <f t="shared" si="202"/>
        <v xml:space="preserve">Ошибка Email</v>
      </c>
      <c r="P124" t="str">
        <f>IFERROR(VLOOKUP(TRIM(SUBSTITUTE(SUBSTITUTE(" "&amp;F124," г "," "),"г.","")),Справочники!$J$3:$K$102,2,0),TRIM(SUBSTITUTE(SUBSTITUTE(" "&amp;F124," г "," "),"г.","")))</f>
        <v>Тольятти</v>
      </c>
    </row>
    <row r="125">
      <c r="A125" s="3" t="s">
        <v>2234</v>
      </c>
      <c r="B125" s="3" t="s">
        <v>4556</v>
      </c>
      <c r="C125" s="3" t="s">
        <v>4557</v>
      </c>
      <c r="D125" s="3" t="s">
        <v>4138</v>
      </c>
      <c r="E125" s="3" t="s">
        <v>4558</v>
      </c>
      <c r="F125" s="3" t="s">
        <v>4053</v>
      </c>
      <c r="G125" s="3" t="s">
        <v>4559</v>
      </c>
      <c r="H125" t="str">
        <f t="shared" si="197"/>
        <v xml:space="preserve">Поляков Илья Анатольевич</v>
      </c>
      <c r="I125" s="5">
        <f>IFERROR(IF(ISNUMBER(FIND("-",C125)),DATE(VALUE(LEFT(C125,4)),VALUE(MID(C125,6,2)),VALUE(RIGHT(C125,2))),IF(ISNUMBER(FIND(".",C125)),DATE(VALUE(RIGHT(C125,4)),VALUE(MID(C125,4,2)),VALUE(LEFT(C125,2))),DATE(VALUE(RIGHT(C125,4)),VLOOKUP(TRIM(MID(C125,FIND(" ",C125)+1,LEN(C125)-FIND(" ",C125)-5)),Справочники!$M$3:$N$14,2,0),VALUE(LEFT(C125,FIND(" ",C125)-1))))),"")</f>
        <v>28092</v>
      </c>
      <c r="J125" s="6">
        <f t="shared" si="198"/>
        <v>49</v>
      </c>
      <c r="K125" t="str">
        <f t="shared" si="199"/>
        <v>ОК</v>
      </c>
      <c r="L125" s="5">
        <f>IFERROR(IF(ISNUMBER(FIND("-",G125)),DATE(VALUE(LEFT(G125,4)),VALUE(MID(G125,6,2)),VALUE(RIGHT(G125,2))),IF(ISNUMBER(FIND(".",G125)),DATE(VALUE(RIGHT(G125,4)),VALUE(MID(G125,4,2)),VALUE(LEFT(G125,2))),DATE(VALUE(RIGHT(G125,4)),VLOOKUP(TRIM(MID(G125,FIND(" ",G125)+1,LEN(G125)-FIND(" ",G125)-5)),Справочники!$M$3:$N$14,2,0),VALUE(LEFT(G125,FIND(" ",G125)-1))))),"")</f>
        <v>45809</v>
      </c>
      <c r="M125" t="str">
        <f t="shared" si="200"/>
        <v xml:space="preserve">+7 (903) 789-01-23</v>
      </c>
      <c r="N125" t="str">
        <f t="shared" si="201"/>
        <v>polyakov@mail</v>
      </c>
      <c r="O125" t="str">
        <f t="shared" si="202"/>
        <v xml:space="preserve">Ошибка Email</v>
      </c>
      <c r="P125" t="str">
        <f>IFERROR(VLOOKUP(TRIM(SUBSTITUTE(SUBSTITUTE(" "&amp;F125," г "," "),"г.","")),Справочники!$J$3:$K$102,2,0),TRIM(SUBSTITUTE(SUBSTITUTE(" "&amp;F125," г "," "),"г.","")))</f>
        <v>Тюмень</v>
      </c>
    </row>
    <row r="126">
      <c r="A126" s="3" t="s">
        <v>2237</v>
      </c>
      <c r="B126" s="3" t="s">
        <v>4560</v>
      </c>
      <c r="C126" s="3" t="s">
        <v>4561</v>
      </c>
      <c r="D126" s="3" t="s">
        <v>4144</v>
      </c>
      <c r="E126" s="3" t="s">
        <v>4562</v>
      </c>
      <c r="F126" s="3" t="s">
        <v>4059</v>
      </c>
      <c r="G126" s="3" t="s">
        <v>4563</v>
      </c>
      <c r="H126" t="str">
        <f t="shared" si="197"/>
        <v xml:space="preserve">Куликова Екатерина Игоревна</v>
      </c>
      <c r="I126" s="5">
        <f>IFERROR(IF(ISNUMBER(FIND("-",C126)),DATE(VALUE(LEFT(C126,4)),VALUE(MID(C126,6,2)),VALUE(RIGHT(C126,2))),IF(ISNUMBER(FIND(".",C126)),DATE(VALUE(RIGHT(C126,4)),VALUE(MID(C126,4,2)),VALUE(LEFT(C126,2))),DATE(VALUE(RIGHT(C126,4)),VLOOKUP(TRIM(MID(C126,FIND(" ",C126)+1,LEN(C126)-FIND(" ",C126)-5)),Справочники!$M$3:$N$14,2,0),VALUE(LEFT(C126,FIND(" ",C126)-1))))),"")</f>
        <v>31202</v>
      </c>
      <c r="J126" s="6">
        <f t="shared" si="198"/>
        <v>41</v>
      </c>
      <c r="K126" t="str">
        <f t="shared" si="199"/>
        <v>ОК</v>
      </c>
      <c r="L126" s="5">
        <f>IFERROR(IF(ISNUMBER(FIND("-",G126)),DATE(VALUE(LEFT(G126,4)),VALUE(MID(G126,6,2)),VALUE(RIGHT(G126,2))),IF(ISNUMBER(FIND(".",G126)),DATE(VALUE(RIGHT(G126,4)),VALUE(MID(G126,4,2)),VALUE(LEFT(G126,2))),DATE(VALUE(RIGHT(G126,4)),VLOOKUP(TRIM(MID(G126,FIND(" ",G126)+1,LEN(G126)-FIND(" ",G126)-5)),Справочники!$M$3:$N$14,2,0),VALUE(LEFT(G126,FIND(" ",G126)-1))))),"")</f>
        <v>45818</v>
      </c>
      <c r="M126" t="str">
        <f t="shared" si="200"/>
        <v xml:space="preserve">+7 (903) 789-01-23</v>
      </c>
      <c r="N126" t="str">
        <f t="shared" si="201"/>
        <v>kulikova@yandex</v>
      </c>
      <c r="O126" t="str">
        <f t="shared" si="202"/>
        <v xml:space="preserve">Ошибка Email</v>
      </c>
      <c r="P126" t="str">
        <f>IFERROR(VLOOKUP(TRIM(SUBSTITUTE(SUBSTITUTE(" "&amp;F126," г "," "),"г.","")),Справочники!$J$3:$K$102,2,0),TRIM(SUBSTITUTE(SUBSTITUTE(" "&amp;F126," г "," "),"г.","")))</f>
        <v>Ижевск</v>
      </c>
    </row>
    <row r="127">
      <c r="A127" s="3" t="s">
        <v>2239</v>
      </c>
      <c r="B127" s="3" t="s">
        <v>4564</v>
      </c>
      <c r="C127" s="3" t="s">
        <v>4565</v>
      </c>
      <c r="D127" s="3" t="s">
        <v>4150</v>
      </c>
      <c r="E127" s="3" t="s">
        <v>4566</v>
      </c>
      <c r="F127" s="3" t="s">
        <v>4064</v>
      </c>
      <c r="G127" s="3" t="s">
        <v>4567</v>
      </c>
      <c r="H127" t="str">
        <f t="shared" si="197"/>
        <v xml:space="preserve">Самойлов Денис Олегович</v>
      </c>
      <c r="I127" s="5">
        <f>IFERROR(IF(ISNUMBER(FIND("-",C127)),DATE(VALUE(LEFT(C127,4)),VALUE(MID(C127,6,2)),VALUE(RIGHT(C127,2))),IF(ISNUMBER(FIND(".",C127)),DATE(VALUE(RIGHT(C127,4)),VALUE(MID(C127,4,2)),VALUE(LEFT(C127,2))),DATE(VALUE(RIGHT(C127,4)),VLOOKUP(TRIM(MID(C127,FIND(" ",C127)+1,LEN(C127)-FIND(" ",C127)-5)),Справочники!$M$3:$N$14,2,0),VALUE(LEFT(C127,FIND(" ",C127)-1))))),"")</f>
        <v>34387</v>
      </c>
      <c r="J127" s="6">
        <f t="shared" si="198"/>
        <v>32</v>
      </c>
      <c r="K127" t="str">
        <f t="shared" si="199"/>
        <v>ОК</v>
      </c>
      <c r="L127" s="5">
        <f>IFERROR(IF(ISNUMBER(FIND("-",G127)),DATE(VALUE(LEFT(G127,4)),VALUE(MID(G127,6,2)),VALUE(RIGHT(G127,2))),IF(ISNUMBER(FIND(".",G127)),DATE(VALUE(RIGHT(G127,4)),VALUE(MID(G127,4,2)),VALUE(LEFT(G127,2))),DATE(VALUE(RIGHT(G127,4)),VLOOKUP(TRIM(MID(G127,FIND(" ",G127)+1,LEN(G127)-FIND(" ",G127)-5)),Справочники!$M$3:$N$14,2,0),VALUE(LEFT(G127,FIND(" ",G127)-1))))),"")</f>
        <v>45818</v>
      </c>
      <c r="M127" t="str">
        <f t="shared" si="200"/>
        <v xml:space="preserve">+7 (903) 890-12-34</v>
      </c>
      <c r="N127" t="str">
        <f t="shared" si="201"/>
        <v>samoylov@gmail</v>
      </c>
      <c r="O127" t="str">
        <f t="shared" si="202"/>
        <v xml:space="preserve">Ошибка Email</v>
      </c>
      <c r="P127" t="str">
        <f>IFERROR(VLOOKUP(TRIM(SUBSTITUTE(SUBSTITUTE(" "&amp;F127," г "," "),"г.","")),Справочники!$J$3:$K$102,2,0),TRIM(SUBSTITUTE(SUBSTITUTE(" "&amp;F127," г "," "),"г.","")))</f>
        <v>Барнаул</v>
      </c>
    </row>
    <row r="128">
      <c r="A128" s="3" t="s">
        <v>2242</v>
      </c>
      <c r="B128" s="3" t="s">
        <v>4568</v>
      </c>
      <c r="C128" s="3" t="s">
        <v>4569</v>
      </c>
      <c r="D128" s="3" t="s">
        <v>4007</v>
      </c>
      <c r="E128" s="3" t="s">
        <v>4570</v>
      </c>
      <c r="F128" s="3" t="s">
        <v>4069</v>
      </c>
      <c r="G128" s="3" t="s">
        <v>4571</v>
      </c>
      <c r="H128" t="str">
        <f t="shared" si="197"/>
        <v xml:space="preserve">Гущина Анастасия Павловна</v>
      </c>
      <c r="I128" s="5">
        <f>IFERROR(IF(ISNUMBER(FIND("-",C128)),DATE(VALUE(LEFT(C128,4)),VALUE(MID(C128,6,2)),VALUE(RIGHT(C128,2))),IF(ISNUMBER(FIND(".",C128)),DATE(VALUE(RIGHT(C128,4)),VALUE(MID(C128,4,2)),VALUE(LEFT(C128,2))),DATE(VALUE(RIGHT(C128,4)),VLOOKUP(TRIM(MID(C128,FIND(" ",C128)+1,LEN(C128)-FIND(" ",C128)-5)),Справочники!$M$3:$N$14,2,0),VALUE(LEFT(C128,FIND(" ",C128)-1))))),"")</f>
        <v>28772</v>
      </c>
      <c r="J128" s="6">
        <f t="shared" si="198"/>
        <v>48</v>
      </c>
      <c r="K128" t="str">
        <f t="shared" si="199"/>
        <v>ОК</v>
      </c>
      <c r="L128" s="5">
        <f>IFERROR(IF(ISNUMBER(FIND("-",G128)),DATE(VALUE(LEFT(G128,4)),VALUE(MID(G128,6,2)),VALUE(RIGHT(G128,2))),IF(ISNUMBER(FIND(".",G128)),DATE(VALUE(RIGHT(G128,4)),VALUE(MID(G128,4,2)),VALUE(LEFT(G128,2))),DATE(VALUE(RIGHT(G128,4)),VLOOKUP(TRIM(MID(G128,FIND(" ",G128)+1,LEN(G128)-FIND(" ",G128)-5)),Справочники!$M$3:$N$14,2,0),VALUE(LEFT(G128,FIND(" ",G128)-1))))),"")</f>
        <v>45839</v>
      </c>
      <c r="M128" t="str">
        <f t="shared" si="200"/>
        <v xml:space="preserve">+7 (903) 890-12-34</v>
      </c>
      <c r="N128" t="str">
        <f t="shared" si="201"/>
        <v>guschina@mail</v>
      </c>
      <c r="O128" t="str">
        <f t="shared" si="202"/>
        <v xml:space="preserve">Ошибка Email</v>
      </c>
      <c r="P128" t="str">
        <f>IFERROR(VLOOKUP(TRIM(SUBSTITUTE(SUBSTITUTE(" "&amp;F128," г "," "),"г.","")),Справочники!$J$3:$K$102,2,0),TRIM(SUBSTITUTE(SUBSTITUTE(" "&amp;F128," г "," "),"г.","")))</f>
        <v>Ульяновск</v>
      </c>
    </row>
    <row r="129">
      <c r="A129" s="3" t="s">
        <v>2243</v>
      </c>
      <c r="B129" s="3" t="s">
        <v>4572</v>
      </c>
      <c r="C129" s="3" t="s">
        <v>4573</v>
      </c>
      <c r="D129" s="3" t="s">
        <v>1619</v>
      </c>
      <c r="E129" s="3" t="s">
        <v>4574</v>
      </c>
      <c r="F129" s="3" t="s">
        <v>4075</v>
      </c>
      <c r="G129" s="3" t="s">
        <v>4575</v>
      </c>
      <c r="H129" t="str">
        <f t="shared" si="197"/>
        <v xml:space="preserve">Кочетков Алексей Владиславович</v>
      </c>
      <c r="I129" s="5">
        <f>IFERROR(IF(ISNUMBER(FIND("-",C129)),DATE(VALUE(LEFT(C129,4)),VALUE(MID(C129,6,2)),VALUE(RIGHT(C129,2))),IF(ISNUMBER(FIND(".",C129)),DATE(VALUE(RIGHT(C129,4)),VALUE(MID(C129,4,2)),VALUE(LEFT(C129,2))),DATE(VALUE(RIGHT(C129,4)),VLOOKUP(TRIM(MID(C129,FIND(" ",C129)+1,LEN(C129)-FIND(" ",C129)-5)),Справочники!$M$3:$N$14,2,0),VALUE(LEFT(C129,FIND(" ",C129)-1))))),"")</f>
        <v>30178</v>
      </c>
      <c r="J129" s="6">
        <f t="shared" si="198"/>
        <v>44</v>
      </c>
      <c r="K129" t="str">
        <f t="shared" si="199"/>
        <v>ОК</v>
      </c>
      <c r="L129" s="5">
        <f>IFERROR(IF(ISNUMBER(FIND("-",G129)),DATE(VALUE(LEFT(G129,4)),VALUE(MID(G129,6,2)),VALUE(RIGHT(G129,2))),IF(ISNUMBER(FIND(".",G129)),DATE(VALUE(RIGHT(G129,4)),VALUE(MID(G129,4,2)),VALUE(LEFT(G129,2))),DATE(VALUE(RIGHT(G129,4)),VLOOKUP(TRIM(MID(G129,FIND(" ",G129)+1,LEN(G129)-FIND(" ",G129)-5)),Справочники!$M$3:$N$14,2,0),VALUE(LEFT(G129,FIND(" ",G129)-1))))),"")</f>
        <v>45853</v>
      </c>
      <c r="M129" t="str">
        <f t="shared" si="200"/>
        <v xml:space="preserve">+7 (903) 890-12-34</v>
      </c>
      <c r="N129" t="str">
        <f t="shared" si="201"/>
        <v>kochetkov@yandex</v>
      </c>
      <c r="O129" t="str">
        <f t="shared" si="202"/>
        <v xml:space="preserve">Ошибка Email</v>
      </c>
      <c r="P129" t="str">
        <f>IFERROR(VLOOKUP(TRIM(SUBSTITUTE(SUBSTITUTE(" "&amp;F129," г "," "),"г.","")),Справочники!$J$3:$K$102,2,0),TRIM(SUBSTITUTE(SUBSTITUTE(" "&amp;F129," г "," "),"г.","")))</f>
        <v>Иркутск</v>
      </c>
    </row>
    <row r="130">
      <c r="A130" s="3" t="s">
        <v>2246</v>
      </c>
      <c r="B130" s="3" t="s">
        <v>4576</v>
      </c>
      <c r="C130" s="3" t="s">
        <v>4577</v>
      </c>
      <c r="D130" s="3" t="s">
        <v>4018</v>
      </c>
      <c r="E130" s="3" t="s">
        <v>4578</v>
      </c>
      <c r="F130" s="3" t="s">
        <v>4081</v>
      </c>
      <c r="G130" s="3" t="s">
        <v>4579</v>
      </c>
      <c r="H130" t="str">
        <f t="shared" si="197"/>
        <v xml:space="preserve">Ерофеева Татьяна Дмитриевна</v>
      </c>
      <c r="I130" s="5">
        <f>IFERROR(IF(ISNUMBER(FIND("-",C130)),DATE(VALUE(LEFT(C130,4)),VALUE(MID(C130,6,2)),VALUE(RIGHT(C130,2))),IF(ISNUMBER(FIND(".",C130)),DATE(VALUE(RIGHT(C130,4)),VALUE(MID(C130,4,2)),VALUE(LEFT(C130,2))),DATE(VALUE(RIGHT(C130,4)),VLOOKUP(TRIM(MID(C130,FIND(" ",C130)+1,LEN(C130)-FIND(" ",C130)-5)),Справочники!$M$3:$N$14,2,0),VALUE(LEFT(C130,FIND(" ",C130)-1))))),"")</f>
        <v>33727</v>
      </c>
      <c r="J130" s="6">
        <f t="shared" si="198"/>
        <v>34</v>
      </c>
      <c r="K130" t="str">
        <f t="shared" si="199"/>
        <v>ОК</v>
      </c>
      <c r="L130" s="5">
        <f>IFERROR(IF(ISNUMBER(FIND("-",G130)),DATE(VALUE(LEFT(G130,4)),VALUE(MID(G130,6,2)),VALUE(RIGHT(G130,2))),IF(ISNUMBER(FIND(".",G130)),DATE(VALUE(RIGHT(G130,4)),VALUE(MID(G130,4,2)),VALUE(LEFT(G130,2))),DATE(VALUE(RIGHT(G130,4)),VLOOKUP(TRIM(MID(G130,FIND(" ",G130)+1,LEN(G130)-FIND(" ",G130)-5)),Справочники!$M$3:$N$14,2,0),VALUE(LEFT(G130,FIND(" ",G130)-1))))),"")</f>
        <v>45853</v>
      </c>
      <c r="M130" t="str">
        <f t="shared" si="200"/>
        <v xml:space="preserve">+7 (903) 901-23-45</v>
      </c>
      <c r="N130" t="str">
        <f t="shared" si="201"/>
        <v>erofeeva@gmail</v>
      </c>
      <c r="O130" t="str">
        <f t="shared" si="202"/>
        <v xml:space="preserve">Ошибка Email</v>
      </c>
      <c r="P130" t="str">
        <f>IFERROR(VLOOKUP(TRIM(SUBSTITUTE(SUBSTITUTE(" "&amp;F130," г "," "),"г.","")),Справочники!$J$3:$K$102,2,0),TRIM(SUBSTITUTE(SUBSTITUTE(" "&amp;F130," г "," "),"г.","")))</f>
        <v>Хабаровск</v>
      </c>
    </row>
    <row r="131">
      <c r="A131" s="3" t="s">
        <v>2248</v>
      </c>
      <c r="B131" s="3" t="s">
        <v>4580</v>
      </c>
      <c r="C131" s="3" t="s">
        <v>4581</v>
      </c>
      <c r="D131" s="3" t="s">
        <v>1626</v>
      </c>
      <c r="E131" s="3" t="s">
        <v>4582</v>
      </c>
      <c r="F131" s="3" t="s">
        <v>4087</v>
      </c>
      <c r="G131" s="3" t="s">
        <v>4583</v>
      </c>
      <c r="H131" t="str">
        <f t="shared" si="197"/>
        <v xml:space="preserve">Антонов Максим Юрьевич</v>
      </c>
      <c r="I131" s="5">
        <f>IFERROR(IF(ISNUMBER(FIND("-",C131)),DATE(VALUE(LEFT(C131,4)),VALUE(MID(C131,6,2)),VALUE(RIGHT(C131,2))),IF(ISNUMBER(FIND(".",C131)),DATE(VALUE(RIGHT(C131,4)),VALUE(MID(C131,4,2)),VALUE(LEFT(C131,2))),DATE(VALUE(RIGHT(C131,4)),VLOOKUP(TRIM(MID(C131,FIND(" ",C131)+1,LEN(C131)-FIND(" ",C131)-5)),Справочники!$M$3:$N$14,2,0),VALUE(LEFT(C131,FIND(" ",C131)-1))))),"")</f>
        <v>27024</v>
      </c>
      <c r="J131" s="6">
        <f t="shared" si="198"/>
        <v>52</v>
      </c>
      <c r="K131" t="str">
        <f t="shared" si="199"/>
        <v>ОК</v>
      </c>
      <c r="L131" s="5">
        <f>IFERROR(IF(ISNUMBER(FIND("-",G131)),DATE(VALUE(LEFT(G131,4)),VALUE(MID(G131,6,2)),VALUE(RIGHT(G131,2))),IF(ISNUMBER(FIND(".",G131)),DATE(VALUE(RIGHT(G131,4)),VALUE(MID(G131,4,2)),VALUE(LEFT(G131,2))),DATE(VALUE(RIGHT(G131,4)),VLOOKUP(TRIM(MID(G131,FIND(" ",G131)+1,LEN(G131)-FIND(" ",G131)-5)),Справочники!$M$3:$N$14,2,0),VALUE(LEFT(G131,FIND(" ",G131)-1))))),"")</f>
        <v>45870</v>
      </c>
      <c r="M131" t="str">
        <f t="shared" si="200"/>
        <v xml:space="preserve">+7 (903) 901-23-45</v>
      </c>
      <c r="N131" t="str">
        <f t="shared" si="201"/>
        <v>antonov@mail</v>
      </c>
      <c r="O131" t="str">
        <f t="shared" si="202"/>
        <v xml:space="preserve">Ошибка Email</v>
      </c>
      <c r="P131" t="str">
        <f>IFERROR(VLOOKUP(TRIM(SUBSTITUTE(SUBSTITUTE(" "&amp;F131," г "," "),"г.","")),Справочники!$J$3:$K$102,2,0),TRIM(SUBSTITUTE(SUBSTITUTE(" "&amp;F131," г "," "),"г.","")))</f>
        <v>Ярославль</v>
      </c>
    </row>
    <row r="132">
      <c r="A132" s="3" t="s">
        <v>2251</v>
      </c>
      <c r="B132" s="3" t="s">
        <v>4584</v>
      </c>
      <c r="C132" s="3" t="s">
        <v>4585</v>
      </c>
      <c r="D132" s="3" t="s">
        <v>4176</v>
      </c>
      <c r="E132" s="3" t="s">
        <v>4586</v>
      </c>
      <c r="F132" s="3" t="s">
        <v>4092</v>
      </c>
      <c r="G132" s="3" t="s">
        <v>4587</v>
      </c>
      <c r="H132" t="str">
        <f t="shared" si="197"/>
        <v xml:space="preserve">Миронова Лариса Андреевна</v>
      </c>
      <c r="I132" s="5">
        <f>IFERROR(IF(ISNUMBER(FIND("-",C132)),DATE(VALUE(LEFT(C132,4)),VALUE(MID(C132,6,2)),VALUE(RIGHT(C132,2))),IF(ISNUMBER(FIND(".",C132)),DATE(VALUE(RIGHT(C132,4)),VALUE(MID(C132,4,2)),VALUE(LEFT(C132,2))),DATE(VALUE(RIGHT(C132,4)),VLOOKUP(TRIM(MID(C132,FIND(" ",C132)+1,LEN(C132)-FIND(" ",C132)-5)),Справочники!$M$3:$N$14,2,0),VALUE(LEFT(C132,FIND(" ",C132)-1))))),"")</f>
        <v>31977</v>
      </c>
      <c r="J132" s="6">
        <f t="shared" si="198"/>
        <v>39</v>
      </c>
      <c r="K132" t="str">
        <f t="shared" si="199"/>
        <v>ОК</v>
      </c>
      <c r="L132" s="5">
        <f>IFERROR(IF(ISNUMBER(FIND("-",G132)),DATE(VALUE(LEFT(G132,4)),VALUE(MID(G132,6,2)),VALUE(RIGHT(G132,2))),IF(ISNUMBER(FIND(".",G132)),DATE(VALUE(RIGHT(G132,4)),VALUE(MID(G132,4,2)),VALUE(LEFT(G132,2))),DATE(VALUE(RIGHT(G132,4)),VLOOKUP(TRIM(MID(G132,FIND(" ",G132)+1,LEN(G132)-FIND(" ",G132)-5)),Справочники!$M$3:$N$14,2,0),VALUE(LEFT(G132,FIND(" ",G132)-1))))),"")</f>
        <v>45879</v>
      </c>
      <c r="M132" t="str">
        <f t="shared" si="200"/>
        <v xml:space="preserve">+7 (903) 901-23-45</v>
      </c>
      <c r="N132" t="str">
        <f t="shared" si="201"/>
        <v>mironova@yandex</v>
      </c>
      <c r="O132" t="str">
        <f t="shared" si="202"/>
        <v xml:space="preserve">Ошибка Email</v>
      </c>
      <c r="P132" t="str">
        <f>IFERROR(VLOOKUP(TRIM(SUBSTITUTE(SUBSTITUTE(" "&amp;F132," г "," "),"г.","")),Справочники!$J$3:$K$102,2,0),TRIM(SUBSTITUTE(SUBSTITUTE(" "&amp;F132," г "," "),"г.","")))</f>
        <v>Владивосток</v>
      </c>
    </row>
    <row r="133">
      <c r="A133" s="3" t="s">
        <v>2253</v>
      </c>
      <c r="B133" s="3" t="s">
        <v>4588</v>
      </c>
      <c r="C133" s="3" t="s">
        <v>4589</v>
      </c>
      <c r="D133" s="3" t="s">
        <v>4182</v>
      </c>
      <c r="E133" s="3" t="s">
        <v>4590</v>
      </c>
      <c r="F133" s="3" t="s">
        <v>4097</v>
      </c>
      <c r="G133" s="3" t="s">
        <v>4591</v>
      </c>
      <c r="H133" t="str">
        <f t="shared" si="197"/>
        <v xml:space="preserve">Климова Оксана Борисовна</v>
      </c>
      <c r="I133" s="5">
        <f>IFERROR(IF(ISNUMBER(FIND("-",C133)),DATE(VALUE(LEFT(C133,4)),VALUE(MID(C133,6,2)),VALUE(RIGHT(C133,2))),IF(ISNUMBER(FIND(".",C133)),DATE(VALUE(RIGHT(C133,4)),VALUE(MID(C133,4,2)),VALUE(LEFT(C133,2))),DATE(VALUE(RIGHT(C133,4)),VLOOKUP(TRIM(MID(C133,FIND(" ",C133)+1,LEN(C133)-FIND(" ",C133)-5)),Справочники!$M$3:$N$14,2,0),VALUE(LEFT(C133,FIND(" ",C133)-1))))),"")</f>
        <v>29311</v>
      </c>
      <c r="J133" s="6">
        <f t="shared" si="198"/>
        <v>46</v>
      </c>
      <c r="K133" t="str">
        <f t="shared" si="199"/>
        <v>ОК</v>
      </c>
      <c r="L133" s="5">
        <f>IFERROR(IF(ISNUMBER(FIND("-",G133)),DATE(VALUE(LEFT(G133,4)),VALUE(MID(G133,6,2)),VALUE(RIGHT(G133,2))),IF(ISNUMBER(FIND(".",G133)),DATE(VALUE(RIGHT(G133,4)),VALUE(MID(G133,4,2)),VALUE(LEFT(G133,2))),DATE(VALUE(RIGHT(G133,4)),VLOOKUP(TRIM(MID(G133,FIND(" ",G133)+1,LEN(G133)-FIND(" ",G133)-5)),Справочники!$M$3:$N$14,2,0),VALUE(LEFT(G133,FIND(" ",G133)-1))))),"")</f>
        <v>45879</v>
      </c>
      <c r="M133" t="str">
        <f t="shared" si="200"/>
        <v xml:space="preserve">+7 (903) 012-34-56</v>
      </c>
      <c r="N133" t="str">
        <f t="shared" si="201"/>
        <v>klimova@gmail</v>
      </c>
      <c r="O133" t="str">
        <f t="shared" si="202"/>
        <v xml:space="preserve">Ошибка Email</v>
      </c>
      <c r="P133" t="str">
        <f>IFERROR(VLOOKUP(TRIM(SUBSTITUTE(SUBSTITUTE(" "&amp;F133," г "," "),"г.","")),Справочники!$J$3:$K$102,2,0),TRIM(SUBSTITUTE(SUBSTITUTE(" "&amp;F133," г "," "),"г.","")))</f>
        <v>Махачкала</v>
      </c>
    </row>
    <row r="134">
      <c r="A134" s="3" t="s">
        <v>2256</v>
      </c>
      <c r="B134" s="3" t="s">
        <v>4592</v>
      </c>
      <c r="C134" s="3" t="s">
        <v>4187</v>
      </c>
      <c r="D134" s="3" t="s">
        <v>4188</v>
      </c>
      <c r="E134" s="3" t="s">
        <v>4593</v>
      </c>
      <c r="F134" s="3" t="s">
        <v>4102</v>
      </c>
      <c r="G134" s="3" t="s">
        <v>4594</v>
      </c>
      <c r="H134" t="str">
        <f t="shared" si="197"/>
        <v xml:space="preserve">Сидоренко Артем Николаевич</v>
      </c>
      <c r="I134" s="5">
        <f>IFERROR(IF(ISNUMBER(FIND("-",C134)),DATE(VALUE(LEFT(C134,4)),VALUE(MID(C134,6,2)),VALUE(RIGHT(C134,2))),IF(ISNUMBER(FIND(".",C134)),DATE(VALUE(RIGHT(C134,4)),VALUE(MID(C134,4,2)),VALUE(LEFT(C134,2))),DATE(VALUE(RIGHT(C134,4)),VLOOKUP(TRIM(MID(C134,FIND(" ",C134)+1,LEN(C134)-FIND(" ",C134)-5)),Справочники!$M$3:$N$14,2,0),VALUE(LEFT(C134,FIND(" ",C134)-1))))),"")</f>
        <v>27710</v>
      </c>
      <c r="J134" s="6">
        <f t="shared" si="198"/>
        <v>50</v>
      </c>
      <c r="K134" t="str">
        <f t="shared" si="199"/>
        <v>ОК</v>
      </c>
      <c r="L134" s="5">
        <f>IFERROR(IF(ISNUMBER(FIND("-",G134)),DATE(VALUE(LEFT(G134,4)),VALUE(MID(G134,6,2)),VALUE(RIGHT(G134,2))),IF(ISNUMBER(FIND(".",G134)),DATE(VALUE(RIGHT(G134,4)),VALUE(MID(G134,4,2)),VALUE(LEFT(G134,2))),DATE(VALUE(RIGHT(G134,4)),VLOOKUP(TRIM(MID(G134,FIND(" ",G134)+1,LEN(G134)-FIND(" ",G134)-5)),Справочники!$M$3:$N$14,2,0),VALUE(LEFT(G134,FIND(" ",G134)-1))))),"")</f>
        <v>45901</v>
      </c>
      <c r="M134" t="str">
        <f t="shared" si="200"/>
        <v xml:space="preserve">+7 (903) 012-34-56</v>
      </c>
      <c r="N134" t="str">
        <f t="shared" si="201"/>
        <v>sidorenko@mail</v>
      </c>
      <c r="O134" t="str">
        <f t="shared" si="202"/>
        <v xml:space="preserve">Ошибка Email</v>
      </c>
      <c r="P134" t="str">
        <f>IFERROR(VLOOKUP(TRIM(SUBSTITUTE(SUBSTITUTE(" "&amp;F134," г "," "),"г.","")),Справочники!$J$3:$K$102,2,0),TRIM(SUBSTITUTE(SUBSTITUTE(" "&amp;F134," г "," "),"г.","")))</f>
        <v>Томск</v>
      </c>
    </row>
    <row r="135">
      <c r="A135" s="3" t="s">
        <v>2257</v>
      </c>
      <c r="B135" s="3" t="s">
        <v>4595</v>
      </c>
      <c r="C135" s="3" t="s">
        <v>4596</v>
      </c>
      <c r="D135" s="3" t="s">
        <v>1633</v>
      </c>
      <c r="E135" s="3" t="s">
        <v>4597</v>
      </c>
      <c r="F135" s="3" t="s">
        <v>4107</v>
      </c>
      <c r="G135" s="3" t="s">
        <v>4598</v>
      </c>
      <c r="H135" t="str">
        <f t="shared" si="197"/>
        <v xml:space="preserve">Горбачев Глеб Ильич</v>
      </c>
      <c r="I135" s="5">
        <f>IFERROR(IF(ISNUMBER(FIND("-",C135)),DATE(VALUE(LEFT(C135,4)),VALUE(MID(C135,6,2)),VALUE(RIGHT(C135,2))),IF(ISNUMBER(FIND(".",C135)),DATE(VALUE(RIGHT(C135,4)),VALUE(MID(C135,4,2)),VALUE(LEFT(C135,2))),DATE(VALUE(RIGHT(C135,4)),VLOOKUP(TRIM(MID(C135,FIND(" ",C135)+1,LEN(C135)-FIND(" ",C135)-5)),Справочники!$M$3:$N$14,2,0),VALUE(LEFT(C135,FIND(" ",C135)-1))))),"")</f>
        <v>34878</v>
      </c>
      <c r="J135" s="6">
        <f t="shared" si="198"/>
        <v>31</v>
      </c>
      <c r="K135" t="str">
        <f t="shared" si="199"/>
        <v>ОК</v>
      </c>
      <c r="L135" s="5">
        <f>IFERROR(IF(ISNUMBER(FIND("-",G135)),DATE(VALUE(LEFT(G135,4)),VALUE(MID(G135,6,2)),VALUE(RIGHT(G135,2))),IF(ISNUMBER(FIND(".",G135)),DATE(VALUE(RIGHT(G135,4)),VALUE(MID(G135,4,2)),VALUE(LEFT(G135,2))),DATE(VALUE(RIGHT(G135,4)),VLOOKUP(TRIM(MID(G135,FIND(" ",G135)+1,LEN(G135)-FIND(" ",G135)-5)),Справочники!$M$3:$N$14,2,0),VALUE(LEFT(G135,FIND(" ",G135)-1))))),"")</f>
        <v>45915</v>
      </c>
      <c r="M135" t="str">
        <f t="shared" si="200"/>
        <v xml:space="preserve">+7 (903) 012-34-56</v>
      </c>
      <c r="N135" t="str">
        <f t="shared" si="201"/>
        <v>gorbachev@yandex</v>
      </c>
      <c r="O135" t="str">
        <f t="shared" si="202"/>
        <v xml:space="preserve">Ошибка Email</v>
      </c>
      <c r="P135" t="str">
        <f>IFERROR(VLOOKUP(TRIM(SUBSTITUTE(SUBSTITUTE(" "&amp;F135," г "," "),"г.","")),Справочники!$J$3:$K$102,2,0),TRIM(SUBSTITUTE(SUBSTITUTE(" "&amp;F135," г "," "),"г.","")))</f>
        <v>Оренбург</v>
      </c>
    </row>
    <row r="136">
      <c r="A136" s="3" t="s">
        <v>2260</v>
      </c>
      <c r="B136" s="3" t="s">
        <v>4599</v>
      </c>
      <c r="C136" s="3" t="s">
        <v>4600</v>
      </c>
      <c r="D136" s="3" t="s">
        <v>4034</v>
      </c>
      <c r="E136" s="3" t="s">
        <v>4601</v>
      </c>
      <c r="F136" s="3" t="s">
        <v>4112</v>
      </c>
      <c r="G136" s="3" t="s">
        <v>4602</v>
      </c>
      <c r="H136" t="str">
        <f t="shared" si="197"/>
        <v xml:space="preserve">Михайлова Елена Станиславовна</v>
      </c>
      <c r="I136" s="5">
        <f>IFERROR(IF(ISNUMBER(FIND("-",C136)),DATE(VALUE(LEFT(C136,4)),VALUE(MID(C136,6,2)),VALUE(RIGHT(C136,2))),IF(ISNUMBER(FIND(".",C136)),DATE(VALUE(RIGHT(C136,4)),VALUE(MID(C136,4,2)),VALUE(LEFT(C136,2))),DATE(VALUE(RIGHT(C136,4)),VLOOKUP(TRIM(MID(C136,FIND(" ",C136)+1,LEN(C136)-FIND(" ",C136)-5)),Справочники!$M$3:$N$14,2,0),VALUE(LEFT(C136,FIND(" ",C136)-1))))),"")</f>
        <v>30926</v>
      </c>
      <c r="J136" s="6">
        <f t="shared" si="198"/>
        <v>42</v>
      </c>
      <c r="K136" t="str">
        <f t="shared" si="199"/>
        <v>ОК</v>
      </c>
      <c r="L136" s="5">
        <f>IFERROR(IF(ISNUMBER(FIND("-",G136)),DATE(VALUE(LEFT(G136,4)),VALUE(MID(G136,6,2)),VALUE(RIGHT(G136,2))),IF(ISNUMBER(FIND(".",G136)),DATE(VALUE(RIGHT(G136,4)),VALUE(MID(G136,4,2)),VALUE(LEFT(G136,2))),DATE(VALUE(RIGHT(G136,4)),VLOOKUP(TRIM(MID(G136,FIND(" ",G136)+1,LEN(G136)-FIND(" ",G136)-5)),Справочники!$M$3:$N$14,2,0),VALUE(LEFT(G136,FIND(" ",G136)-1))))),"")</f>
        <v>45915</v>
      </c>
      <c r="M136" t="str">
        <f t="shared" si="200"/>
        <v xml:space="preserve">+7 (903) 123-45-67</v>
      </c>
      <c r="N136" t="str">
        <f t="shared" si="201"/>
        <v>mihailova@gmail</v>
      </c>
      <c r="O136" t="str">
        <f t="shared" si="202"/>
        <v xml:space="preserve">Ошибка Email</v>
      </c>
      <c r="P136" t="str">
        <f>IFERROR(VLOOKUP(TRIM(SUBSTITUTE(SUBSTITUTE(" "&amp;F136," г "," "),"г.","")),Справочники!$J$3:$K$102,2,0),TRIM(SUBSTITUTE(SUBSTITUTE(" "&amp;F136," г "," "),"г.","")))</f>
        <v>Кемерово</v>
      </c>
    </row>
    <row r="137">
      <c r="A137" s="3" t="s">
        <v>2262</v>
      </c>
      <c r="B137" s="3" t="s">
        <v>4603</v>
      </c>
      <c r="C137" s="3" t="s">
        <v>4604</v>
      </c>
      <c r="D137" s="3" t="s">
        <v>4040</v>
      </c>
      <c r="E137" s="3" t="s">
        <v>4605</v>
      </c>
      <c r="F137" s="3" t="s">
        <v>4118</v>
      </c>
      <c r="G137" s="3" t="s">
        <v>4606</v>
      </c>
      <c r="H137" t="str">
        <f t="shared" si="197"/>
        <v xml:space="preserve">Сорокин Антон Викторович</v>
      </c>
      <c r="I137" s="5">
        <f>IFERROR(IF(ISNUMBER(FIND("-",C137)),DATE(VALUE(LEFT(C137,4)),VALUE(MID(C137,6,2)),VALUE(RIGHT(C137,2))),IF(ISNUMBER(FIND(".",C137)),DATE(VALUE(RIGHT(C137,4)),VALUE(MID(C137,4,2)),VALUE(LEFT(C137,2))),DATE(VALUE(RIGHT(C137,4)),VLOOKUP(TRIM(MID(C137,FIND(" ",C137)+1,LEN(C137)-FIND(" ",C137)-5)),Справочники!$M$3:$N$14,2,0),VALUE(LEFT(C137,FIND(" ",C137)-1))))),"")</f>
        <v>28968</v>
      </c>
      <c r="J137" s="6">
        <f t="shared" si="198"/>
        <v>47</v>
      </c>
      <c r="K137" t="str">
        <f t="shared" si="199"/>
        <v>ОК</v>
      </c>
      <c r="L137" s="5">
        <f>IFERROR(IF(ISNUMBER(FIND("-",G137)),DATE(VALUE(LEFT(G137,4)),VALUE(MID(G137,6,2)),VALUE(RIGHT(G137,2))),IF(ISNUMBER(FIND(".",G137)),DATE(VALUE(RIGHT(G137,4)),VALUE(MID(G137,4,2)),VALUE(LEFT(G137,2))),DATE(VALUE(RIGHT(G137,4)),VLOOKUP(TRIM(MID(G137,FIND(" ",G137)+1,LEN(G137)-FIND(" ",G137)-5)),Справочники!$M$3:$N$14,2,0),VALUE(LEFT(G137,FIND(" ",G137)-1))))),"")</f>
        <v>45931</v>
      </c>
      <c r="M137" t="str">
        <f t="shared" si="200"/>
        <v xml:space="preserve">+7 (903) 123-45-67</v>
      </c>
      <c r="N137" t="str">
        <f t="shared" si="201"/>
        <v>sorokin@mail</v>
      </c>
      <c r="O137" t="str">
        <f t="shared" si="202"/>
        <v xml:space="preserve">Ошибка Email</v>
      </c>
      <c r="P137" t="str">
        <f>IFERROR(VLOOKUP(TRIM(SUBSTITUTE(SUBSTITUTE(" "&amp;F137," г "," "),"г.","")),Справочники!$J$3:$K$102,2,0),TRIM(SUBSTITUTE(SUBSTITUTE(" "&amp;F137," г "," "),"г.","")))</f>
        <v>Новокузнецк</v>
      </c>
    </row>
    <row r="138">
      <c r="A138" s="3" t="s">
        <v>2265</v>
      </c>
      <c r="B138" s="3" t="s">
        <v>4607</v>
      </c>
      <c r="C138" s="3" t="s">
        <v>4608</v>
      </c>
      <c r="D138" s="3" t="s">
        <v>1570</v>
      </c>
      <c r="E138" s="3" t="s">
        <v>4609</v>
      </c>
      <c r="F138" s="3" t="s">
        <v>4124</v>
      </c>
      <c r="G138" s="3" t="s">
        <v>4610</v>
      </c>
      <c r="H138" t="str">
        <f t="shared" si="197"/>
        <v xml:space="preserve">Филиппов Юрий Игоревич</v>
      </c>
      <c r="I138" s="5">
        <f>IFERROR(IF(ISNUMBER(FIND("-",C138)),DATE(VALUE(LEFT(C138,4)),VALUE(MID(C138,6,2)),VALUE(RIGHT(C138,2))),IF(ISNUMBER(FIND(".",C138)),DATE(VALUE(RIGHT(C138,4)),VALUE(MID(C138,4,2)),VALUE(LEFT(C138,2))),DATE(VALUE(RIGHT(C138,4)),VLOOKUP(TRIM(MID(C138,FIND(" ",C138)+1,LEN(C138)-FIND(" ",C138)-5)),Справочники!$M$3:$N$14,2,0),VALUE(LEFT(C138,FIND(" ",C138)-1))))),"")</f>
        <v>31762</v>
      </c>
      <c r="J138" s="6">
        <f t="shared" si="198"/>
        <v>39</v>
      </c>
      <c r="K138" t="str">
        <f t="shared" si="199"/>
        <v>ОК</v>
      </c>
      <c r="L138" s="5">
        <f>IFERROR(IF(ISNUMBER(FIND("-",G138)),DATE(VALUE(LEFT(G138,4)),VALUE(MID(G138,6,2)),VALUE(RIGHT(G138,2))),IF(ISNUMBER(FIND(".",G138)),DATE(VALUE(RIGHT(G138,4)),VALUE(MID(G138,4,2)),VALUE(LEFT(G138,2))),DATE(VALUE(RIGHT(G138,4)),VLOOKUP(TRIM(MID(G138,FIND(" ",G138)+1,LEN(G138)-FIND(" ",G138)-5)),Справочники!$M$3:$N$14,2,0),VALUE(LEFT(G138,FIND(" ",G138)-1))))),"")</f>
        <v>45940</v>
      </c>
      <c r="M138" t="str">
        <f t="shared" si="200"/>
        <v xml:space="preserve">+7 (903) 123-45-67</v>
      </c>
      <c r="N138" t="str">
        <f t="shared" si="201"/>
        <v>filipov@yandex</v>
      </c>
      <c r="O138" t="str">
        <f t="shared" si="202"/>
        <v xml:space="preserve">Ошибка Email</v>
      </c>
      <c r="P138" t="str">
        <f>IFERROR(VLOOKUP(TRIM(SUBSTITUTE(SUBSTITUTE(" "&amp;F138," г "," "),"г.","")),Справочники!$J$3:$K$102,2,0),TRIM(SUBSTITUTE(SUBSTITUTE(" "&amp;F138," г "," "),"г.","")))</f>
        <v>Рязань</v>
      </c>
    </row>
    <row r="139">
      <c r="A139" s="3" t="s">
        <v>2267</v>
      </c>
      <c r="B139" s="3" t="s">
        <v>4611</v>
      </c>
      <c r="C139" s="3" t="s">
        <v>4612</v>
      </c>
      <c r="D139" s="3" t="s">
        <v>4051</v>
      </c>
      <c r="E139" s="3" t="s">
        <v>4613</v>
      </c>
      <c r="F139" s="3" t="s">
        <v>4129</v>
      </c>
      <c r="G139" s="3" t="s">
        <v>4614</v>
      </c>
      <c r="H139" t="str">
        <f t="shared" si="197"/>
        <v xml:space="preserve">Буркова Надежда Валерьевна</v>
      </c>
      <c r="I139" s="5">
        <f>IFERROR(IF(ISNUMBER(FIND("-",C139)),DATE(VALUE(LEFT(C139,4)),VALUE(MID(C139,6,2)),VALUE(RIGHT(C139,2))),IF(ISNUMBER(FIND(".",C139)),DATE(VALUE(RIGHT(C139,4)),VALUE(MID(C139,4,2)),VALUE(LEFT(C139,2))),DATE(VALUE(RIGHT(C139,4)),VLOOKUP(TRIM(MID(C139,FIND(" ",C139)+1,LEN(C139)-FIND(" ",C139)-5)),Справочники!$M$3:$N$14,2,0),VALUE(LEFT(C139,FIND(" ",C139)-1))))),"")</f>
        <v>34250</v>
      </c>
      <c r="J139" s="6">
        <f t="shared" si="198"/>
        <v>33</v>
      </c>
      <c r="K139" t="str">
        <f t="shared" si="199"/>
        <v>ОК</v>
      </c>
      <c r="L139" s="5">
        <f>IFERROR(IF(ISNUMBER(FIND("-",G139)),DATE(VALUE(LEFT(G139,4)),VALUE(MID(G139,6,2)),VALUE(RIGHT(G139,2))),IF(ISNUMBER(FIND(".",G139)),DATE(VALUE(RIGHT(G139,4)),VALUE(MID(G139,4,2)),VALUE(LEFT(G139,2))),DATE(VALUE(RIGHT(G139,4)),VLOOKUP(TRIM(MID(G139,FIND(" ",G139)+1,LEN(G139)-FIND(" ",G139)-5)),Справочники!$M$3:$N$14,2,0),VALUE(LEFT(G139,FIND(" ",G139)-1))))),"")</f>
        <v>45940</v>
      </c>
      <c r="M139" t="str">
        <f t="shared" si="200"/>
        <v xml:space="preserve">+7 (903) 234-56-78</v>
      </c>
      <c r="N139" t="str">
        <f t="shared" si="201"/>
        <v>burkova@gmail</v>
      </c>
      <c r="O139" t="str">
        <f t="shared" si="202"/>
        <v xml:space="preserve">Ошибка Email</v>
      </c>
      <c r="P139" t="str">
        <f>IFERROR(VLOOKUP(TRIM(SUBSTITUTE(SUBSTITUTE(" "&amp;F139," г "," "),"г.","")),Справочники!$J$3:$K$102,2,0),TRIM(SUBSTITUTE(SUBSTITUTE(" "&amp;F139," г "," "),"г.","")))</f>
        <v>Астрахань</v>
      </c>
    </row>
    <row r="140">
      <c r="A140" s="3" t="s">
        <v>2270</v>
      </c>
      <c r="B140" s="3" t="s">
        <v>4615</v>
      </c>
      <c r="C140" s="3" t="s">
        <v>4616</v>
      </c>
      <c r="D140" s="3" t="s">
        <v>4057</v>
      </c>
      <c r="E140" s="3" t="s">
        <v>4617</v>
      </c>
      <c r="F140" s="3" t="s">
        <v>4134</v>
      </c>
      <c r="G140" s="3" t="s">
        <v>4618</v>
      </c>
      <c r="H140" t="str">
        <f t="shared" si="197"/>
        <v xml:space="preserve">Маркова Галина Петровна</v>
      </c>
      <c r="I140" s="5">
        <f>IFERROR(IF(ISNUMBER(FIND("-",C140)),DATE(VALUE(LEFT(C140,4)),VALUE(MID(C140,6,2)),VALUE(RIGHT(C140,2))),IF(ISNUMBER(FIND(".",C140)),DATE(VALUE(RIGHT(C140,4)),VALUE(MID(C140,4,2)),VALUE(LEFT(C140,2))),DATE(VALUE(RIGHT(C140,4)),VLOOKUP(TRIM(MID(C140,FIND(" ",C140)+1,LEN(C140)-FIND(" ",C140)-5)),Справочники!$M$3:$N$14,2,0),VALUE(LEFT(C140,FIND(" ",C140)-1))))),"")</f>
        <v>25715</v>
      </c>
      <c r="J140" s="6">
        <f t="shared" si="198"/>
        <v>56</v>
      </c>
      <c r="K140" t="str">
        <f t="shared" si="199"/>
        <v>ОК</v>
      </c>
      <c r="L140" s="5">
        <f>IFERROR(IF(ISNUMBER(FIND("-",G140)),DATE(VALUE(LEFT(G140,4)),VALUE(MID(G140,6,2)),VALUE(RIGHT(G140,2))),IF(ISNUMBER(FIND(".",G140)),DATE(VALUE(RIGHT(G140,4)),VALUE(MID(G140,4,2)),VALUE(LEFT(G140,2))),DATE(VALUE(RIGHT(G140,4)),VLOOKUP(TRIM(MID(G140,FIND(" ",G140)+1,LEN(G140)-FIND(" ",G140)-5)),Справочники!$M$3:$N$14,2,0),VALUE(LEFT(G140,FIND(" ",G140)-1))))),"")</f>
        <v>45962</v>
      </c>
      <c r="M140" t="str">
        <f t="shared" si="200"/>
        <v xml:space="preserve">+7 (903) 234-56-78</v>
      </c>
      <c r="N140" t="str">
        <f t="shared" si="201"/>
        <v>markova@mail</v>
      </c>
      <c r="O140" t="str">
        <f t="shared" si="202"/>
        <v xml:space="preserve">Ошибка Email</v>
      </c>
      <c r="P140" t="str">
        <f>IFERROR(VLOOKUP(TRIM(SUBSTITUTE(SUBSTITUTE(" "&amp;F140," г "," "),"г.","")),Справочники!$J$3:$K$102,2,0),TRIM(SUBSTITUTE(SUBSTITUTE(" "&amp;F140," г "," "),"г.","")))</f>
        <v xml:space="preserve">Набережные Челны</v>
      </c>
    </row>
    <row r="141">
      <c r="A141" s="3" t="s">
        <v>2272</v>
      </c>
      <c r="B141" s="3" t="s">
        <v>4619</v>
      </c>
      <c r="C141" s="3" t="s">
        <v>4620</v>
      </c>
      <c r="D141" s="3" t="s">
        <v>1712</v>
      </c>
      <c r="E141" s="3" t="s">
        <v>4621</v>
      </c>
      <c r="F141" s="3" t="s">
        <v>4140</v>
      </c>
      <c r="G141" s="3" t="s">
        <v>4622</v>
      </c>
      <c r="H141" t="str">
        <f t="shared" si="197"/>
        <v xml:space="preserve">Дмитриев Степан Олегович</v>
      </c>
      <c r="I141" s="5">
        <f>IFERROR(IF(ISNUMBER(FIND("-",C141)),DATE(VALUE(LEFT(C141,4)),VALUE(MID(C141,6,2)),VALUE(RIGHT(C141,2))),IF(ISNUMBER(FIND(".",C141)),DATE(VALUE(RIGHT(C141,4)),VALUE(MID(C141,4,2)),VALUE(LEFT(C141,2))),DATE(VALUE(RIGHT(C141,4)),VLOOKUP(TRIM(MID(C141,FIND(" ",C141)+1,LEN(C141)-FIND(" ",C141)-5)),Справочники!$M$3:$N$14,2,0),VALUE(LEFT(C141,FIND(" ",C141)-1))))),"")</f>
        <v>32216</v>
      </c>
      <c r="J141" s="6">
        <f t="shared" si="198"/>
        <v>38</v>
      </c>
      <c r="K141" t="str">
        <f t="shared" si="199"/>
        <v>ОК</v>
      </c>
      <c r="L141" s="5">
        <f>IFERROR(IF(ISNUMBER(FIND("-",G141)),DATE(VALUE(LEFT(G141,4)),VALUE(MID(G141,6,2)),VALUE(RIGHT(G141,2))),IF(ISNUMBER(FIND(".",G141)),DATE(VALUE(RIGHT(G141,4)),VALUE(MID(G141,4,2)),VALUE(LEFT(G141,2))),DATE(VALUE(RIGHT(G141,4)),VLOOKUP(TRIM(MID(G141,FIND(" ",G141)+1,LEN(G141)-FIND(" ",G141)-5)),Справочники!$M$3:$N$14,2,0),VALUE(LEFT(G141,FIND(" ",G141)-1))))),"")</f>
        <v>45976</v>
      </c>
      <c r="M141" t="str">
        <f t="shared" si="200"/>
        <v xml:space="preserve">+7 (903) 234-56-78</v>
      </c>
      <c r="N141" t="str">
        <f t="shared" si="201"/>
        <v>dmitriev@yandex</v>
      </c>
      <c r="O141" t="str">
        <f t="shared" si="202"/>
        <v xml:space="preserve">Ошибка Email</v>
      </c>
      <c r="P141" t="str">
        <f>IFERROR(VLOOKUP(TRIM(SUBSTITUTE(SUBSTITUTE(" "&amp;F141," г "," "),"г.","")),Справочники!$J$3:$K$102,2,0),TRIM(SUBSTITUTE(SUBSTITUTE(" "&amp;F141," г "," "),"г.","")))</f>
        <v>Липецк</v>
      </c>
    </row>
    <row r="142">
      <c r="A142" s="3" t="s">
        <v>2275</v>
      </c>
      <c r="B142" s="3" t="s">
        <v>4623</v>
      </c>
      <c r="C142" s="3" t="s">
        <v>4624</v>
      </c>
      <c r="D142" s="3" t="s">
        <v>1584</v>
      </c>
      <c r="E142" s="3" t="s">
        <v>4625</v>
      </c>
      <c r="F142" s="3" t="s">
        <v>4146</v>
      </c>
      <c r="G142" s="3" t="s">
        <v>4626</v>
      </c>
      <c r="H142" t="str">
        <f t="shared" si="197"/>
        <v xml:space="preserve">Гришин Владислав Денисович</v>
      </c>
      <c r="I142" s="5">
        <f>IFERROR(IF(ISNUMBER(FIND("-",C142)),DATE(VALUE(LEFT(C142,4)),VALUE(MID(C142,6,2)),VALUE(RIGHT(C142,2))),IF(ISNUMBER(FIND(".",C142)),DATE(VALUE(RIGHT(C142,4)),VALUE(MID(C142,4,2)),VALUE(LEFT(C142,2))),DATE(VALUE(RIGHT(C142,4)),VLOOKUP(TRIM(MID(C142,FIND(" ",C142)+1,LEN(C142)-FIND(" ",C142)-5)),Справочники!$M$3:$N$14,2,0),VALUE(LEFT(C142,FIND(" ",C142)-1))))),"")</f>
        <v>29849</v>
      </c>
      <c r="J142" s="6">
        <f t="shared" si="198"/>
        <v>45</v>
      </c>
      <c r="K142" t="str">
        <f t="shared" si="199"/>
        <v>ОК</v>
      </c>
      <c r="L142" s="5">
        <f>IFERROR(IF(ISNUMBER(FIND("-",G142)),DATE(VALUE(LEFT(G142,4)),VALUE(MID(G142,6,2)),VALUE(RIGHT(G142,2))),IF(ISNUMBER(FIND(".",G142)),DATE(VALUE(RIGHT(G142,4)),VALUE(MID(G142,4,2)),VALUE(LEFT(G142,2))),DATE(VALUE(RIGHT(G142,4)),VLOOKUP(TRIM(MID(G142,FIND(" ",G142)+1,LEN(G142)-FIND(" ",G142)-5)),Справочники!$M$3:$N$14,2,0),VALUE(LEFT(G142,FIND(" ",G142)-1))))),"")</f>
        <v>45976</v>
      </c>
      <c r="M142" t="str">
        <f t="shared" si="200"/>
        <v xml:space="preserve">+7 (903) 345-67-89</v>
      </c>
      <c r="N142" t="str">
        <f t="shared" si="201"/>
        <v>grishin@gmail</v>
      </c>
      <c r="O142" t="str">
        <f t="shared" si="202"/>
        <v xml:space="preserve">Ошибка Email</v>
      </c>
      <c r="P142" t="str">
        <f>IFERROR(VLOOKUP(TRIM(SUBSTITUTE(SUBSTITUTE(" "&amp;F142," г "," "),"г.","")),Справочники!$J$3:$K$102,2,0),TRIM(SUBSTITUTE(SUBSTITUTE(" "&amp;F142," г "," "),"г.","")))</f>
        <v>Киров</v>
      </c>
    </row>
    <row r="143">
      <c r="A143" s="3" t="s">
        <v>2277</v>
      </c>
      <c r="B143" s="3" t="s">
        <v>4627</v>
      </c>
      <c r="C143" s="3" t="s">
        <v>4628</v>
      </c>
      <c r="D143" s="3" t="s">
        <v>4073</v>
      </c>
      <c r="E143" s="3" t="s">
        <v>4629</v>
      </c>
      <c r="F143" s="3" t="s">
        <v>4152</v>
      </c>
      <c r="G143" s="3" t="s">
        <v>4630</v>
      </c>
      <c r="H143" t="str">
        <f t="shared" si="197"/>
        <v xml:space="preserve">Симонова Татьяна Владимировна</v>
      </c>
      <c r="I143" s="5">
        <f>IFERROR(IF(ISNUMBER(FIND("-",C143)),DATE(VALUE(LEFT(C143,4)),VALUE(MID(C143,6,2)),VALUE(RIGHT(C143,2))),IF(ISNUMBER(FIND(".",C143)),DATE(VALUE(RIGHT(C143,4)),VALUE(MID(C143,4,2)),VALUE(LEFT(C143,2))),DATE(VALUE(RIGHT(C143,4)),VLOOKUP(TRIM(MID(C143,FIND(" ",C143)+1,LEN(C143)-FIND(" ",C143)-5)),Справочники!$M$3:$N$14,2,0),VALUE(LEFT(C143,FIND(" ",C143)-1))))),"")</f>
        <v>27221</v>
      </c>
      <c r="J143" s="6">
        <f t="shared" si="198"/>
        <v>52</v>
      </c>
      <c r="K143" t="str">
        <f t="shared" si="199"/>
        <v>ОК</v>
      </c>
      <c r="L143" s="5">
        <f>IFERROR(IF(ISNUMBER(FIND("-",G143)),DATE(VALUE(LEFT(G143,4)),VALUE(MID(G143,6,2)),VALUE(RIGHT(G143,2))),IF(ISNUMBER(FIND(".",G143)),DATE(VALUE(RIGHT(G143,4)),VALUE(MID(G143,4,2)),VALUE(LEFT(G143,2))),DATE(VALUE(RIGHT(G143,4)),VLOOKUP(TRIM(MID(G143,FIND(" ",G143)+1,LEN(G143)-FIND(" ",G143)-5)),Справочники!$M$3:$N$14,2,0),VALUE(LEFT(G143,FIND(" ",G143)-1))))),"")</f>
        <v>45992</v>
      </c>
      <c r="M143" t="str">
        <f t="shared" si="200"/>
        <v xml:space="preserve">+7 (903) 345-67-89</v>
      </c>
      <c r="N143" t="str">
        <f t="shared" si="201"/>
        <v>simonova@mail</v>
      </c>
      <c r="O143" t="str">
        <f t="shared" si="202"/>
        <v xml:space="preserve">Ошибка Email</v>
      </c>
      <c r="P143" t="str">
        <f>IFERROR(VLOOKUP(TRIM(SUBSTITUTE(SUBSTITUTE(" "&amp;F143," г "," "),"г.","")),Справочники!$J$3:$K$102,2,0),TRIM(SUBSTITUTE(SUBSTITUTE(" "&amp;F143," г "," "),"г.","")))</f>
        <v>Чебоксары</v>
      </c>
    </row>
    <row r="144">
      <c r="A144" s="3" t="s">
        <v>2280</v>
      </c>
      <c r="B144" s="3" t="s">
        <v>4631</v>
      </c>
      <c r="C144" s="3" t="s">
        <v>4632</v>
      </c>
      <c r="D144" s="3" t="s">
        <v>4079</v>
      </c>
      <c r="E144" s="3" t="s">
        <v>4633</v>
      </c>
      <c r="F144" s="3" t="s">
        <v>4157</v>
      </c>
      <c r="G144" s="3" t="s">
        <v>4634</v>
      </c>
      <c r="H144" t="str">
        <f t="shared" si="197"/>
        <v xml:space="preserve">Назаров Антон Иванович</v>
      </c>
      <c r="I144" s="5">
        <f>IFERROR(IF(ISNUMBER(FIND("-",C144)),DATE(VALUE(LEFT(C144,4)),VALUE(MID(C144,6,2)),VALUE(RIGHT(C144,2))),IF(ISNUMBER(FIND(".",C144)),DATE(VALUE(RIGHT(C144,4)),VALUE(MID(C144,4,2)),VALUE(LEFT(C144,2))),DATE(VALUE(RIGHT(C144,4)),VLOOKUP(TRIM(MID(C144,FIND(" ",C144)+1,LEN(C144)-FIND(" ",C144)-5)),Справочники!$M$3:$N$14,2,0),VALUE(LEFT(C144,FIND(" ",C144)-1))))),"")</f>
        <v>33639</v>
      </c>
      <c r="J144" s="6">
        <f t="shared" si="198"/>
        <v>34</v>
      </c>
      <c r="K144" t="str">
        <f t="shared" si="199"/>
        <v>ОК</v>
      </c>
      <c r="L144" s="5">
        <f>IFERROR(IF(ISNUMBER(FIND("-",G144)),DATE(VALUE(LEFT(G144,4)),VALUE(MID(G144,6,2)),VALUE(RIGHT(G144,2))),IF(ISNUMBER(FIND(".",G144)),DATE(VALUE(RIGHT(G144,4)),VALUE(MID(G144,4,2)),VALUE(LEFT(G144,2))),DATE(VALUE(RIGHT(G144,4)),VLOOKUP(TRIM(MID(G144,FIND(" ",G144)+1,LEN(G144)-FIND(" ",G144)-5)),Справочники!$M$3:$N$14,2,0),VALUE(LEFT(G144,FIND(" ",G144)-1))))),"")</f>
        <v>46001</v>
      </c>
      <c r="M144" t="str">
        <f t="shared" si="200"/>
        <v xml:space="preserve">+7 (903) 345-67-89</v>
      </c>
      <c r="N144" t="str">
        <f t="shared" si="201"/>
        <v>nazarov@yandex</v>
      </c>
      <c r="O144" t="str">
        <f t="shared" si="202"/>
        <v xml:space="preserve">Ошибка Email</v>
      </c>
      <c r="P144" t="str">
        <f>IFERROR(VLOOKUP(TRIM(SUBSTITUTE(SUBSTITUTE(" "&amp;F144," г "," "),"г.","")),Справочники!$J$3:$K$102,2,0),TRIM(SUBSTITUTE(SUBSTITUTE(" "&amp;F144," г "," "),"г.","")))</f>
        <v>Тверь</v>
      </c>
    </row>
    <row r="145">
      <c r="A145" s="3" t="s">
        <v>2282</v>
      </c>
      <c r="B145" s="3" t="s">
        <v>4635</v>
      </c>
      <c r="C145" s="3" t="s">
        <v>4636</v>
      </c>
      <c r="D145" s="3" t="s">
        <v>4085</v>
      </c>
      <c r="E145" s="3" t="s">
        <v>4637</v>
      </c>
      <c r="F145" s="3" t="s">
        <v>4162</v>
      </c>
      <c r="G145" s="3" t="s">
        <v>4638</v>
      </c>
      <c r="H145" t="str">
        <f t="shared" si="197"/>
        <v xml:space="preserve">Коновалова Людмила Юрьевна</v>
      </c>
      <c r="I145" s="5">
        <f>IFERROR(IF(ISNUMBER(FIND("-",C145)),DATE(VALUE(LEFT(C145,4)),VALUE(MID(C145,6,2)),VALUE(RIGHT(C145,2))),IF(ISNUMBER(FIND(".",C145)),DATE(VALUE(RIGHT(C145,4)),VALUE(MID(C145,4,2)),VALUE(LEFT(C145,2))),DATE(VALUE(RIGHT(C145,4)),VLOOKUP(TRIM(MID(C145,FIND(" ",C145)+1,LEN(C145)-FIND(" ",C145)-5)),Справочники!$M$3:$N$14,2,0),VALUE(LEFT(C145,FIND(" ",C145)-1))))),"")</f>
        <v>31370</v>
      </c>
      <c r="J145" s="6">
        <f t="shared" si="198"/>
        <v>40</v>
      </c>
      <c r="K145" t="str">
        <f t="shared" si="199"/>
        <v>ОК</v>
      </c>
      <c r="L145" s="5">
        <f>IFERROR(IF(ISNUMBER(FIND("-",G145)),DATE(VALUE(LEFT(G145,4)),VALUE(MID(G145,6,2)),VALUE(RIGHT(G145,2))),IF(ISNUMBER(FIND(".",G145)),DATE(VALUE(RIGHT(G145,4)),VALUE(MID(G145,4,2)),VALUE(LEFT(G145,2))),DATE(VALUE(RIGHT(G145,4)),VLOOKUP(TRIM(MID(G145,FIND(" ",G145)+1,LEN(G145)-FIND(" ",G145)-5)),Справочники!$M$3:$N$14,2,0),VALUE(LEFT(G145,FIND(" ",G145)-1))))),"")</f>
        <v>46001</v>
      </c>
      <c r="M145" t="str">
        <f t="shared" si="200"/>
        <v xml:space="preserve">+7 (903) 456-78-90</v>
      </c>
      <c r="N145" t="str">
        <f t="shared" si="201"/>
        <v>konovalova@gmail</v>
      </c>
      <c r="O145" t="str">
        <f t="shared" si="202"/>
        <v xml:space="preserve">Ошибка Email</v>
      </c>
      <c r="P145" t="str">
        <f>IFERROR(VLOOKUP(TRIM(SUBSTITUTE(SUBSTITUTE(" "&amp;F145," г "," "),"г.","")),Справочники!$J$3:$K$102,2,0),TRIM(SUBSTITUTE(SUBSTITUTE(" "&amp;F145," г "," "),"г.","")))</f>
        <v>Краснодар</v>
      </c>
    </row>
    <row r="146">
      <c r="A146" s="3" t="s">
        <v>2285</v>
      </c>
      <c r="B146" s="3" t="s">
        <v>4639</v>
      </c>
      <c r="C146" s="3" t="s">
        <v>4640</v>
      </c>
      <c r="D146" s="3" t="s">
        <v>1591</v>
      </c>
      <c r="E146" s="3" t="s">
        <v>4641</v>
      </c>
      <c r="F146" s="3" t="s">
        <v>4172</v>
      </c>
      <c r="G146" s="3" t="s">
        <v>4642</v>
      </c>
      <c r="H146" t="str">
        <f t="shared" si="197"/>
        <v xml:space="preserve">Панфилов Николай Евгеньевич</v>
      </c>
      <c r="I146" s="5">
        <f>IFERROR(IF(ISNUMBER(FIND("-",C146)),DATE(VALUE(LEFT(C146,4)),VALUE(MID(C146,6,2)),VALUE(RIGHT(C146,2))),IF(ISNUMBER(FIND(".",C146)),DATE(VALUE(RIGHT(C146,4)),VALUE(MID(C146,4,2)),VALUE(LEFT(C146,2))),DATE(VALUE(RIGHT(C146,4)),VLOOKUP(TRIM(MID(C146,FIND(" ",C146)+1,LEN(C146)-FIND(" ",C146)-5)),Справочники!$M$3:$N$14,2,0),VALUE(LEFT(C146,FIND(" ",C146)-1))))),"")</f>
        <v>28363</v>
      </c>
      <c r="J146" s="6">
        <f t="shared" si="198"/>
        <v>49</v>
      </c>
      <c r="K146" t="str">
        <f t="shared" si="199"/>
        <v>ОК</v>
      </c>
      <c r="L146" s="5">
        <f>IFERROR(IF(ISNUMBER(FIND("-",G146)),DATE(VALUE(LEFT(G146,4)),VALUE(MID(G146,6,2)),VALUE(RIGHT(G146,2))),IF(ISNUMBER(FIND(".",G146)),DATE(VALUE(RIGHT(G146,4)),VALUE(MID(G146,4,2)),VALUE(LEFT(G146,2))),DATE(VALUE(RIGHT(G146,4)),VLOOKUP(TRIM(MID(G146,FIND(" ",G146)+1,LEN(G146)-FIND(" ",G146)-5)),Справочники!$M$3:$N$14,2,0),VALUE(LEFT(G146,FIND(" ",G146)-1))))),"")</f>
        <v>46023</v>
      </c>
      <c r="M146" t="str">
        <f t="shared" si="200"/>
        <v xml:space="preserve">+7 (903) 456-78-90</v>
      </c>
      <c r="N146" t="str">
        <f t="shared" si="201"/>
        <v>panfilov@mail</v>
      </c>
      <c r="O146" t="str">
        <f t="shared" si="202"/>
        <v xml:space="preserve">Ошибка Email</v>
      </c>
      <c r="P146" t="str">
        <f>IFERROR(VLOOKUP(TRIM(SUBSTITUTE(SUBSTITUTE(" "&amp;F146," г "," "),"г.","")),Справочники!$J$3:$K$102,2,0),TRIM(SUBSTITUTE(SUBSTITUTE(" "&amp;F146," г "," "),"г.","")))</f>
        <v>Пенза</v>
      </c>
    </row>
    <row r="147">
      <c r="A147" s="3" t="s">
        <v>2287</v>
      </c>
      <c r="B147" s="3" t="s">
        <v>4643</v>
      </c>
      <c r="C147" s="3" t="s">
        <v>4644</v>
      </c>
      <c r="D147" s="3" t="s">
        <v>1660</v>
      </c>
      <c r="E147" s="3" t="s">
        <v>4645</v>
      </c>
      <c r="F147" s="3" t="s">
        <v>4167</v>
      </c>
      <c r="G147" s="3" t="s">
        <v>4646</v>
      </c>
      <c r="H147" t="str">
        <f t="shared" si="197"/>
        <v xml:space="preserve">Щербакова Ирина Алексеевна</v>
      </c>
      <c r="I147" s="5">
        <f>IFERROR(IF(ISNUMBER(FIND("-",C147)),DATE(VALUE(LEFT(C147,4)),VALUE(MID(C147,6,2)),VALUE(RIGHT(C147,2))),IF(ISNUMBER(FIND(".",C147)),DATE(VALUE(RIGHT(C147,4)),VALUE(MID(C147,4,2)),VALUE(LEFT(C147,2))),DATE(VALUE(RIGHT(C147,4)),VLOOKUP(TRIM(MID(C147,FIND(" ",C147)+1,LEN(C147)-FIND(" ",C147)-5)),Справочники!$M$3:$N$14,2,0),VALUE(LEFT(C147,FIND(" ",C147)-1))))),"")</f>
        <v>30415</v>
      </c>
      <c r="J147" s="6">
        <f t="shared" si="198"/>
        <v>43</v>
      </c>
      <c r="K147" t="str">
        <f t="shared" si="199"/>
        <v>ОК</v>
      </c>
      <c r="L147" s="5">
        <f>IFERROR(IF(ISNUMBER(FIND("-",G147)),DATE(VALUE(LEFT(G147,4)),VALUE(MID(G147,6,2)),VALUE(RIGHT(G147,2))),IF(ISNUMBER(FIND(".",G147)),DATE(VALUE(RIGHT(G147,4)),VALUE(MID(G147,4,2)),VALUE(LEFT(G147,2))),DATE(VALUE(RIGHT(G147,4)),VLOOKUP(TRIM(MID(G147,FIND(" ",G147)+1,LEN(G147)-FIND(" ",G147)-5)),Справочники!$M$3:$N$14,2,0),VALUE(LEFT(G147,FIND(" ",G147)-1))))),"")</f>
        <v>46037</v>
      </c>
      <c r="M147" t="str">
        <f t="shared" si="200"/>
        <v xml:space="preserve">+7 (903) 456-78-90</v>
      </c>
      <c r="N147" t="str">
        <f t="shared" si="201"/>
        <v>scherbakova@yandex</v>
      </c>
      <c r="O147" t="str">
        <f t="shared" si="202"/>
        <v xml:space="preserve">Ошибка Email</v>
      </c>
      <c r="P147" t="str">
        <f>IFERROR(VLOOKUP(TRIM(SUBSTITUTE(SUBSTITUTE(" "&amp;F147," г "," "),"г.","")),Справочники!$J$3:$K$102,2,0),TRIM(SUBSTITUTE(SUBSTITUTE(" "&amp;F147," г "," "),"г.","")))</f>
        <v>Стерлитамак</v>
      </c>
    </row>
    <row r="148">
      <c r="A148" s="3" t="s">
        <v>2289</v>
      </c>
      <c r="B148" s="3" t="s">
        <v>4647</v>
      </c>
      <c r="C148" s="3" t="s">
        <v>4648</v>
      </c>
      <c r="D148" s="3" t="s">
        <v>3984</v>
      </c>
      <c r="E148" s="3" t="s">
        <v>4649</v>
      </c>
      <c r="F148" s="3" t="s">
        <v>4178</v>
      </c>
      <c r="G148" s="3" t="s">
        <v>4650</v>
      </c>
      <c r="H148" t="str">
        <f t="shared" si="197"/>
        <v xml:space="preserve">Терентьев Виталий Михайлович</v>
      </c>
      <c r="I148" s="5">
        <f>IFERROR(IF(ISNUMBER(FIND("-",C148)),DATE(VALUE(LEFT(C148,4)),VALUE(MID(C148,6,2)),VALUE(RIGHT(C148,2))),IF(ISNUMBER(FIND(".",C148)),DATE(VALUE(RIGHT(C148,4)),VALUE(MID(C148,4,2)),VALUE(LEFT(C148,2))),DATE(VALUE(RIGHT(C148,4)),VLOOKUP(TRIM(MID(C148,FIND(" ",C148)+1,LEN(C148)-FIND(" ",C148)-5)),Справочники!$M$3:$N$14,2,0),VALUE(LEFT(C148,FIND(" ",C148)-1))))),"")</f>
        <v>32872</v>
      </c>
      <c r="J148" s="6">
        <f t="shared" si="198"/>
        <v>36</v>
      </c>
      <c r="K148" t="str">
        <f t="shared" si="199"/>
        <v>ОК</v>
      </c>
      <c r="L148" s="5">
        <f>IFERROR(IF(ISNUMBER(FIND("-",G148)),DATE(VALUE(LEFT(G148,4)),VALUE(MID(G148,6,2)),VALUE(RIGHT(G148,2))),IF(ISNUMBER(FIND(".",G148)),DATE(VALUE(RIGHT(G148,4)),VALUE(MID(G148,4,2)),VALUE(LEFT(G148,2))),DATE(VALUE(RIGHT(G148,4)),VLOOKUP(TRIM(MID(G148,FIND(" ",G148)+1,LEN(G148)-FIND(" ",G148)-5)),Справочники!$M$3:$N$14,2,0),VALUE(LEFT(G148,FIND(" ",G148)-1))))),"")</f>
        <v>46037</v>
      </c>
      <c r="M148" t="str">
        <f t="shared" si="200"/>
        <v xml:space="preserve">+7 (903) 567-89-01</v>
      </c>
      <c r="N148" t="str">
        <f t="shared" si="201"/>
        <v>terentev@gmail</v>
      </c>
      <c r="O148" t="str">
        <f t="shared" si="202"/>
        <v xml:space="preserve">Ошибка Email</v>
      </c>
      <c r="P148" t="str">
        <f>IFERROR(VLOOKUP(TRIM(SUBSTITUTE(SUBSTITUTE(" "&amp;F148," г "," "),"г.","")),Справочники!$J$3:$K$102,2,0),TRIM(SUBSTITUTE(SUBSTITUTE(" "&amp;F148," г "," "),"г.","")))</f>
        <v>Находка</v>
      </c>
    </row>
    <row r="149">
      <c r="A149" s="3" t="s">
        <v>2291</v>
      </c>
      <c r="B149" s="3" t="s">
        <v>4651</v>
      </c>
      <c r="C149" s="3" t="s">
        <v>4652</v>
      </c>
      <c r="D149" s="3" t="s">
        <v>3990</v>
      </c>
      <c r="E149" s="3" t="s">
        <v>4653</v>
      </c>
      <c r="F149" s="3" t="s">
        <v>4184</v>
      </c>
      <c r="G149" s="3" t="s">
        <v>4654</v>
      </c>
      <c r="H149" t="str">
        <f t="shared" si="197"/>
        <v xml:space="preserve">Молчанова Ольга Сергеевна</v>
      </c>
      <c r="I149" s="5">
        <f>IFERROR(IF(ISNUMBER(FIND("-",C149)),DATE(VALUE(LEFT(C149,4)),VALUE(MID(C149,6,2)),VALUE(RIGHT(C149,2))),IF(ISNUMBER(FIND(".",C149)),DATE(VALUE(RIGHT(C149,4)),VALUE(MID(C149,4,2)),VALUE(LEFT(C149,2))),DATE(VALUE(RIGHT(C149,4)),VLOOKUP(TRIM(MID(C149,FIND(" ",C149)+1,LEN(C149)-FIND(" ",C149)-5)),Справочники!$M$3:$N$14,2,0),VALUE(LEFT(C149,FIND(" ",C149)-1))))),"")</f>
        <v>27927</v>
      </c>
      <c r="J149" s="6">
        <f t="shared" si="198"/>
        <v>50</v>
      </c>
      <c r="K149" t="str">
        <f t="shared" si="199"/>
        <v>ОК</v>
      </c>
      <c r="L149" s="5">
        <f>IFERROR(IF(ISNUMBER(FIND("-",G149)),DATE(VALUE(LEFT(G149,4)),VALUE(MID(G149,6,2)),VALUE(RIGHT(G149,2))),IF(ISNUMBER(FIND(".",G149)),DATE(VALUE(RIGHT(G149,4)),VALUE(MID(G149,4,2)),VALUE(LEFT(G149,2))),DATE(VALUE(RIGHT(G149,4)),VLOOKUP(TRIM(MID(G149,FIND(" ",G149)+1,LEN(G149)-FIND(" ",G149)-5)),Справочники!$M$3:$N$14,2,0),VALUE(LEFT(G149,FIND(" ",G149)-1))))),"")</f>
        <v>46054</v>
      </c>
      <c r="M149" t="str">
        <f t="shared" si="200"/>
        <v xml:space="preserve">+7 (903) 567-89-01</v>
      </c>
      <c r="N149" t="str">
        <f t="shared" si="201"/>
        <v>molchanova@mail</v>
      </c>
      <c r="O149" t="str">
        <f t="shared" si="202"/>
        <v xml:space="preserve">Ошибка Email</v>
      </c>
      <c r="P149" t="str">
        <f>IFERROR(VLOOKUP(TRIM(SUBSTITUTE(SUBSTITUTE(" "&amp;F149," г "," "),"г.","")),Справочники!$J$3:$K$102,2,0),TRIM(SUBSTITUTE(SUBSTITUTE(" "&amp;F149," г "," "),"г.","")))</f>
        <v>Магнитогорск</v>
      </c>
    </row>
    <row r="150">
      <c r="A150" s="3" t="s">
        <v>2293</v>
      </c>
      <c r="B150" s="3" t="s">
        <v>4655</v>
      </c>
      <c r="C150" s="3" t="s">
        <v>4656</v>
      </c>
      <c r="D150" s="3" t="s">
        <v>1598</v>
      </c>
      <c r="E150" s="3" t="s">
        <v>4657</v>
      </c>
      <c r="F150" s="3" t="s">
        <v>4190</v>
      </c>
      <c r="G150" s="3" t="s">
        <v>4658</v>
      </c>
      <c r="H150" t="str">
        <f t="shared" si="197"/>
        <v xml:space="preserve">Крымов Алексей Игоревич</v>
      </c>
      <c r="I150" s="5">
        <f>IFERROR(IF(ISNUMBER(FIND("-",C150)),DATE(VALUE(LEFT(C150,4)),VALUE(MID(C150,6,2)),VALUE(RIGHT(C150,2))),IF(ISNUMBER(FIND(".",C150)),DATE(VALUE(RIGHT(C150,4)),VALUE(MID(C150,4,2)),VALUE(LEFT(C150,2))),DATE(VALUE(RIGHT(C150,4)),VLOOKUP(TRIM(MID(C150,FIND(" ",C150)+1,LEN(C150)-FIND(" ",C150)-5)),Справочники!$M$3:$N$14,2,0),VALUE(LEFT(C150,FIND(" ",C150)-1))))),"")</f>
        <v>30959</v>
      </c>
      <c r="J150" s="6">
        <f t="shared" si="198"/>
        <v>42</v>
      </c>
      <c r="K150" t="str">
        <f t="shared" si="199"/>
        <v>ОК</v>
      </c>
      <c r="L150" s="5">
        <f>IFERROR(IF(ISNUMBER(FIND("-",G150)),DATE(VALUE(LEFT(G150,4)),VALUE(MID(G150,6,2)),VALUE(RIGHT(G150,2))),IF(ISNUMBER(FIND(".",G150)),DATE(VALUE(RIGHT(G150,4)),VALUE(MID(G150,4,2)),VALUE(LEFT(G150,2))),DATE(VALUE(RIGHT(G150,4)),VLOOKUP(TRIM(MID(G150,FIND(" ",G150)+1,LEN(G150)-FIND(" ",G150)-5)),Справочники!$M$3:$N$14,2,0),VALUE(LEFT(G150,FIND(" ",G150)-1))))),"")</f>
        <v>46063</v>
      </c>
      <c r="M150" t="str">
        <f t="shared" si="200"/>
        <v xml:space="preserve">+7 (903) 567-89-01</v>
      </c>
      <c r="N150" t="str">
        <f t="shared" si="201"/>
        <v>krymov@yandex</v>
      </c>
      <c r="O150" t="str">
        <f t="shared" si="202"/>
        <v xml:space="preserve">Ошибка Email</v>
      </c>
      <c r="P150" t="str">
        <f>IFERROR(VLOOKUP(TRIM(SUBSTITUTE(SUBSTITUTE(" "&amp;F150," г "," "),"г.","")),Справочники!$J$3:$K$102,2,0),TRIM(SUBSTITUTE(SUBSTITUTE(" "&amp;F150," г "," "),"г.","")))</f>
        <v>Курск</v>
      </c>
    </row>
    <row r="151">
      <c r="A151" s="3" t="s">
        <v>2295</v>
      </c>
      <c r="B151" s="3" t="s">
        <v>4659</v>
      </c>
      <c r="C151" s="3" t="s">
        <v>4660</v>
      </c>
      <c r="D151" s="3" t="s">
        <v>4116</v>
      </c>
      <c r="E151" s="3" t="s">
        <v>4661</v>
      </c>
      <c r="F151" s="3" t="s">
        <v>4195</v>
      </c>
      <c r="G151" s="3" t="s">
        <v>4662</v>
      </c>
      <c r="H151" t="str">
        <f t="shared" si="197"/>
        <v xml:space="preserve">Сидорова Екатерина Андреевна</v>
      </c>
      <c r="I151" s="5">
        <f>IFERROR(IF(ISNUMBER(FIND("-",C151)),DATE(VALUE(LEFT(C151,4)),VALUE(MID(C151,6,2)),VALUE(RIGHT(C151,2))),IF(ISNUMBER(FIND(".",C151)),DATE(VALUE(RIGHT(C151,4)),VALUE(MID(C151,4,2)),VALUE(LEFT(C151,2))),DATE(VALUE(RIGHT(C151,4)),VLOOKUP(TRIM(MID(C151,FIND(" ",C151)+1,LEN(C151)-FIND(" ",C151)-5)),Справочники!$M$3:$N$14,2,0),VALUE(LEFT(C151,FIND(" ",C151)-1))))),"")</f>
        <v>34356</v>
      </c>
      <c r="J151" s="6">
        <f t="shared" si="198"/>
        <v>32</v>
      </c>
      <c r="K151" t="str">
        <f t="shared" si="199"/>
        <v>ОК</v>
      </c>
      <c r="L151" s="5">
        <f>IFERROR(IF(ISNUMBER(FIND("-",G151)),DATE(VALUE(LEFT(G151,4)),VALUE(MID(G151,6,2)),VALUE(RIGHT(G151,2))),IF(ISNUMBER(FIND(".",G151)),DATE(VALUE(RIGHT(G151,4)),VALUE(MID(G151,4,2)),VALUE(LEFT(G151,2))),DATE(VALUE(RIGHT(G151,4)),VLOOKUP(TRIM(MID(G151,FIND(" ",G151)+1,LEN(G151)-FIND(" ",G151)-5)),Справочники!$M$3:$N$14,2,0),VALUE(LEFT(G151,FIND(" ",G151)-1))))),"")</f>
        <v>46063</v>
      </c>
      <c r="M151" t="str">
        <f t="shared" si="200"/>
        <v xml:space="preserve">+7 (903) 678-90-12</v>
      </c>
      <c r="N151" t="str">
        <f t="shared" si="201"/>
        <v>sidorova@gmail</v>
      </c>
      <c r="O151" t="str">
        <f t="shared" si="202"/>
        <v xml:space="preserve">Ошибка Email</v>
      </c>
      <c r="P151" t="str">
        <f>IFERROR(VLOOKUP(TRIM(SUBSTITUTE(SUBSTITUTE(" "&amp;F151," г "," "),"г.","")),Справочники!$J$3:$K$102,2,0),TRIM(SUBSTITUTE(SUBSTITUTE(" "&amp;F151," г "," "),"г.","")))</f>
        <v>Комсомольск-на-Амуре</v>
      </c>
    </row>
    <row r="152">
      <c r="A152" s="3" t="s">
        <v>2298</v>
      </c>
      <c r="B152" s="3" t="s">
        <v>4663</v>
      </c>
      <c r="C152" s="3" t="s">
        <v>4664</v>
      </c>
      <c r="D152" s="3" t="s">
        <v>4122</v>
      </c>
      <c r="E152" s="3" t="s">
        <v>4665</v>
      </c>
      <c r="F152" s="3" t="s">
        <v>4200</v>
      </c>
      <c r="G152" s="3" t="s">
        <v>4666</v>
      </c>
      <c r="H152" t="str">
        <f t="shared" si="197"/>
        <v xml:space="preserve">Павлова Диана Петровна</v>
      </c>
      <c r="I152" s="5">
        <f>IFERROR(IF(ISNUMBER(FIND("-",C152)),DATE(VALUE(LEFT(C152,4)),VALUE(MID(C152,6,2)),VALUE(RIGHT(C152,2))),IF(ISNUMBER(FIND(".",C152)),DATE(VALUE(RIGHT(C152,4)),VALUE(MID(C152,4,2)),VALUE(LEFT(C152,2))),DATE(VALUE(RIGHT(C152,4)),VLOOKUP(TRIM(MID(C152,FIND(" ",C152)+1,LEN(C152)-FIND(" ",C152)-5)),Справочники!$M$3:$N$14,2,0),VALUE(LEFT(C152,FIND(" ",C152)-1))))),"")</f>
        <v>28678</v>
      </c>
      <c r="J152" s="6">
        <f t="shared" si="198"/>
        <v>48</v>
      </c>
      <c r="K152" t="str">
        <f t="shared" si="199"/>
        <v>ОК</v>
      </c>
      <c r="L152" s="5">
        <f>IFERROR(IF(ISNUMBER(FIND("-",G152)),DATE(VALUE(LEFT(G152,4)),VALUE(MID(G152,6,2)),VALUE(RIGHT(G152,2))),IF(ISNUMBER(FIND(".",G152)),DATE(VALUE(RIGHT(G152,4)),VALUE(MID(G152,4,2)),VALUE(LEFT(G152,2))),DATE(VALUE(RIGHT(G152,4)),VLOOKUP(TRIM(MID(G152,FIND(" ",G152)+1,LEN(G152)-FIND(" ",G152)-5)),Справочники!$M$3:$N$14,2,0),VALUE(LEFT(G152,FIND(" ",G152)-1))))),"")</f>
        <v>46082</v>
      </c>
      <c r="M152" t="str">
        <f t="shared" si="200"/>
        <v xml:space="preserve">+7 (903) 678-90-12</v>
      </c>
      <c r="N152" t="str">
        <f t="shared" si="201"/>
        <v>pavlova@mail</v>
      </c>
      <c r="O152" t="str">
        <f t="shared" si="202"/>
        <v xml:space="preserve">Ошибка Email</v>
      </c>
      <c r="P152" t="str">
        <f>IFERROR(VLOOKUP(TRIM(SUBSTITUTE(SUBSTITUTE(" "&amp;F152," г "," "),"г.","")),Справочники!$J$3:$K$102,2,0),TRIM(SUBSTITUTE(SUBSTITUTE(" "&amp;F152," г "," "),"г.","")))</f>
        <v>Улан-Удэ</v>
      </c>
    </row>
    <row r="153">
      <c r="A153" s="3" t="s">
        <v>2300</v>
      </c>
      <c r="B153" s="3" t="s">
        <v>4667</v>
      </c>
      <c r="C153" s="3" t="s">
        <v>4668</v>
      </c>
      <c r="D153" s="3" t="s">
        <v>1605</v>
      </c>
      <c r="E153" s="3" t="s">
        <v>4669</v>
      </c>
      <c r="F153" s="3" t="s">
        <v>4205</v>
      </c>
      <c r="G153" s="3" t="s">
        <v>4670</v>
      </c>
      <c r="H153" t="str">
        <f t="shared" si="197"/>
        <v xml:space="preserve">Степанова Антонина Алексеевна</v>
      </c>
      <c r="I153" s="5">
        <f>IFERROR(IF(ISNUMBER(FIND("-",C153)),DATE(VALUE(LEFT(C153,4)),VALUE(MID(C153,6,2)),VALUE(RIGHT(C153,2))),IF(ISNUMBER(FIND(".",C153)),DATE(VALUE(RIGHT(C153,4)),VALUE(MID(C153,4,2)),VALUE(LEFT(C153,2))),DATE(VALUE(RIGHT(C153,4)),VLOOKUP(TRIM(MID(C153,FIND(" ",C153)+1,LEN(C153)-FIND(" ",C153)-5)),Справочники!$M$3:$N$14,2,0),VALUE(LEFT(C153,FIND(" ",C153)-1))))),"")</f>
        <v>30100</v>
      </c>
      <c r="J153" s="6">
        <f t="shared" si="198"/>
        <v>44</v>
      </c>
      <c r="K153" t="str">
        <f t="shared" si="199"/>
        <v>ОК</v>
      </c>
      <c r="L153" s="5">
        <f>IFERROR(IF(ISNUMBER(FIND("-",G153)),DATE(VALUE(LEFT(G153,4)),VALUE(MID(G153,6,2)),VALUE(RIGHT(G153,2))),IF(ISNUMBER(FIND(".",G153)),DATE(VALUE(RIGHT(G153,4)),VALUE(MID(G153,4,2)),VALUE(LEFT(G153,2))),DATE(VALUE(RIGHT(G153,4)),VLOOKUP(TRIM(MID(G153,FIND(" ",G153)+1,LEN(G153)-FIND(" ",G153)-5)),Справочники!$M$3:$N$14,2,0),VALUE(LEFT(G153,FIND(" ",G153)-1))))),"")</f>
        <v>46096</v>
      </c>
      <c r="M153" t="str">
        <f t="shared" si="200"/>
        <v xml:space="preserve">+7 (903) 678-90-12</v>
      </c>
      <c r="N153" t="str">
        <f t="shared" si="201"/>
        <v>stepanova@yandex</v>
      </c>
      <c r="O153" t="str">
        <f t="shared" si="202"/>
        <v xml:space="preserve">Ошибка Email</v>
      </c>
      <c r="P153" t="str">
        <f>IFERROR(VLOOKUP(TRIM(SUBSTITUTE(SUBSTITUTE(" "&amp;F153," г "," "),"г.","")),Справочники!$J$3:$K$102,2,0),TRIM(SUBSTITUTE(SUBSTITUTE(" "&amp;F153," г "," "),"г.","")))</f>
        <v>Якутск</v>
      </c>
    </row>
    <row r="154">
      <c r="A154" s="3" t="s">
        <v>2303</v>
      </c>
      <c r="B154" s="3" t="s">
        <v>4671</v>
      </c>
      <c r="C154" s="3" t="s">
        <v>4672</v>
      </c>
      <c r="D154" s="3" t="s">
        <v>4001</v>
      </c>
      <c r="E154" s="3" t="s">
        <v>4673</v>
      </c>
      <c r="F154" s="3" t="s">
        <v>4210</v>
      </c>
      <c r="G154" s="3" t="s">
        <v>4674</v>
      </c>
      <c r="H154" t="str">
        <f t="shared" si="197"/>
        <v xml:space="preserve">Моргунова Татьяна Ивановна</v>
      </c>
      <c r="I154" s="5">
        <f>IFERROR(IF(ISNUMBER(FIND("-",C154)),DATE(VALUE(LEFT(C154,4)),VALUE(MID(C154,6,2)),VALUE(RIGHT(C154,2))),IF(ISNUMBER(FIND(".",C154)),DATE(VALUE(RIGHT(C154,4)),VALUE(MID(C154,4,2)),VALUE(LEFT(C154,2))),DATE(VALUE(RIGHT(C154,4)),VLOOKUP(TRIM(MID(C154,FIND(" ",C154)+1,LEN(C154)-FIND(" ",C154)-5)),Справочники!$M$3:$N$14,2,0),VALUE(LEFT(C154,FIND(" ",C154)-1))))),"")</f>
        <v>32126</v>
      </c>
      <c r="J154" s="6">
        <f t="shared" si="198"/>
        <v>38</v>
      </c>
      <c r="K154" t="str">
        <f t="shared" si="199"/>
        <v>ОК</v>
      </c>
      <c r="L154" s="5">
        <f>IFERROR(IF(ISNUMBER(FIND("-",G154)),DATE(VALUE(LEFT(G154,4)),VALUE(MID(G154,6,2)),VALUE(RIGHT(G154,2))),IF(ISNUMBER(FIND(".",G154)),DATE(VALUE(RIGHT(G154,4)),VALUE(MID(G154,4,2)),VALUE(LEFT(G154,2))),DATE(VALUE(RIGHT(G154,4)),VLOOKUP(TRIM(MID(G154,FIND(" ",G154)+1,LEN(G154)-FIND(" ",G154)-5)),Справочники!$M$3:$N$14,2,0),VALUE(LEFT(G154,FIND(" ",G154)-1))))),"")</f>
        <v>46096</v>
      </c>
      <c r="M154" t="str">
        <f t="shared" si="200"/>
        <v xml:space="preserve">+7 (903) 789-01-23</v>
      </c>
      <c r="N154" t="str">
        <f t="shared" si="201"/>
        <v>morgunova@gmail</v>
      </c>
      <c r="O154" t="str">
        <f t="shared" si="202"/>
        <v xml:space="preserve">Ошибка Email</v>
      </c>
      <c r="P154" t="str">
        <f>IFERROR(VLOOKUP(TRIM(SUBSTITUTE(SUBSTITUTE(" "&amp;F154," г "," "),"г.","")),Справочники!$J$3:$K$102,2,0),TRIM(SUBSTITUTE(SUBSTITUTE(" "&amp;F154," г "," "),"г.","")))</f>
        <v>Череповец</v>
      </c>
    </row>
    <row r="155">
      <c r="A155" s="3" t="s">
        <v>2305</v>
      </c>
      <c r="B155" s="3" t="s">
        <v>4675</v>
      </c>
      <c r="C155" s="3" t="s">
        <v>4676</v>
      </c>
      <c r="D155" s="3" t="s">
        <v>4138</v>
      </c>
      <c r="E155" s="3" t="s">
        <v>4677</v>
      </c>
      <c r="F155" s="3" t="s">
        <v>4215</v>
      </c>
      <c r="G155" s="3" t="s">
        <v>4678</v>
      </c>
      <c r="H155" t="str">
        <f t="shared" si="197"/>
        <v xml:space="preserve">Евдокимов Сергей Анатольевич</v>
      </c>
      <c r="I155" s="5">
        <f>IFERROR(IF(ISNUMBER(FIND("-",C155)),DATE(VALUE(LEFT(C155,4)),VALUE(MID(C155,6,2)),VALUE(RIGHT(C155,2))),IF(ISNUMBER(FIND(".",C155)),DATE(VALUE(RIGHT(C155,4)),VALUE(MID(C155,4,2)),VALUE(LEFT(C155,2))),DATE(VALUE(RIGHT(C155,4)),VLOOKUP(TRIM(MID(C155,FIND(" ",C155)+1,LEN(C155)-FIND(" ",C155)-5)),Справочники!$M$3:$N$14,2,0),VALUE(LEFT(C155,FIND(" ",C155)-1))))),"")</f>
        <v>26894</v>
      </c>
      <c r="J155" s="6">
        <f t="shared" si="198"/>
        <v>53</v>
      </c>
      <c r="K155" t="str">
        <f t="shared" si="199"/>
        <v>ОК</v>
      </c>
      <c r="L155" s="5">
        <f>IFERROR(IF(ISNUMBER(FIND("-",G155)),DATE(VALUE(LEFT(G155,4)),VALUE(MID(G155,6,2)),VALUE(RIGHT(G155,2))),IF(ISNUMBER(FIND(".",G155)),DATE(VALUE(RIGHT(G155,4)),VALUE(MID(G155,4,2)),VALUE(LEFT(G155,2))),DATE(VALUE(RIGHT(G155,4)),VLOOKUP(TRIM(MID(G155,FIND(" ",G155)+1,LEN(G155)-FIND(" ",G155)-5)),Справочники!$M$3:$N$14,2,0),VALUE(LEFT(G155,FIND(" ",G155)-1))))),"")</f>
        <v>46113</v>
      </c>
      <c r="M155" t="str">
        <f t="shared" si="200"/>
        <v xml:space="preserve">+7 (903) 789-01-23</v>
      </c>
      <c r="N155" t="str">
        <f t="shared" si="201"/>
        <v>evdokimov@mail</v>
      </c>
      <c r="O155" t="str">
        <f t="shared" si="202"/>
        <v xml:space="preserve">Ошибка Email</v>
      </c>
      <c r="P155" t="str">
        <f>IFERROR(VLOOKUP(TRIM(SUBSTITUTE(SUBSTITUTE(" "&amp;F155," г "," "),"г.","")),Справочники!$J$3:$K$102,2,0),TRIM(SUBSTITUTE(SUBSTITUTE(" "&amp;F155," г "," "),"г.","")))</f>
        <v>Саранск</v>
      </c>
    </row>
    <row r="156">
      <c r="A156" s="3" t="s">
        <v>2308</v>
      </c>
      <c r="B156" s="3" t="s">
        <v>4679</v>
      </c>
      <c r="C156" s="3" t="s">
        <v>4680</v>
      </c>
      <c r="D156" s="3" t="s">
        <v>4144</v>
      </c>
      <c r="E156" s="3" t="s">
        <v>4681</v>
      </c>
      <c r="F156" s="3" t="s">
        <v>4220</v>
      </c>
      <c r="G156" s="3" t="s">
        <v>4682</v>
      </c>
      <c r="H156" t="str">
        <f t="shared" si="197"/>
        <v xml:space="preserve">Быкова Елизавета Николаевна</v>
      </c>
      <c r="I156" s="5">
        <f>IFERROR(IF(ISNUMBER(FIND("-",C156)),DATE(VALUE(LEFT(C156,4)),VALUE(MID(C156,6,2)),VALUE(RIGHT(C156,2))),IF(ISNUMBER(FIND(".",C156)),DATE(VALUE(RIGHT(C156,4)),VALUE(MID(C156,4,2)),VALUE(LEFT(C156,2))),DATE(VALUE(RIGHT(C156,4)),VLOOKUP(TRIM(MID(C156,FIND(" ",C156)+1,LEN(C156)-FIND(" ",C156)-5)),Справочники!$M$3:$N$14,2,0),VALUE(LEFT(C156,FIND(" ",C156)-1))))),"")</f>
        <v>31354</v>
      </c>
      <c r="J156" s="6">
        <f t="shared" si="198"/>
        <v>40</v>
      </c>
      <c r="K156" t="str">
        <f t="shared" si="199"/>
        <v>ОК</v>
      </c>
      <c r="L156" s="5">
        <f>IFERROR(IF(ISNUMBER(FIND("-",G156)),DATE(VALUE(LEFT(G156,4)),VALUE(MID(G156,6,2)),VALUE(RIGHT(G156,2))),IF(ISNUMBER(FIND(".",G156)),DATE(VALUE(RIGHT(G156,4)),VALUE(MID(G156,4,2)),VALUE(LEFT(G156,2))),DATE(VALUE(RIGHT(G156,4)),VLOOKUP(TRIM(MID(G156,FIND(" ",G156)+1,LEN(G156)-FIND(" ",G156)-5)),Справочники!$M$3:$N$14,2,0),VALUE(LEFT(G156,FIND(" ",G156)-1))))),"")</f>
        <v>46122</v>
      </c>
      <c r="M156" t="str">
        <f t="shared" si="200"/>
        <v xml:space="preserve">+7 (903) 789-01-23</v>
      </c>
      <c r="N156" t="str">
        <f t="shared" si="201"/>
        <v>bykova@yandex</v>
      </c>
      <c r="O156" t="str">
        <f t="shared" si="202"/>
        <v xml:space="preserve">Ошибка Email</v>
      </c>
      <c r="P156" t="str">
        <f>IFERROR(VLOOKUP(TRIM(SUBSTITUTE(SUBSTITUTE(" "&amp;F156," г "," "),"г.","")),Справочники!$J$3:$K$102,2,0),TRIM(SUBSTITUTE(SUBSTITUTE(" "&amp;F156," г "," "),"г.","")))</f>
        <v>Тула</v>
      </c>
    </row>
    <row r="157">
      <c r="A157" s="3" t="s">
        <v>2310</v>
      </c>
      <c r="B157" s="3" t="s">
        <v>4683</v>
      </c>
      <c r="C157" s="3" t="s">
        <v>4684</v>
      </c>
      <c r="D157" s="3" t="s">
        <v>4150</v>
      </c>
      <c r="E157" s="3" t="s">
        <v>4685</v>
      </c>
      <c r="F157" s="3" t="s">
        <v>4225</v>
      </c>
      <c r="G157" s="3" t="s">
        <v>4686</v>
      </c>
      <c r="H157" t="str">
        <f t="shared" si="197"/>
        <v xml:space="preserve">Тищенко Владимир Олегович</v>
      </c>
      <c r="I157" s="5">
        <f>IFERROR(IF(ISNUMBER(FIND("-",C157)),DATE(VALUE(LEFT(C157,4)),VALUE(MID(C157,6,2)),VALUE(RIGHT(C157,2))),IF(ISNUMBER(FIND(".",C157)),DATE(VALUE(RIGHT(C157,4)),VALUE(MID(C157,4,2)),VALUE(LEFT(C157,2))),DATE(VALUE(RIGHT(C157,4)),VLOOKUP(TRIM(MID(C157,FIND(" ",C157)+1,LEN(C157)-FIND(" ",C157)-5)),Справочники!$M$3:$N$14,2,0),VALUE(LEFT(C157,FIND(" ",C157)-1))))),"")</f>
        <v>33321</v>
      </c>
      <c r="J157" s="6">
        <f t="shared" si="198"/>
        <v>35</v>
      </c>
      <c r="K157" t="str">
        <f t="shared" si="199"/>
        <v>ОК</v>
      </c>
      <c r="L157" s="5">
        <f>IFERROR(IF(ISNUMBER(FIND("-",G157)),DATE(VALUE(LEFT(G157,4)),VALUE(MID(G157,6,2)),VALUE(RIGHT(G157,2))),IF(ISNUMBER(FIND(".",G157)),DATE(VALUE(RIGHT(G157,4)),VALUE(MID(G157,4,2)),VALUE(LEFT(G157,2))),DATE(VALUE(RIGHT(G157,4)),VLOOKUP(TRIM(MID(G157,FIND(" ",G157)+1,LEN(G157)-FIND(" ",G157)-5)),Справочники!$M$3:$N$14,2,0),VALUE(LEFT(G157,FIND(" ",G157)-1))))),"")</f>
        <v>46122</v>
      </c>
      <c r="M157" t="str">
        <f t="shared" si="200"/>
        <v xml:space="preserve">+7 (903) 890-12-34</v>
      </c>
      <c r="N157" t="str">
        <f t="shared" si="201"/>
        <v>tischenko@gmail</v>
      </c>
      <c r="O157" t="str">
        <f t="shared" si="202"/>
        <v xml:space="preserve">Ошибка Email</v>
      </c>
      <c r="P157" t="str">
        <f>IFERROR(VLOOKUP(TRIM(SUBSTITUTE(SUBSTITUTE(" "&amp;F157," г "," "),"г.","")),Справочники!$J$3:$K$102,2,0),TRIM(SUBSTITUTE(SUBSTITUTE(" "&amp;F157," г "," "),"г.","")))</f>
        <v>Калуга</v>
      </c>
    </row>
    <row r="158">
      <c r="A158" s="3" t="s">
        <v>2313</v>
      </c>
      <c r="B158" s="3" t="s">
        <v>4687</v>
      </c>
      <c r="C158" s="3" t="s">
        <v>4688</v>
      </c>
      <c r="D158" s="3" t="s">
        <v>4007</v>
      </c>
      <c r="E158" s="3" t="s">
        <v>4008</v>
      </c>
      <c r="F158" s="3" t="s">
        <v>4230</v>
      </c>
      <c r="G158" s="3" t="s">
        <v>4689</v>
      </c>
      <c r="H158" t="str">
        <f t="shared" si="197"/>
        <v xml:space="preserve">Соколова Наталия Дмитриевна</v>
      </c>
      <c r="I158" s="5">
        <f>IFERROR(IF(ISNUMBER(FIND("-",C158)),DATE(VALUE(LEFT(C158,4)),VALUE(MID(C158,6,2)),VALUE(RIGHT(C158,2))),IF(ISNUMBER(FIND(".",C158)),DATE(VALUE(RIGHT(C158,4)),VALUE(MID(C158,4,2)),VALUE(LEFT(C158,2))),DATE(VALUE(RIGHT(C158,4)),VLOOKUP(TRIM(MID(C158,FIND(" ",C158)+1,LEN(C158)-FIND(" ",C158)-5)),Справочники!$M$3:$N$14,2,0),VALUE(LEFT(C158,FIND(" ",C158)-1))))),"")</f>
        <v>29107</v>
      </c>
      <c r="J158" s="6">
        <f t="shared" si="198"/>
        <v>47</v>
      </c>
      <c r="K158" t="str">
        <f t="shared" si="199"/>
        <v>ОК</v>
      </c>
      <c r="L158" s="5">
        <f>IFERROR(IF(ISNUMBER(FIND("-",G158)),DATE(VALUE(LEFT(G158,4)),VALUE(MID(G158,6,2)),VALUE(RIGHT(G158,2))),IF(ISNUMBER(FIND(".",G158)),DATE(VALUE(RIGHT(G158,4)),VALUE(MID(G158,4,2)),VALUE(LEFT(G158,2))),DATE(VALUE(RIGHT(G158,4)),VLOOKUP(TRIM(MID(G158,FIND(" ",G158)+1,LEN(G158)-FIND(" ",G158)-5)),Справочники!$M$3:$N$14,2,0),VALUE(LEFT(G158,FIND(" ",G158)-1))))),"")</f>
        <v>46143</v>
      </c>
      <c r="M158" t="str">
        <f t="shared" si="200"/>
        <v xml:space="preserve">+7 (903) 890-12-34</v>
      </c>
      <c r="N158" t="str">
        <f t="shared" si="201"/>
        <v>sokolova@mail</v>
      </c>
      <c r="O158" t="str">
        <f t="shared" si="202"/>
        <v xml:space="preserve">Ошибка Email</v>
      </c>
      <c r="P158" t="str">
        <f>IFERROR(VLOOKUP(TRIM(SUBSTITUTE(SUBSTITUTE(" "&amp;F158," г "," "),"г.","")),Справочники!$J$3:$K$102,2,0),TRIM(SUBSTITUTE(SUBSTITUTE(" "&amp;F158," г "," "),"г.","")))</f>
        <v>Владикавказ</v>
      </c>
    </row>
    <row r="159">
      <c r="A159" s="3" t="s">
        <v>2315</v>
      </c>
      <c r="B159" s="3" t="s">
        <v>4690</v>
      </c>
      <c r="C159" s="3" t="s">
        <v>4691</v>
      </c>
      <c r="D159" s="3" t="s">
        <v>1619</v>
      </c>
      <c r="E159" s="3" t="s">
        <v>4692</v>
      </c>
      <c r="F159" s="3" t="s">
        <v>4235</v>
      </c>
      <c r="G159" s="3" t="s">
        <v>4693</v>
      </c>
      <c r="H159" t="str">
        <f t="shared" si="197"/>
        <v xml:space="preserve">Громов Александр Валерьевич</v>
      </c>
      <c r="I159" s="5">
        <f>IFERROR(IF(ISNUMBER(FIND("-",C159)),DATE(VALUE(LEFT(C159,4)),VALUE(MID(C159,6,2)),VALUE(RIGHT(C159,2))),IF(ISNUMBER(FIND(".",C159)),DATE(VALUE(RIGHT(C159,4)),VALUE(MID(C159,4,2)),VALUE(LEFT(C159,2))),DATE(VALUE(RIGHT(C159,4)),VLOOKUP(TRIM(MID(C159,FIND(" ",C159)+1,LEN(C159)-FIND(" ",C159)-5)),Справочники!$M$3:$N$14,2,0),VALUE(LEFT(C159,FIND(" ",C159)-1))))),"")</f>
        <v>31614</v>
      </c>
      <c r="J159" s="6">
        <f t="shared" si="198"/>
        <v>40</v>
      </c>
      <c r="K159" t="str">
        <f t="shared" si="199"/>
        <v>ОК</v>
      </c>
      <c r="L159" s="5">
        <f>IFERROR(IF(ISNUMBER(FIND("-",G159)),DATE(VALUE(LEFT(G159,4)),VALUE(MID(G159,6,2)),VALUE(RIGHT(G159,2))),IF(ISNUMBER(FIND(".",G159)),DATE(VALUE(RIGHT(G159,4)),VALUE(MID(G159,4,2)),VALUE(LEFT(G159,2))),DATE(VALUE(RIGHT(G159,4)),VLOOKUP(TRIM(MID(G159,FIND(" ",G159)+1,LEN(G159)-FIND(" ",G159)-5)),Справочники!$M$3:$N$14,2,0),VALUE(LEFT(G159,FIND(" ",G159)-1))))),"")</f>
        <v>46157</v>
      </c>
      <c r="M159" t="str">
        <f t="shared" si="200"/>
        <v xml:space="preserve">+7 (903) 890-12-34</v>
      </c>
      <c r="N159" t="str">
        <f t="shared" si="201"/>
        <v>gromov@yandex</v>
      </c>
      <c r="O159" t="str">
        <f t="shared" si="202"/>
        <v xml:space="preserve">Ошибка Email</v>
      </c>
      <c r="P159" t="str">
        <f>IFERROR(VLOOKUP(TRIM(SUBSTITUTE(SUBSTITUTE(" "&amp;F159," г "," "),"г.","")),Справочники!$J$3:$K$102,2,0),TRIM(SUBSTITUTE(SUBSTITUTE(" "&amp;F159," г "," "),"г.","")))</f>
        <v>Смоленск</v>
      </c>
    </row>
    <row r="160">
      <c r="A160" s="3" t="s">
        <v>2318</v>
      </c>
      <c r="B160" s="3" t="s">
        <v>4694</v>
      </c>
      <c r="C160" s="3" t="s">
        <v>4695</v>
      </c>
      <c r="D160" s="3" t="s">
        <v>4018</v>
      </c>
      <c r="E160" s="3" t="s">
        <v>4696</v>
      </c>
      <c r="F160" s="3" t="s">
        <v>4240</v>
      </c>
      <c r="G160" s="3" t="s">
        <v>4697</v>
      </c>
      <c r="H160" t="str">
        <f t="shared" si="197"/>
        <v xml:space="preserve">Мищенко Валентина Алексеевна</v>
      </c>
      <c r="I160" s="5">
        <f>IFERROR(IF(ISNUMBER(FIND("-",C160)),DATE(VALUE(LEFT(C160,4)),VALUE(MID(C160,6,2)),VALUE(RIGHT(C160,2))),IF(ISNUMBER(FIND(".",C160)),DATE(VALUE(RIGHT(C160,4)),VALUE(MID(C160,4,2)),VALUE(LEFT(C160,2))),DATE(VALUE(RIGHT(C160,4)),VLOOKUP(TRIM(MID(C160,FIND(" ",C160)+1,LEN(C160)-FIND(" ",C160)-5)),Справочники!$M$3:$N$14,2,0),VALUE(LEFT(C160,FIND(" ",C160)-1))))),"")</f>
        <v>34317</v>
      </c>
      <c r="J160" s="6">
        <f t="shared" si="198"/>
        <v>32</v>
      </c>
      <c r="K160" t="str">
        <f t="shared" si="199"/>
        <v>ОК</v>
      </c>
      <c r="L160" s="5">
        <f>IFERROR(IF(ISNUMBER(FIND("-",G160)),DATE(VALUE(LEFT(G160,4)),VALUE(MID(G160,6,2)),VALUE(RIGHT(G160,2))),IF(ISNUMBER(FIND(".",G160)),DATE(VALUE(RIGHT(G160,4)),VALUE(MID(G160,4,2)),VALUE(LEFT(G160,2))),DATE(VALUE(RIGHT(G160,4)),VLOOKUP(TRIM(MID(G160,FIND(" ",G160)+1,LEN(G160)-FIND(" ",G160)-5)),Справочники!$M$3:$N$14,2,0),VALUE(LEFT(G160,FIND(" ",G160)-1))))),"")</f>
        <v>46157</v>
      </c>
      <c r="M160" t="str">
        <f t="shared" si="200"/>
        <v xml:space="preserve">+7 (903) 901-23-45</v>
      </c>
      <c r="N160" t="str">
        <f t="shared" si="201"/>
        <v>mischenko@gmail</v>
      </c>
      <c r="O160" t="str">
        <f t="shared" si="202"/>
        <v xml:space="preserve">Ошибка Email</v>
      </c>
      <c r="P160" t="str">
        <f>IFERROR(VLOOKUP(TRIM(SUBSTITUTE(SUBSTITUTE(" "&amp;F160," г "," "),"г.","")),Справочники!$J$3:$K$102,2,0),TRIM(SUBSTITUTE(SUBSTITUTE(" "&amp;F160," г "," "),"г.","")))</f>
        <v>Белгород</v>
      </c>
    </row>
    <row r="161">
      <c r="A161" s="3" t="s">
        <v>2320</v>
      </c>
      <c r="B161" s="3" t="s">
        <v>4698</v>
      </c>
      <c r="C161" s="3" t="s">
        <v>4699</v>
      </c>
      <c r="D161" s="3" t="s">
        <v>1626</v>
      </c>
      <c r="E161" s="3" t="s">
        <v>4700</v>
      </c>
      <c r="F161" s="3" t="s">
        <v>4245</v>
      </c>
      <c r="G161" s="3" t="s">
        <v>4701</v>
      </c>
      <c r="H161" t="str">
        <f t="shared" si="197"/>
        <v xml:space="preserve">Лаврентьев Виталий Андреевич</v>
      </c>
      <c r="I161" s="5">
        <f>IFERROR(IF(ISNUMBER(FIND("-",C161)),DATE(VALUE(LEFT(C161,4)),VALUE(MID(C161,6,2)),VALUE(RIGHT(C161,2))),IF(ISNUMBER(FIND(".",C161)),DATE(VALUE(RIGHT(C161,4)),VALUE(MID(C161,4,2)),VALUE(LEFT(C161,2))),DATE(VALUE(RIGHT(C161,4)),VLOOKUP(TRIM(MID(C161,FIND(" ",C161)+1,LEN(C161)-FIND(" ",C161)-5)),Справочники!$M$3:$N$14,2,0),VALUE(LEFT(C161,FIND(" ",C161)-1))))),"")</f>
        <v>27693</v>
      </c>
      <c r="J161" s="6">
        <f t="shared" si="198"/>
        <v>50</v>
      </c>
      <c r="K161" t="str">
        <f t="shared" si="199"/>
        <v>ОК</v>
      </c>
      <c r="L161" s="5">
        <f>IFERROR(IF(ISNUMBER(FIND("-",G161)),DATE(VALUE(LEFT(G161,4)),VALUE(MID(G161,6,2)),VALUE(RIGHT(G161,2))),IF(ISNUMBER(FIND(".",G161)),DATE(VALUE(RIGHT(G161,4)),VALUE(MID(G161,4,2)),VALUE(LEFT(G161,2))),DATE(VALUE(RIGHT(G161,4)),VLOOKUP(TRIM(MID(G161,FIND(" ",G161)+1,LEN(G161)-FIND(" ",G161)-5)),Справочники!$M$3:$N$14,2,0),VALUE(LEFT(G161,FIND(" ",G161)-1))))),"")</f>
        <v>46174</v>
      </c>
      <c r="M161" t="str">
        <f t="shared" si="200"/>
        <v xml:space="preserve">+7 (903) 901-23-45</v>
      </c>
      <c r="N161" t="str">
        <f t="shared" si="201"/>
        <v>lavrentev@mail</v>
      </c>
      <c r="O161" t="str">
        <f t="shared" si="202"/>
        <v xml:space="preserve">Ошибка Email</v>
      </c>
      <c r="P161" t="str">
        <f>IFERROR(VLOOKUP(TRIM(SUBSTITUTE(SUBSTITUTE(" "&amp;F161," г "," "),"г.","")),Справочники!$J$3:$K$102,2,0),TRIM(SUBSTITUTE(SUBSTITUTE(" "&amp;F161," г "," "),"г.","")))</f>
        <v>Мурманск</v>
      </c>
    </row>
    <row r="162">
      <c r="A162" s="3" t="s">
        <v>2323</v>
      </c>
      <c r="B162" s="3" t="s">
        <v>4702</v>
      </c>
      <c r="C162" s="3" t="s">
        <v>4703</v>
      </c>
      <c r="D162" s="3" t="s">
        <v>4176</v>
      </c>
      <c r="E162" s="3" t="s">
        <v>4704</v>
      </c>
      <c r="F162" s="3" t="s">
        <v>4250</v>
      </c>
      <c r="G162" s="3" t="s">
        <v>4705</v>
      </c>
      <c r="H162" t="str">
        <f t="shared" si="197"/>
        <v xml:space="preserve">Костина Анастасия Вячеславовна</v>
      </c>
      <c r="I162" s="5">
        <f>IFERROR(IF(ISNUMBER(FIND("-",C162)),DATE(VALUE(LEFT(C162,4)),VALUE(MID(C162,6,2)),VALUE(RIGHT(C162,2))),IF(ISNUMBER(FIND(".",C162)),DATE(VALUE(RIGHT(C162,4)),VALUE(MID(C162,4,2)),VALUE(LEFT(C162,2))),DATE(VALUE(RIGHT(C162,4)),VLOOKUP(TRIM(MID(C162,FIND(" ",C162)+1,LEN(C162)-FIND(" ",C162)-5)),Справочники!$M$3:$N$14,2,0),VALUE(LEFT(C162,FIND(" ",C162)-1))))),"")</f>
        <v>32235</v>
      </c>
      <c r="J162" s="6">
        <f t="shared" si="198"/>
        <v>38</v>
      </c>
      <c r="K162" t="str">
        <f t="shared" si="199"/>
        <v>ОК</v>
      </c>
      <c r="L162" s="5">
        <f>IFERROR(IF(ISNUMBER(FIND("-",G162)),DATE(VALUE(LEFT(G162,4)),VALUE(MID(G162,6,2)),VALUE(RIGHT(G162,2))),IF(ISNUMBER(FIND(".",G162)),DATE(VALUE(RIGHT(G162,4)),VALUE(MID(G162,4,2)),VALUE(LEFT(G162,2))),DATE(VALUE(RIGHT(G162,4)),VLOOKUP(TRIM(MID(G162,FIND(" ",G162)+1,LEN(G162)-FIND(" ",G162)-5)),Справочники!$M$3:$N$14,2,0),VALUE(LEFT(G162,FIND(" ",G162)-1))))),"")</f>
        <v>46183</v>
      </c>
      <c r="M162" t="str">
        <f t="shared" si="200"/>
        <v xml:space="preserve">+7 (903) 901-23-45</v>
      </c>
      <c r="N162" t="str">
        <f t="shared" si="201"/>
        <v>kostina@yandex</v>
      </c>
      <c r="O162" t="str">
        <f t="shared" si="202"/>
        <v xml:space="preserve">Ошибка Email</v>
      </c>
      <c r="P162" t="str">
        <f>IFERROR(VLOOKUP(TRIM(SUBSTITUTE(SUBSTITUTE(" "&amp;F162," г "," "),"г.","")),Справочники!$J$3:$K$102,2,0),TRIM(SUBSTITUTE(SUBSTITUTE(" "&amp;F162," г "," "),"г.","")))</f>
        <v>Ставрополь</v>
      </c>
    </row>
    <row r="163">
      <c r="A163" s="3" t="s">
        <v>2325</v>
      </c>
      <c r="B163" s="3" t="s">
        <v>4706</v>
      </c>
      <c r="C163" s="3" t="s">
        <v>4707</v>
      </c>
      <c r="D163" s="3" t="s">
        <v>4182</v>
      </c>
      <c r="E163" s="3" t="s">
        <v>4708</v>
      </c>
      <c r="F163" s="3" t="s">
        <v>4255</v>
      </c>
      <c r="G163" s="3" t="s">
        <v>4709</v>
      </c>
      <c r="H163" t="str">
        <f t="shared" si="197"/>
        <v xml:space="preserve">Белов Михаил Сергеевич</v>
      </c>
      <c r="I163" s="5">
        <f>IFERROR(IF(ISNUMBER(FIND("-",C163)),DATE(VALUE(LEFT(C163,4)),VALUE(MID(C163,6,2)),VALUE(RIGHT(C163,2))),IF(ISNUMBER(FIND(".",C163)),DATE(VALUE(RIGHT(C163,4)),VALUE(MID(C163,4,2)),VALUE(LEFT(C163,2))),DATE(VALUE(RIGHT(C163,4)),VLOOKUP(TRIM(MID(C163,FIND(" ",C163)+1,LEN(C163)-FIND(" ",C163)-5)),Справочники!$M$3:$N$14,2,0),VALUE(LEFT(C163,FIND(" ",C163)-1))))),"")</f>
        <v>30110</v>
      </c>
      <c r="J163" s="6">
        <f t="shared" si="198"/>
        <v>44</v>
      </c>
      <c r="K163" t="str">
        <f t="shared" si="199"/>
        <v>ОК</v>
      </c>
      <c r="L163" s="5">
        <f>IFERROR(IF(ISNUMBER(FIND("-",G163)),DATE(VALUE(LEFT(G163,4)),VALUE(MID(G163,6,2)),VALUE(RIGHT(G163,2))),IF(ISNUMBER(FIND(".",G163)),DATE(VALUE(RIGHT(G163,4)),VALUE(MID(G163,4,2)),VALUE(LEFT(G163,2))),DATE(VALUE(RIGHT(G163,4)),VLOOKUP(TRIM(MID(G163,FIND(" ",G163)+1,LEN(G163)-FIND(" ",G163)-5)),Справочники!$M$3:$N$14,2,0),VALUE(LEFT(G163,FIND(" ",G163)-1))))),"")</f>
        <v>46183</v>
      </c>
      <c r="M163" t="str">
        <f t="shared" si="200"/>
        <v xml:space="preserve">+7 (903) 012-34-56</v>
      </c>
      <c r="N163" t="str">
        <f t="shared" si="201"/>
        <v>belov@gmail</v>
      </c>
      <c r="O163" t="str">
        <f t="shared" si="202"/>
        <v xml:space="preserve">Ошибка Email</v>
      </c>
      <c r="P163" t="str">
        <f>IFERROR(VLOOKUP(TRIM(SUBSTITUTE(SUBSTITUTE(" "&amp;F163," г "," "),"г.","")),Справочники!$J$3:$K$102,2,0),TRIM(SUBSTITUTE(SUBSTITUTE(" "&amp;F163," г "," "),"г.","")))</f>
        <v>Севастополь</v>
      </c>
    </row>
    <row r="164">
      <c r="A164" s="3" t="s">
        <v>2328</v>
      </c>
      <c r="B164" s="3" t="s">
        <v>4710</v>
      </c>
      <c r="C164" s="3" t="s">
        <v>4711</v>
      </c>
      <c r="D164" s="3" t="s">
        <v>4188</v>
      </c>
      <c r="E164" s="3" t="s">
        <v>4712</v>
      </c>
      <c r="F164" s="3" t="s">
        <v>4260</v>
      </c>
      <c r="G164" s="3" t="s">
        <v>4713</v>
      </c>
      <c r="H164" t="str">
        <f t="shared" ref="H164:H227" si="203">PROPER(TRIM(B164))</f>
        <v xml:space="preserve">Кириллов Алексей Петрович</v>
      </c>
      <c r="I164" s="5">
        <f>IFERROR(IF(ISNUMBER(FIND("-",C164)),DATE(VALUE(LEFT(C164,4)),VALUE(MID(C164,6,2)),VALUE(RIGHT(C164,2))),IF(ISNUMBER(FIND(".",C164)),DATE(VALUE(RIGHT(C164,4)),VALUE(MID(C164,4,2)),VALUE(LEFT(C164,2))),DATE(VALUE(RIGHT(C164,4)),VLOOKUP(TRIM(MID(C164,FIND(" ",C164)+1,LEN(C164)-FIND(" ",C164)-5)),Справочники!$M$3:$N$14,2,0),VALUE(LEFT(C164,FIND(" ",C164)-1))))),"")</f>
        <v>27350</v>
      </c>
      <c r="J164" s="6">
        <f t="shared" ref="J164:J227" si="204">IF(I164="","",DATEDIF(I164,TODAY(),"Y"))</f>
        <v>51</v>
      </c>
      <c r="K164" t="str">
        <f t="shared" ref="K164:K227" si="205">IF(OR(I164="",J164&lt;18,J164&gt;120),"Ошибка даты рождения","ОК")</f>
        <v>ОК</v>
      </c>
      <c r="L164" s="5">
        <f>IFERROR(IF(ISNUMBER(FIND("-",G164)),DATE(VALUE(LEFT(G164,4)),VALUE(MID(G164,6,2)),VALUE(RIGHT(G164,2))),IF(ISNUMBER(FIND(".",G164)),DATE(VALUE(RIGHT(G164,4)),VALUE(MID(G164,4,2)),VALUE(LEFT(G164,2))),DATE(VALUE(RIGHT(G164,4)),VLOOKUP(TRIM(MID(G164,FIND(" ",G164)+1,LEN(G164)-FIND(" ",G164)-5)),Справочники!$M$3:$N$14,2,0),VALUE(LEFT(G164,FIND(" ",G164)-1))))),"")</f>
        <v>46204</v>
      </c>
      <c r="M164" t="str">
        <f t="shared" ref="M164:M227" si="206">IF(LEN(SUBSTITUTE(SUBSTITUTE(SUBSTITUTE(SUBSTITUTE(SUBSTITUTE(D164,"+",""),"-","")," ",""),"(",""),")",""))&lt;10,"Ошибка телефона","+7 ("&amp;MID(RIGHT(SUBSTITUTE(SUBSTITUTE(SUBSTITUTE(SUBSTITUTE(SUBSTITUTE(D164,"+",""),"-","")," ",""),"(",""),")",""),10),1,3)&amp;") "&amp;MID(RIGHT(SUBSTITUTE(SUBSTITUTE(SUBSTITUTE(SUBSTITUTE(SUBSTITUTE(D164,"+",""),"-","")," ",""),"(",""),")",""),10),4,3)&amp;"-"&amp;MID(RIGHT(SUBSTITUTE(SUBSTITUTE(SUBSTITUTE(SUBSTITUTE(SUBSTITUTE(D164,"+",""),"-","")," ",""),"(",""),")",""),10),7,2)&amp;"-"&amp;RIGHT(SUBSTITUTE(SUBSTITUTE(SUBSTITUTE(SUBSTITUTE(SUBSTITUTE(D164,"+",""),"-","")," ",""),"(",""),")",""),2))</f>
        <v xml:space="preserve">+7 (903) 012-34-56</v>
      </c>
      <c r="N164" t="str">
        <f t="shared" ref="N164:N227" si="207">LOWER(SUBSTITUTE(TRIM(E164)," ",""))</f>
        <v>kirillov@mail</v>
      </c>
      <c r="O164" t="str">
        <f t="shared" ref="O164:O227" si="208">IF(AND(ISNUMBER(FIND("@",N164)),ISNUMBER(FIND(".",N164,FIND("@",N164)+2))),"ОК","Ошибка Email")</f>
        <v xml:space="preserve">Ошибка Email</v>
      </c>
      <c r="P164" t="str">
        <f>IFERROR(VLOOKUP(TRIM(SUBSTITUTE(SUBSTITUTE(" "&amp;F164," г "," "),"г.","")),Справочники!$J$3:$K$102,2,0),TRIM(SUBSTITUTE(SUBSTITUTE(" "&amp;F164," г "," "),"г.","")))</f>
        <v>Сочи</v>
      </c>
    </row>
    <row r="165">
      <c r="A165" s="3" t="s">
        <v>2330</v>
      </c>
      <c r="B165" s="3" t="s">
        <v>4714</v>
      </c>
      <c r="C165" s="3" t="s">
        <v>4715</v>
      </c>
      <c r="D165" s="3" t="s">
        <v>1633</v>
      </c>
      <c r="E165" s="3" t="s">
        <v>4716</v>
      </c>
      <c r="F165" s="3" t="s">
        <v>4265</v>
      </c>
      <c r="G165" s="3" t="s">
        <v>4717</v>
      </c>
      <c r="H165" t="str">
        <f t="shared" si="203"/>
        <v xml:space="preserve">Исаев Вадим Евгеньевич</v>
      </c>
      <c r="I165" s="5">
        <f>IFERROR(IF(ISNUMBER(FIND("-",C165)),DATE(VALUE(LEFT(C165,4)),VALUE(MID(C165,6,2)),VALUE(RIGHT(C165,2))),IF(ISNUMBER(FIND(".",C165)),DATE(VALUE(RIGHT(C165,4)),VALUE(MID(C165,4,2)),VALUE(LEFT(C165,2))),DATE(VALUE(RIGHT(C165,4)),VLOOKUP(TRIM(MID(C165,FIND(" ",C165)+1,LEN(C165)-FIND(" ",C165)-5)),Справочники!$M$3:$N$14,2,0),VALUE(LEFT(C165,FIND(" ",C165)-1))))),"")</f>
        <v>29477</v>
      </c>
      <c r="J165" s="6">
        <f t="shared" si="204"/>
        <v>46</v>
      </c>
      <c r="K165" t="str">
        <f t="shared" si="205"/>
        <v>ОК</v>
      </c>
      <c r="L165" s="5">
        <f>IFERROR(IF(ISNUMBER(FIND("-",G165)),DATE(VALUE(LEFT(G165,4)),VALUE(MID(G165,6,2)),VALUE(RIGHT(G165,2))),IF(ISNUMBER(FIND(".",G165)),DATE(VALUE(RIGHT(G165,4)),VALUE(MID(G165,4,2)),VALUE(LEFT(G165,2))),DATE(VALUE(RIGHT(G165,4)),VLOOKUP(TRIM(MID(G165,FIND(" ",G165)+1,LEN(G165)-FIND(" ",G165)-5)),Справочники!$M$3:$N$14,2,0),VALUE(LEFT(G165,FIND(" ",G165)-1))))),"")</f>
        <v>46218</v>
      </c>
      <c r="M165" t="str">
        <f t="shared" si="206"/>
        <v xml:space="preserve">+7 (903) 012-34-56</v>
      </c>
      <c r="N165" t="str">
        <f t="shared" si="207"/>
        <v>isaev@yandex</v>
      </c>
      <c r="O165" t="str">
        <f t="shared" si="208"/>
        <v xml:space="preserve">Ошибка Email</v>
      </c>
      <c r="P165" t="str">
        <f>IFERROR(VLOOKUP(TRIM(SUBSTITUTE(SUBSTITUTE(" "&amp;F165," г "," "),"г.","")),Справочники!$J$3:$K$102,2,0),TRIM(SUBSTITUTE(SUBSTITUTE(" "&amp;F165," г "," "),"г.","")))</f>
        <v>Симферополь</v>
      </c>
    </row>
    <row r="166">
      <c r="A166" s="3" t="s">
        <v>2333</v>
      </c>
      <c r="B166" s="3" t="s">
        <v>4718</v>
      </c>
      <c r="C166" s="3" t="s">
        <v>4719</v>
      </c>
      <c r="D166" s="3" t="s">
        <v>4034</v>
      </c>
      <c r="E166" s="3" t="s">
        <v>4720</v>
      </c>
      <c r="F166" s="3" t="s">
        <v>4270</v>
      </c>
      <c r="G166" s="3" t="s">
        <v>4721</v>
      </c>
      <c r="H166" t="str">
        <f t="shared" si="203"/>
        <v xml:space="preserve">Гриценко Мария Владимировна</v>
      </c>
      <c r="I166" s="5">
        <f>IFERROR(IF(ISNUMBER(FIND("-",C166)),DATE(VALUE(LEFT(C166,4)),VALUE(MID(C166,6,2)),VALUE(RIGHT(C166,2))),IF(ISNUMBER(FIND(".",C166)),DATE(VALUE(RIGHT(C166,4)),VALUE(MID(C166,4,2)),VALUE(LEFT(C166,2))),DATE(VALUE(RIGHT(C166,4)),VLOOKUP(TRIM(MID(C166,FIND(" ",C166)+1,LEN(C166)-FIND(" ",C166)-5)),Справочники!$M$3:$N$14,2,0),VALUE(LEFT(C166,FIND(" ",C166)-1))))),"")</f>
        <v>34758</v>
      </c>
      <c r="J166" s="6">
        <f t="shared" si="204"/>
        <v>31</v>
      </c>
      <c r="K166" t="str">
        <f t="shared" si="205"/>
        <v>ОК</v>
      </c>
      <c r="L166" s="5">
        <f>IFERROR(IF(ISNUMBER(FIND("-",G166)),DATE(VALUE(LEFT(G166,4)),VALUE(MID(G166,6,2)),VALUE(RIGHT(G166,2))),IF(ISNUMBER(FIND(".",G166)),DATE(VALUE(RIGHT(G166,4)),VALUE(MID(G166,4,2)),VALUE(LEFT(G166,2))),DATE(VALUE(RIGHT(G166,4)),VLOOKUP(TRIM(MID(G166,FIND(" ",G166)+1,LEN(G166)-FIND(" ",G166)-5)),Справочники!$M$3:$N$14,2,0),VALUE(LEFT(G166,FIND(" ",G166)-1))))),"")</f>
        <v>46218</v>
      </c>
      <c r="M166" t="str">
        <f t="shared" si="206"/>
        <v xml:space="preserve">+7 (903) 123-45-67</v>
      </c>
      <c r="N166" t="str">
        <f t="shared" si="207"/>
        <v>gricenko@gmail</v>
      </c>
      <c r="O166" t="str">
        <f t="shared" si="208"/>
        <v xml:space="preserve">Ошибка Email</v>
      </c>
      <c r="P166" t="str">
        <f>IFERROR(VLOOKUP(TRIM(SUBSTITUTE(SUBSTITUTE(" "&amp;F166," г "," "),"г.","")),Справочники!$J$3:$K$102,2,0),TRIM(SUBSTITUTE(SUBSTITUTE(" "&amp;F166," г "," "),"г.","")))</f>
        <v>Брянск</v>
      </c>
    </row>
    <row r="167">
      <c r="A167" s="3" t="s">
        <v>2334</v>
      </c>
      <c r="B167" s="3" t="s">
        <v>4722</v>
      </c>
      <c r="C167" s="3" t="s">
        <v>4723</v>
      </c>
      <c r="D167" s="3" t="s">
        <v>4040</v>
      </c>
      <c r="E167" s="3" t="s">
        <v>4724</v>
      </c>
      <c r="F167" s="3" t="s">
        <v>4275</v>
      </c>
      <c r="G167" s="3" t="s">
        <v>4725</v>
      </c>
      <c r="H167" t="str">
        <f t="shared" si="203"/>
        <v xml:space="preserve">Шевелева Екатерина Петровна</v>
      </c>
      <c r="I167" s="5">
        <f>IFERROR(IF(ISNUMBER(FIND("-",C167)),DATE(VALUE(LEFT(C167,4)),VALUE(MID(C167,6,2)),VALUE(RIGHT(C167,2))),IF(ISNUMBER(FIND(".",C167)),DATE(VALUE(RIGHT(C167,4)),VALUE(MID(C167,4,2)),VALUE(LEFT(C167,2))),DATE(VALUE(RIGHT(C167,4)),VLOOKUP(TRIM(MID(C167,FIND(" ",C167)+1,LEN(C167)-FIND(" ",C167)-5)),Справочники!$M$3:$N$14,2,0),VALUE(LEFT(C167,FIND(" ",C167)-1))))),"")</f>
        <v>32648</v>
      </c>
      <c r="J167" s="6">
        <f t="shared" si="204"/>
        <v>37</v>
      </c>
      <c r="K167" t="str">
        <f t="shared" si="205"/>
        <v>ОК</v>
      </c>
      <c r="L167" s="5">
        <f>IFERROR(IF(ISNUMBER(FIND("-",G167)),DATE(VALUE(LEFT(G167,4)),VALUE(MID(G167,6,2)),VALUE(RIGHT(G167,2))),IF(ISNUMBER(FIND(".",G167)),DATE(VALUE(RIGHT(G167,4)),VALUE(MID(G167,4,2)),VALUE(LEFT(G167,2))),DATE(VALUE(RIGHT(G167,4)),VLOOKUP(TRIM(MID(G167,FIND(" ",G167)+1,LEN(G167)-FIND(" ",G167)-5)),Справочники!$M$3:$N$14,2,0),VALUE(LEFT(G167,FIND(" ",G167)-1))))),"")</f>
        <v>46235</v>
      </c>
      <c r="M167" t="str">
        <f t="shared" si="206"/>
        <v xml:space="preserve">+7 (903) 123-45-67</v>
      </c>
      <c r="N167" t="str">
        <f t="shared" si="207"/>
        <v>sheveleva@mail</v>
      </c>
      <c r="O167" t="str">
        <f t="shared" si="208"/>
        <v xml:space="preserve">Ошибка Email</v>
      </c>
      <c r="P167" t="str">
        <f>IFERROR(VLOOKUP(TRIM(SUBSTITUTE(SUBSTITUTE(" "&amp;F167," г "," "),"г.","")),Справочники!$J$3:$K$102,2,0),TRIM(SUBSTITUTE(SUBSTITUTE(" "&amp;F167," г "," "),"г.","")))</f>
        <v>Абакан</v>
      </c>
    </row>
    <row r="168">
      <c r="A168" s="3" t="s">
        <v>2336</v>
      </c>
      <c r="B168" s="3" t="s">
        <v>4726</v>
      </c>
      <c r="C168" s="3" t="s">
        <v>4727</v>
      </c>
      <c r="D168" s="3" t="s">
        <v>1570</v>
      </c>
      <c r="E168" s="3" t="s">
        <v>4728</v>
      </c>
      <c r="F168" s="3" t="s">
        <v>4280</v>
      </c>
      <c r="G168" s="3" t="s">
        <v>4729</v>
      </c>
      <c r="H168" t="str">
        <f t="shared" si="203"/>
        <v xml:space="preserve">Аничкин Илья Алексеевич</v>
      </c>
      <c r="I168" s="5">
        <f>IFERROR(IF(ISNUMBER(FIND("-",C168)),DATE(VALUE(LEFT(C168,4)),VALUE(MID(C168,6,2)),VALUE(RIGHT(C168,2))),IF(ISNUMBER(FIND(".",C168)),DATE(VALUE(RIGHT(C168,4)),VALUE(MID(C168,4,2)),VALUE(LEFT(C168,2))),DATE(VALUE(RIGHT(C168,4)),VLOOKUP(TRIM(MID(C168,FIND(" ",C168)+1,LEN(C168)-FIND(" ",C168)-5)),Справочники!$M$3:$N$14,2,0),VALUE(LEFT(C168,FIND(" ",C168)-1))))),"")</f>
        <v>26130</v>
      </c>
      <c r="J168" s="6">
        <f t="shared" si="204"/>
        <v>55</v>
      </c>
      <c r="K168" t="str">
        <f t="shared" si="205"/>
        <v>ОК</v>
      </c>
      <c r="L168" s="5">
        <f>IFERROR(IF(ISNUMBER(FIND("-",G168)),DATE(VALUE(LEFT(G168,4)),VALUE(MID(G168,6,2)),VALUE(RIGHT(G168,2))),IF(ISNUMBER(FIND(".",G168)),DATE(VALUE(RIGHT(G168,4)),VALUE(MID(G168,4,2)),VALUE(LEFT(G168,2))),DATE(VALUE(RIGHT(G168,4)),VLOOKUP(TRIM(MID(G168,FIND(" ",G168)+1,LEN(G168)-FIND(" ",G168)-5)),Справочники!$M$3:$N$14,2,0),VALUE(LEFT(G168,FIND(" ",G168)-1))))),"")</f>
        <v>46244</v>
      </c>
      <c r="M168" t="str">
        <f t="shared" si="206"/>
        <v xml:space="preserve">+7 (903) 123-45-67</v>
      </c>
      <c r="N168" t="str">
        <f t="shared" si="207"/>
        <v>anichkin@yandex</v>
      </c>
      <c r="O168" t="str">
        <f t="shared" si="208"/>
        <v xml:space="preserve">Ошибка Email</v>
      </c>
      <c r="P168" t="str">
        <f>IFERROR(VLOOKUP(TRIM(SUBSTITUTE(SUBSTITUTE(" "&amp;F168," г "," "),"г.","")),Справочники!$J$3:$K$102,2,0),TRIM(SUBSTITUTE(SUBSTITUTE(" "&amp;F168," г "," "),"г.","")))</f>
        <v>Грозный</v>
      </c>
    </row>
    <row r="169">
      <c r="A169" s="3" t="s">
        <v>2338</v>
      </c>
      <c r="B169" s="3" t="s">
        <v>4730</v>
      </c>
      <c r="C169" s="3" t="s">
        <v>4731</v>
      </c>
      <c r="D169" s="3" t="s">
        <v>4051</v>
      </c>
      <c r="E169" s="3" t="s">
        <v>4732</v>
      </c>
      <c r="F169" s="3" t="s">
        <v>4285</v>
      </c>
      <c r="G169" s="3" t="s">
        <v>4733</v>
      </c>
      <c r="H169" t="str">
        <f t="shared" si="203"/>
        <v xml:space="preserve">Рябова Ольга Павловна</v>
      </c>
      <c r="I169" s="5">
        <f>IFERROR(IF(ISNUMBER(FIND("-",C169)),DATE(VALUE(LEFT(C169,4)),VALUE(MID(C169,6,2)),VALUE(RIGHT(C169,2))),IF(ISNUMBER(FIND(".",C169)),DATE(VALUE(RIGHT(C169,4)),VALUE(MID(C169,4,2)),VALUE(LEFT(C169,2))),DATE(VALUE(RIGHT(C169,4)),VLOOKUP(TRIM(MID(C169,FIND(" ",C169)+1,LEN(C169)-FIND(" ",C169)-5)),Справочники!$M$3:$N$14,2,0),VALUE(LEFT(C169,FIND(" ",C169)-1))))),"")</f>
        <v>30660</v>
      </c>
      <c r="J169" s="6">
        <f t="shared" si="204"/>
        <v>42</v>
      </c>
      <c r="K169" t="str">
        <f t="shared" si="205"/>
        <v>ОК</v>
      </c>
      <c r="L169" s="5">
        <f>IFERROR(IF(ISNUMBER(FIND("-",G169)),DATE(VALUE(LEFT(G169,4)),VALUE(MID(G169,6,2)),VALUE(RIGHT(G169,2))),IF(ISNUMBER(FIND(".",G169)),DATE(VALUE(RIGHT(G169,4)),VALUE(MID(G169,4,2)),VALUE(LEFT(G169,2))),DATE(VALUE(RIGHT(G169,4)),VLOOKUP(TRIM(MID(G169,FIND(" ",G169)+1,LEN(G169)-FIND(" ",G169)-5)),Справочники!$M$3:$N$14,2,0),VALUE(LEFT(G169,FIND(" ",G169)-1))))),"")</f>
        <v>46244</v>
      </c>
      <c r="M169" t="str">
        <f t="shared" si="206"/>
        <v xml:space="preserve">+7 (903) 234-56-78</v>
      </c>
      <c r="N169" t="str">
        <f t="shared" si="207"/>
        <v>ryabova@gmail</v>
      </c>
      <c r="O169" t="str">
        <f t="shared" si="208"/>
        <v xml:space="preserve">Ошибка Email</v>
      </c>
      <c r="P169" t="str">
        <f>IFERROR(VLOOKUP(TRIM(SUBSTITUTE(SUBSTITUTE(" "&amp;F169," г "," "),"г.","")),Справочники!$J$3:$K$102,2,0),TRIM(SUBSTITUTE(SUBSTITUTE(" "&amp;F169," г "," "),"г.","")))</f>
        <v>Бийск</v>
      </c>
    </row>
    <row r="170">
      <c r="A170" s="3" t="s">
        <v>2341</v>
      </c>
      <c r="B170" s="3" t="s">
        <v>4734</v>
      </c>
      <c r="C170" s="3" t="s">
        <v>4735</v>
      </c>
      <c r="D170" s="3" t="s">
        <v>4057</v>
      </c>
      <c r="E170" s="3" t="s">
        <v>4736</v>
      </c>
      <c r="F170" s="3" t="s">
        <v>4290</v>
      </c>
      <c r="G170" s="3" t="s">
        <v>4737</v>
      </c>
      <c r="H170" t="str">
        <f t="shared" si="203"/>
        <v xml:space="preserve">Гуляев Денис Николаевич</v>
      </c>
      <c r="I170" s="5">
        <f>IFERROR(IF(ISNUMBER(FIND("-",C170)),DATE(VALUE(LEFT(C170,4)),VALUE(MID(C170,6,2)),VALUE(RIGHT(C170,2))),IF(ISNUMBER(FIND(".",C170)),DATE(VALUE(RIGHT(C170,4)),VALUE(MID(C170,4,2)),VALUE(LEFT(C170,2))),DATE(VALUE(RIGHT(C170,4)),VLOOKUP(TRIM(MID(C170,FIND(" ",C170)+1,LEN(C170)-FIND(" ",C170)-5)),Справочники!$M$3:$N$14,2,0),VALUE(LEFT(C170,FIND(" ",C170)-1))))),"")</f>
        <v>28205</v>
      </c>
      <c r="J170" s="6">
        <f t="shared" si="204"/>
        <v>49</v>
      </c>
      <c r="K170" t="str">
        <f t="shared" si="205"/>
        <v>ОК</v>
      </c>
      <c r="L170" s="5">
        <f>IFERROR(IF(ISNUMBER(FIND("-",G170)),DATE(VALUE(LEFT(G170,4)),VALUE(MID(G170,6,2)),VALUE(RIGHT(G170,2))),IF(ISNUMBER(FIND(".",G170)),DATE(VALUE(RIGHT(G170,4)),VALUE(MID(G170,4,2)),VALUE(LEFT(G170,2))),DATE(VALUE(RIGHT(G170,4)),VLOOKUP(TRIM(MID(G170,FIND(" ",G170)+1,LEN(G170)-FIND(" ",G170)-5)),Справочники!$M$3:$N$14,2,0),VALUE(LEFT(G170,FIND(" ",G170)-1))))),"")</f>
        <v>46266</v>
      </c>
      <c r="M170" t="str">
        <f t="shared" si="206"/>
        <v xml:space="preserve">+7 (903) 234-56-78</v>
      </c>
      <c r="N170" t="str">
        <f t="shared" si="207"/>
        <v>gulyaev@mail</v>
      </c>
      <c r="O170" t="str">
        <f t="shared" si="208"/>
        <v xml:space="preserve">Ошибка Email</v>
      </c>
      <c r="P170" t="str">
        <f>IFERROR(VLOOKUP(TRIM(SUBSTITUTE(SUBSTITUTE(" "&amp;F170," г "," "),"г.","")),Справочники!$J$3:$K$102,2,0),TRIM(SUBSTITUTE(SUBSTITUTE(" "&amp;F170," г "," "),"г.","")))</f>
        <v>Йошкар-Ола</v>
      </c>
    </row>
    <row r="171">
      <c r="A171" s="3" t="s">
        <v>2342</v>
      </c>
      <c r="B171" s="3" t="s">
        <v>4738</v>
      </c>
      <c r="C171" s="3" t="s">
        <v>4739</v>
      </c>
      <c r="D171" s="3" t="s">
        <v>1712</v>
      </c>
      <c r="E171" s="3" t="s">
        <v>4740</v>
      </c>
      <c r="F171" s="3" t="s">
        <v>4295</v>
      </c>
      <c r="G171" s="3" t="s">
        <v>4741</v>
      </c>
      <c r="H171" t="str">
        <f t="shared" si="203"/>
        <v xml:space="preserve">Горюнова Екатерина Андреевна</v>
      </c>
      <c r="I171" s="5">
        <f>IFERROR(IF(ISNUMBER(FIND("-",C171)),DATE(VALUE(LEFT(C171,4)),VALUE(MID(C171,6,2)),VALUE(RIGHT(C171,2))),IF(ISNUMBER(FIND(".",C171)),DATE(VALUE(RIGHT(C171,4)),VALUE(MID(C171,4,2)),VALUE(LEFT(C171,2))),DATE(VALUE(RIGHT(C171,4)),VLOOKUP(TRIM(MID(C171,FIND(" ",C171)+1,LEN(C171)-FIND(" ",C171)-5)),Справочники!$M$3:$N$14,2,0),VALUE(LEFT(C171,FIND(" ",C171)-1))))),"")</f>
        <v>33120</v>
      </c>
      <c r="J171" s="6">
        <f t="shared" si="204"/>
        <v>36</v>
      </c>
      <c r="K171" t="str">
        <f t="shared" si="205"/>
        <v>ОК</v>
      </c>
      <c r="L171" s="5">
        <f>IFERROR(IF(ISNUMBER(FIND("-",G171)),DATE(VALUE(LEFT(G171,4)),VALUE(MID(G171,6,2)),VALUE(RIGHT(G171,2))),IF(ISNUMBER(FIND(".",G171)),DATE(VALUE(RIGHT(G171,4)),VALUE(MID(G171,4,2)),VALUE(LEFT(G171,2))),DATE(VALUE(RIGHT(G171,4)),VLOOKUP(TRIM(MID(G171,FIND(" ",G171)+1,LEN(G171)-FIND(" ",G171)-5)),Справочники!$M$3:$N$14,2,0),VALUE(LEFT(G171,FIND(" ",G171)-1))))),"")</f>
        <v>46280</v>
      </c>
      <c r="M171" t="str">
        <f t="shared" si="206"/>
        <v xml:space="preserve">+7 (903) 234-56-78</v>
      </c>
      <c r="N171" t="str">
        <f t="shared" si="207"/>
        <v>goryunova@yandex</v>
      </c>
      <c r="O171" t="str">
        <f t="shared" si="208"/>
        <v xml:space="preserve">Ошибка Email</v>
      </c>
      <c r="P171" t="str">
        <f>IFERROR(VLOOKUP(TRIM(SUBSTITUTE(SUBSTITUTE(" "&amp;F171," г "," "),"г.","")),Справочники!$J$3:$K$102,2,0),TRIM(SUBSTITUTE(SUBSTITUTE(" "&amp;F171," г "," "),"г.","")))</f>
        <v>Курган</v>
      </c>
    </row>
    <row r="172">
      <c r="A172" s="3" t="s">
        <v>2345</v>
      </c>
      <c r="B172" s="3" t="s">
        <v>4742</v>
      </c>
      <c r="C172" s="3" t="s">
        <v>4743</v>
      </c>
      <c r="D172" s="3" t="s">
        <v>1584</v>
      </c>
      <c r="E172" s="3" t="s">
        <v>4744</v>
      </c>
      <c r="F172" s="3" t="s">
        <v>4300</v>
      </c>
      <c r="G172" s="3" t="s">
        <v>4745</v>
      </c>
      <c r="H172" t="str">
        <f t="shared" si="203"/>
        <v xml:space="preserve">Константинов Максим Викторович</v>
      </c>
      <c r="I172" s="5">
        <f>IFERROR(IF(ISNUMBER(FIND("-",C172)),DATE(VALUE(LEFT(C172,4)),VALUE(MID(C172,6,2)),VALUE(RIGHT(C172,2))),IF(ISNUMBER(FIND(".",C172)),DATE(VALUE(RIGHT(C172,4)),VALUE(MID(C172,4,2)),VALUE(LEFT(C172,2))),DATE(VALUE(RIGHT(C172,4)),VLOOKUP(TRIM(MID(C172,FIND(" ",C172)+1,LEN(C172)-FIND(" ",C172)-5)),Справочники!$M$3:$N$14,2,0),VALUE(LEFT(C172,FIND(" ",C172)-1))))),"")</f>
        <v>30852</v>
      </c>
      <c r="J172" s="6">
        <f t="shared" si="204"/>
        <v>42</v>
      </c>
      <c r="K172" t="str">
        <f t="shared" si="205"/>
        <v>ОК</v>
      </c>
      <c r="L172" s="5">
        <f>IFERROR(IF(ISNUMBER(FIND("-",G172)),DATE(VALUE(LEFT(G172,4)),VALUE(MID(G172,6,2)),VALUE(RIGHT(G172,2))),IF(ISNUMBER(FIND(".",G172)),DATE(VALUE(RIGHT(G172,4)),VALUE(MID(G172,4,2)),VALUE(LEFT(G172,2))),DATE(VALUE(RIGHT(G172,4)),VLOOKUP(TRIM(MID(G172,FIND(" ",G172)+1,LEN(G172)-FIND(" ",G172)-5)),Справочники!$M$3:$N$14,2,0),VALUE(LEFT(G172,FIND(" ",G172)-1))))),"")</f>
        <v>46280</v>
      </c>
      <c r="M172" t="str">
        <f t="shared" si="206"/>
        <v xml:space="preserve">+7 (903) 345-67-89</v>
      </c>
      <c r="N172" t="str">
        <f t="shared" si="207"/>
        <v>konstantinov@gmail</v>
      </c>
      <c r="O172" t="str">
        <f t="shared" si="208"/>
        <v xml:space="preserve">Ошибка Email</v>
      </c>
      <c r="P172" t="str">
        <f>IFERROR(VLOOKUP(TRIM(SUBSTITUTE(SUBSTITUTE(" "&amp;F172," г "," "),"г.","")),Справочники!$J$3:$K$102,2,0),TRIM(SUBSTITUTE(SUBSTITUTE(" "&amp;F172," г "," "),"г.","")))</f>
        <v>Архангельск</v>
      </c>
    </row>
    <row r="173">
      <c r="A173" s="3" t="s">
        <v>2347</v>
      </c>
      <c r="B173" s="3" t="s">
        <v>4746</v>
      </c>
      <c r="C173" s="3" t="s">
        <v>4747</v>
      </c>
      <c r="D173" s="3" t="s">
        <v>4073</v>
      </c>
      <c r="E173" s="3" t="s">
        <v>4748</v>
      </c>
      <c r="F173" s="3" t="s">
        <v>4305</v>
      </c>
      <c r="G173" s="3" t="s">
        <v>4749</v>
      </c>
      <c r="H173" t="str">
        <f t="shared" si="203"/>
        <v xml:space="preserve">Пантелеева Надежда Владимировна</v>
      </c>
      <c r="I173" s="5">
        <f>IFERROR(IF(ISNUMBER(FIND("-",C173)),DATE(VALUE(LEFT(C173,4)),VALUE(MID(C173,6,2)),VALUE(RIGHT(C173,2))),IF(ISNUMBER(FIND(".",C173)),DATE(VALUE(RIGHT(C173,4)),VALUE(MID(C173,4,2)),VALUE(LEFT(C173,2))),DATE(VALUE(RIGHT(C173,4)),VLOOKUP(TRIM(MID(C173,FIND(" ",C173)+1,LEN(C173)-FIND(" ",C173)-5)),Справочники!$M$3:$N$14,2,0),VALUE(LEFT(C173,FIND(" ",C173)-1))))),"")</f>
        <v>26321</v>
      </c>
      <c r="J173" s="6">
        <f t="shared" si="204"/>
        <v>54</v>
      </c>
      <c r="K173" t="str">
        <f t="shared" si="205"/>
        <v>ОК</v>
      </c>
      <c r="L173" s="5">
        <f>IFERROR(IF(ISNUMBER(FIND("-",G173)),DATE(VALUE(LEFT(G173,4)),VALUE(MID(G173,6,2)),VALUE(RIGHT(G173,2))),IF(ISNUMBER(FIND(".",G173)),DATE(VALUE(RIGHT(G173,4)),VALUE(MID(G173,4,2)),VALUE(LEFT(G173,2))),DATE(VALUE(RIGHT(G173,4)),VLOOKUP(TRIM(MID(G173,FIND(" ",G173)+1,LEN(G173)-FIND(" ",G173)-5)),Справочники!$M$3:$N$14,2,0),VALUE(LEFT(G173,FIND(" ",G173)-1))))),"")</f>
        <v>46296</v>
      </c>
      <c r="M173" t="str">
        <f t="shared" si="206"/>
        <v xml:space="preserve">+7 (903) 345-67-89</v>
      </c>
      <c r="N173" t="str">
        <f t="shared" si="207"/>
        <v>panteleeva@mail</v>
      </c>
      <c r="O173" t="str">
        <f t="shared" si="208"/>
        <v xml:space="preserve">Ошибка Email</v>
      </c>
      <c r="P173" t="str">
        <f>IFERROR(VLOOKUP(TRIM(SUBSTITUTE(SUBSTITUTE(" "&amp;F173," г "," "),"г.","")),Справочники!$J$3:$K$102,2,0),TRIM(SUBSTITUTE(SUBSTITUTE(" "&amp;F173," г "," "),"г.","")))</f>
        <v>Благовещенск</v>
      </c>
    </row>
    <row r="174">
      <c r="A174" s="3" t="s">
        <v>2350</v>
      </c>
      <c r="B174" s="3" t="s">
        <v>4750</v>
      </c>
      <c r="C174" s="3" t="s">
        <v>4751</v>
      </c>
      <c r="D174" s="3" t="s">
        <v>4079</v>
      </c>
      <c r="E174" s="3" t="s">
        <v>4752</v>
      </c>
      <c r="F174" s="3" t="s">
        <v>4310</v>
      </c>
      <c r="G174" s="3" t="s">
        <v>4753</v>
      </c>
      <c r="H174" t="str">
        <f t="shared" si="203"/>
        <v xml:space="preserve">Елисеев Андрей Сергеевич</v>
      </c>
      <c r="I174" s="5">
        <f>IFERROR(IF(ISNUMBER(FIND("-",C174)),DATE(VALUE(LEFT(C174,4)),VALUE(MID(C174,6,2)),VALUE(RIGHT(C174,2))),IF(ISNUMBER(FIND(".",C174)),DATE(VALUE(RIGHT(C174,4)),VALUE(MID(C174,4,2)),VALUE(LEFT(C174,2))),DATE(VALUE(RIGHT(C174,4)),VLOOKUP(TRIM(MID(C174,FIND(" ",C174)+1,LEN(C174)-FIND(" ",C174)-5)),Справочники!$M$3:$N$14,2,0),VALUE(LEFT(C174,FIND(" ",C174)-1))))),"")</f>
        <v>31632</v>
      </c>
      <c r="J174" s="6">
        <f t="shared" si="204"/>
        <v>40</v>
      </c>
      <c r="K174" t="str">
        <f t="shared" si="205"/>
        <v>ОК</v>
      </c>
      <c r="L174" s="5">
        <f>IFERROR(IF(ISNUMBER(FIND("-",G174)),DATE(VALUE(LEFT(G174,4)),VALUE(MID(G174,6,2)),VALUE(RIGHT(G174,2))),IF(ISNUMBER(FIND(".",G174)),DATE(VALUE(RIGHT(G174,4)),VALUE(MID(G174,4,2)),VALUE(LEFT(G174,2))),DATE(VALUE(RIGHT(G174,4)),VLOOKUP(TRIM(MID(G174,FIND(" ",G174)+1,LEN(G174)-FIND(" ",G174)-5)),Справочники!$M$3:$N$14,2,0),VALUE(LEFT(G174,FIND(" ",G174)-1))))),"")</f>
        <v>46305</v>
      </c>
      <c r="M174" t="str">
        <f t="shared" si="206"/>
        <v xml:space="preserve">+7 (903) 345-67-89</v>
      </c>
      <c r="N174" t="str">
        <f t="shared" si="207"/>
        <v>eliseev@yandex</v>
      </c>
      <c r="O174" t="str">
        <f t="shared" si="208"/>
        <v xml:space="preserve">Ошибка Email</v>
      </c>
      <c r="P174" t="str">
        <f>IFERROR(VLOOKUP(TRIM(SUBSTITUTE(SUBSTITUTE(" "&amp;F174," г "," "),"г.","")),Справочники!$J$3:$K$102,2,0),TRIM(SUBSTITUTE(SUBSTITUTE(" "&amp;F174," г "," "),"г.","")))</f>
        <v>Майкоп</v>
      </c>
    </row>
    <row r="175">
      <c r="A175" s="3" t="s">
        <v>2351</v>
      </c>
      <c r="B175" s="3" t="s">
        <v>4754</v>
      </c>
      <c r="C175" s="3" t="s">
        <v>4755</v>
      </c>
      <c r="D175" s="3" t="s">
        <v>4085</v>
      </c>
      <c r="E175" s="3" t="s">
        <v>4756</v>
      </c>
      <c r="F175" s="3" t="s">
        <v>4315</v>
      </c>
      <c r="G175" s="3" t="s">
        <v>4757</v>
      </c>
      <c r="H175" t="str">
        <f t="shared" si="203"/>
        <v xml:space="preserve">Щеголева Татьяна Ивановна</v>
      </c>
      <c r="I175" s="5">
        <f>IFERROR(IF(ISNUMBER(FIND("-",C175)),DATE(VALUE(LEFT(C175,4)),VALUE(MID(C175,6,2)),VALUE(RIGHT(C175,2))),IF(ISNUMBER(FIND(".",C175)),DATE(VALUE(RIGHT(C175,4)),VALUE(MID(C175,4,2)),VALUE(LEFT(C175,2))),DATE(VALUE(RIGHT(C175,4)),VLOOKUP(TRIM(MID(C175,FIND(" ",C175)+1,LEN(C175)-FIND(" ",C175)-5)),Справочники!$M$3:$N$14,2,0),VALUE(LEFT(C175,FIND(" ",C175)-1))))),"")</f>
        <v>33933</v>
      </c>
      <c r="J175" s="6">
        <f t="shared" si="204"/>
        <v>33</v>
      </c>
      <c r="K175" t="str">
        <f t="shared" si="205"/>
        <v>ОК</v>
      </c>
      <c r="L175" s="5">
        <f>IFERROR(IF(ISNUMBER(FIND("-",G175)),DATE(VALUE(LEFT(G175,4)),VALUE(MID(G175,6,2)),VALUE(RIGHT(G175,2))),IF(ISNUMBER(FIND(".",G175)),DATE(VALUE(RIGHT(G175,4)),VALUE(MID(G175,4,2)),VALUE(LEFT(G175,2))),DATE(VALUE(RIGHT(G175,4)),VLOOKUP(TRIM(MID(G175,FIND(" ",G175)+1,LEN(G175)-FIND(" ",G175)-5)),Справочники!$M$3:$N$14,2,0),VALUE(LEFT(G175,FIND(" ",G175)-1))))),"")</f>
        <v>46305</v>
      </c>
      <c r="M175" t="str">
        <f t="shared" si="206"/>
        <v xml:space="preserve">+7 (903) 456-78-90</v>
      </c>
      <c r="N175" t="str">
        <f t="shared" si="207"/>
        <v>schegoleva@gmail</v>
      </c>
      <c r="O175" t="str">
        <f t="shared" si="208"/>
        <v xml:space="preserve">Ошибка Email</v>
      </c>
      <c r="P175" t="str">
        <f>IFERROR(VLOOKUP(TRIM(SUBSTITUTE(SUBSTITUTE(" "&amp;F175," г "," "),"г.","")),Справочники!$J$3:$K$102,2,0),TRIM(SUBSTITUTE(SUBSTITUTE(" "&amp;F175," г "," "),"г.","")))</f>
        <v>Уссурийск</v>
      </c>
    </row>
    <row r="176">
      <c r="A176" s="3" t="s">
        <v>2353</v>
      </c>
      <c r="B176" s="3" t="s">
        <v>4758</v>
      </c>
      <c r="C176" s="3" t="s">
        <v>4759</v>
      </c>
      <c r="D176" s="3" t="s">
        <v>1591</v>
      </c>
      <c r="E176" s="3" t="s">
        <v>4760</v>
      </c>
      <c r="F176" s="3" t="s">
        <v>4320</v>
      </c>
      <c r="G176" s="3" t="s">
        <v>4761</v>
      </c>
      <c r="H176" t="str">
        <f t="shared" si="203"/>
        <v xml:space="preserve">Алехин Виктор Викторович</v>
      </c>
      <c r="I176" s="5">
        <f>IFERROR(IF(ISNUMBER(FIND("-",C176)),DATE(VALUE(LEFT(C176,4)),VALUE(MID(C176,6,2)),VALUE(RIGHT(C176,2))),IF(ISNUMBER(FIND(".",C176)),DATE(VALUE(RIGHT(C176,4)),VALUE(MID(C176,4,2)),VALUE(LEFT(C176,2))),DATE(VALUE(RIGHT(C176,4)),VLOOKUP(TRIM(MID(C176,FIND(" ",C176)+1,LEN(C176)-FIND(" ",C176)-5)),Справочники!$M$3:$N$14,2,0),VALUE(LEFT(C176,FIND(" ",C176)-1))))),"")</f>
        <v>28594</v>
      </c>
      <c r="J176" s="6">
        <f t="shared" si="204"/>
        <v>48</v>
      </c>
      <c r="K176" t="str">
        <f t="shared" si="205"/>
        <v>ОК</v>
      </c>
      <c r="L176" s="5">
        <f>IFERROR(IF(ISNUMBER(FIND("-",G176)),DATE(VALUE(LEFT(G176,4)),VALUE(MID(G176,6,2)),VALUE(RIGHT(G176,2))),IF(ISNUMBER(FIND(".",G176)),DATE(VALUE(RIGHT(G176,4)),VALUE(MID(G176,4,2)),VALUE(LEFT(G176,2))),DATE(VALUE(RIGHT(G176,4)),VLOOKUP(TRIM(MID(G176,FIND(" ",G176)+1,LEN(G176)-FIND(" ",G176)-5)),Справочники!$M$3:$N$14,2,0),VALUE(LEFT(G176,FIND(" ",G176)-1))))),"")</f>
        <v>46327</v>
      </c>
      <c r="M176" t="str">
        <f t="shared" si="206"/>
        <v xml:space="preserve">+7 (903) 456-78-90</v>
      </c>
      <c r="N176" t="str">
        <f t="shared" si="207"/>
        <v>alehin@mail</v>
      </c>
      <c r="O176" t="str">
        <f t="shared" si="208"/>
        <v xml:space="preserve">Ошибка Email</v>
      </c>
      <c r="P176" t="str">
        <f>IFERROR(VLOOKUP(TRIM(SUBSTITUTE(SUBSTITUTE(" "&amp;F176," г "," "),"г.","")),Справочники!$J$3:$K$102,2,0),TRIM(SUBSTITUTE(SUBSTITUTE(" "&amp;F176," г "," "),"г.","")))</f>
        <v>Миасс</v>
      </c>
    </row>
    <row r="177">
      <c r="A177" s="3" t="s">
        <v>2354</v>
      </c>
      <c r="B177" s="3" t="s">
        <v>4762</v>
      </c>
      <c r="C177" s="3" t="s">
        <v>4763</v>
      </c>
      <c r="D177" s="3" t="s">
        <v>1660</v>
      </c>
      <c r="E177" s="3" t="s">
        <v>4764</v>
      </c>
      <c r="F177" s="3" t="s">
        <v>4325</v>
      </c>
      <c r="G177" s="3" t="s">
        <v>4765</v>
      </c>
      <c r="H177" t="str">
        <f t="shared" si="203"/>
        <v xml:space="preserve">Зверев Артем Сергеевич</v>
      </c>
      <c r="I177" s="5">
        <f>IFERROR(IF(ISNUMBER(FIND("-",C177)),DATE(VALUE(LEFT(C177,4)),VALUE(MID(C177,6,2)),VALUE(RIGHT(C177,2))),IF(ISNUMBER(FIND(".",C177)),DATE(VALUE(RIGHT(C177,4)),VALUE(MID(C177,4,2)),VALUE(LEFT(C177,2))),DATE(VALUE(RIGHT(C177,4)),VLOOKUP(TRIM(MID(C177,FIND(" ",C177)+1,LEN(C177)-FIND(" ",C177)-5)),Справочники!$M$3:$N$14,2,0),VALUE(LEFT(C177,FIND(" ",C177)-1))))),"")</f>
        <v>29859</v>
      </c>
      <c r="J177" s="6">
        <f t="shared" si="204"/>
        <v>45</v>
      </c>
      <c r="K177" t="str">
        <f t="shared" si="205"/>
        <v>ОК</v>
      </c>
      <c r="L177" s="5">
        <f>IFERROR(IF(ISNUMBER(FIND("-",G177)),DATE(VALUE(LEFT(G177,4)),VALUE(MID(G177,6,2)),VALUE(RIGHT(G177,2))),IF(ISNUMBER(FIND(".",G177)),DATE(VALUE(RIGHT(G177,4)),VALUE(MID(G177,4,2)),VALUE(LEFT(G177,2))),DATE(VALUE(RIGHT(G177,4)),VLOOKUP(TRIM(MID(G177,FIND(" ",G177)+1,LEN(G177)-FIND(" ",G177)-5)),Справочники!$M$3:$N$14,2,0),VALUE(LEFT(G177,FIND(" ",G177)-1))))),"")</f>
        <v>46341</v>
      </c>
      <c r="M177" t="str">
        <f t="shared" si="206"/>
        <v xml:space="preserve">+7 (903) 456-78-90</v>
      </c>
      <c r="N177" t="str">
        <f t="shared" si="207"/>
        <v>zverev@yandex</v>
      </c>
      <c r="O177" t="str">
        <f t="shared" si="208"/>
        <v xml:space="preserve">Ошибка Email</v>
      </c>
      <c r="P177" t="str">
        <f>IFERROR(VLOOKUP(TRIM(SUBSTITUTE(SUBSTITUTE(" "&amp;F177," г "," "),"г.","")),Справочники!$J$3:$K$102,2,0),TRIM(SUBSTITUTE(SUBSTITUTE(" "&amp;F177," г "," "),"г.","")))</f>
        <v>Кызыл</v>
      </c>
    </row>
    <row r="178">
      <c r="A178" s="3" t="s">
        <v>2357</v>
      </c>
      <c r="B178" s="3" t="s">
        <v>4766</v>
      </c>
      <c r="C178" s="3" t="s">
        <v>4767</v>
      </c>
      <c r="D178" s="3" t="s">
        <v>3984</v>
      </c>
      <c r="E178" s="3" t="s">
        <v>4768</v>
      </c>
      <c r="F178" s="3" t="s">
        <v>4330</v>
      </c>
      <c r="G178" s="3" t="s">
        <v>4769</v>
      </c>
      <c r="H178" t="str">
        <f t="shared" si="203"/>
        <v xml:space="preserve">Исакова Мария Михайловна</v>
      </c>
      <c r="I178" s="5">
        <f>IFERROR(IF(ISNUMBER(FIND("-",C178)),DATE(VALUE(LEFT(C178,4)),VALUE(MID(C178,6,2)),VALUE(RIGHT(C178,2))),IF(ISNUMBER(FIND(".",C178)),DATE(VALUE(RIGHT(C178,4)),VALUE(MID(C178,4,2)),VALUE(LEFT(C178,2))),DATE(VALUE(RIGHT(C178,4)),VLOOKUP(TRIM(MID(C178,FIND(" ",C178)+1,LEN(C178)-FIND(" ",C178)-5)),Справочники!$M$3:$N$14,2,0),VALUE(LEFT(C178,FIND(" ",C178)-1))))),"")</f>
        <v>31969</v>
      </c>
      <c r="J178" s="6">
        <f t="shared" si="204"/>
        <v>39</v>
      </c>
      <c r="K178" t="str">
        <f t="shared" si="205"/>
        <v>ОК</v>
      </c>
      <c r="L178" s="5">
        <f>IFERROR(IF(ISNUMBER(FIND("-",G178)),DATE(VALUE(LEFT(G178,4)),VALUE(MID(G178,6,2)),VALUE(RIGHT(G178,2))),IF(ISNUMBER(FIND(".",G178)),DATE(VALUE(RIGHT(G178,4)),VALUE(MID(G178,4,2)),VALUE(LEFT(G178,2))),DATE(VALUE(RIGHT(G178,4)),VLOOKUP(TRIM(MID(G178,FIND(" ",G178)+1,LEN(G178)-FIND(" ",G178)-5)),Справочники!$M$3:$N$14,2,0),VALUE(LEFT(G178,FIND(" ",G178)-1))))),"")</f>
        <v>46341</v>
      </c>
      <c r="M178" t="str">
        <f t="shared" si="206"/>
        <v xml:space="preserve">+7 (903) 567-89-01</v>
      </c>
      <c r="N178" t="str">
        <f t="shared" si="207"/>
        <v>isakova@gmail</v>
      </c>
      <c r="O178" t="str">
        <f t="shared" si="208"/>
        <v xml:space="preserve">Ошибка Email</v>
      </c>
      <c r="P178" t="str">
        <f>IFERROR(VLOOKUP(TRIM(SUBSTITUTE(SUBSTITUTE(" "&amp;F178," г "," "),"г.","")),Справочники!$J$3:$K$102,2,0),TRIM(SUBSTITUTE(SUBSTITUTE(" "&amp;F178," г "," "),"г.","")))</f>
        <v>Калининград</v>
      </c>
    </row>
    <row r="179">
      <c r="A179" s="3" t="s">
        <v>2358</v>
      </c>
      <c r="B179" s="3" t="s">
        <v>4770</v>
      </c>
      <c r="C179" s="3" t="s">
        <v>4771</v>
      </c>
      <c r="D179" s="3" t="s">
        <v>3990</v>
      </c>
      <c r="E179" s="3" t="s">
        <v>4772</v>
      </c>
      <c r="F179" s="3" t="s">
        <v>4335</v>
      </c>
      <c r="G179" s="3" t="s">
        <v>4773</v>
      </c>
      <c r="H179" t="str">
        <f t="shared" si="203"/>
        <v xml:space="preserve">Симаков Григорий Павлович</v>
      </c>
      <c r="I179" s="5">
        <f>IFERROR(IF(ISNUMBER(FIND("-",C179)),DATE(VALUE(LEFT(C179,4)),VALUE(MID(C179,6,2)),VALUE(RIGHT(C179,2))),IF(ISNUMBER(FIND(".",C179)),DATE(VALUE(RIGHT(C179,4)),VALUE(MID(C179,4,2)),VALUE(LEFT(C179,2))),DATE(VALUE(RIGHT(C179,4)),VLOOKUP(TRIM(MID(C179,FIND(" ",C179)+1,LEN(C179)-FIND(" ",C179)-5)),Справочники!$M$3:$N$14,2,0),VALUE(LEFT(C179,FIND(" ",C179)-1))))),"")</f>
        <v>34671</v>
      </c>
      <c r="J179" s="6">
        <f t="shared" si="204"/>
        <v>31</v>
      </c>
      <c r="K179" t="str">
        <f t="shared" si="205"/>
        <v>ОК</v>
      </c>
      <c r="L179" s="5">
        <f>IFERROR(IF(ISNUMBER(FIND("-",G179)),DATE(VALUE(LEFT(G179,4)),VALUE(MID(G179,6,2)),VALUE(RIGHT(G179,2))),IF(ISNUMBER(FIND(".",G179)),DATE(VALUE(RIGHT(G179,4)),VALUE(MID(G179,4,2)),VALUE(LEFT(G179,2))),DATE(VALUE(RIGHT(G179,4)),VLOOKUP(TRIM(MID(G179,FIND(" ",G179)+1,LEN(G179)-FIND(" ",G179)-5)),Справочники!$M$3:$N$14,2,0),VALUE(LEFT(G179,FIND(" ",G179)-1))))),"")</f>
        <v>46357</v>
      </c>
      <c r="M179" t="str">
        <f t="shared" si="206"/>
        <v xml:space="preserve">+7 (903) 567-89-01</v>
      </c>
      <c r="N179" t="str">
        <f t="shared" si="207"/>
        <v>simakov@mail</v>
      </c>
      <c r="O179" t="str">
        <f t="shared" si="208"/>
        <v xml:space="preserve">Ошибка Email</v>
      </c>
      <c r="P179" t="str">
        <f>IFERROR(VLOOKUP(TRIM(SUBSTITUTE(SUBSTITUTE(" "&amp;F179," г "," "),"г.","")),Справочники!$J$3:$K$102,2,0),TRIM(SUBSTITUTE(SUBSTITUTE(" "&amp;F179," г "," "),"г.","")))</f>
        <v>Петрозаводск</v>
      </c>
    </row>
    <row r="180">
      <c r="A180" s="3" t="s">
        <v>2360</v>
      </c>
      <c r="B180" s="3" t="s">
        <v>4774</v>
      </c>
      <c r="C180" s="3" t="s">
        <v>4775</v>
      </c>
      <c r="D180" s="3" t="s">
        <v>1598</v>
      </c>
      <c r="E180" s="3" t="s">
        <v>4776</v>
      </c>
      <c r="F180" s="3" t="s">
        <v>4340</v>
      </c>
      <c r="G180" s="3" t="s">
        <v>4777</v>
      </c>
      <c r="H180" t="str">
        <f t="shared" si="203"/>
        <v xml:space="preserve">Кузькина Ольга Олеговна</v>
      </c>
      <c r="I180" s="5">
        <f>IFERROR(IF(ISNUMBER(FIND("-",C180)),DATE(VALUE(LEFT(C180,4)),VALUE(MID(C180,6,2)),VALUE(RIGHT(C180,2))),IF(ISNUMBER(FIND(".",C180)),DATE(VALUE(RIGHT(C180,4)),VALUE(MID(C180,4,2)),VALUE(LEFT(C180,2))),DATE(VALUE(RIGHT(C180,4)),VLOOKUP(TRIM(MID(C180,FIND(" ",C180)+1,LEN(C180)-FIND(" ",C180)-5)),Справочники!$M$3:$N$14,2,0),VALUE(LEFT(C180,FIND(" ",C180)-1))))),"")</f>
        <v>27896</v>
      </c>
      <c r="J180" s="6">
        <f t="shared" si="204"/>
        <v>50</v>
      </c>
      <c r="K180" t="str">
        <f t="shared" si="205"/>
        <v>ОК</v>
      </c>
      <c r="L180" s="5">
        <f>IFERROR(IF(ISNUMBER(FIND("-",G180)),DATE(VALUE(LEFT(G180,4)),VALUE(MID(G180,6,2)),VALUE(RIGHT(G180,2))),IF(ISNUMBER(FIND(".",G180)),DATE(VALUE(RIGHT(G180,4)),VALUE(MID(G180,4,2)),VALUE(LEFT(G180,2))),DATE(VALUE(RIGHT(G180,4)),VLOOKUP(TRIM(MID(G180,FIND(" ",G180)+1,LEN(G180)-FIND(" ",G180)-5)),Справочники!$M$3:$N$14,2,0),VALUE(LEFT(G180,FIND(" ",G180)-1))))),"")</f>
        <v>46366</v>
      </c>
      <c r="M180" t="str">
        <f t="shared" si="206"/>
        <v xml:space="preserve">+7 (903) 567-89-01</v>
      </c>
      <c r="N180" t="str">
        <f t="shared" si="207"/>
        <v>kuzkina@yandex</v>
      </c>
      <c r="O180" t="str">
        <f t="shared" si="208"/>
        <v xml:space="preserve">Ошибка Email</v>
      </c>
      <c r="P180" t="str">
        <f>IFERROR(VLOOKUP(TRIM(SUBSTITUTE(SUBSTITUTE(" "&amp;F180," г "," "),"г.","")),Справочники!$J$3:$K$102,2,0),TRIM(SUBSTITUTE(SUBSTITUTE(" "&amp;F180," г "," "),"г.","")))</f>
        <v>Рубцовск</v>
      </c>
    </row>
    <row r="181">
      <c r="A181" s="3" t="s">
        <v>2362</v>
      </c>
      <c r="B181" s="3" t="s">
        <v>4778</v>
      </c>
      <c r="C181" s="3" t="s">
        <v>4779</v>
      </c>
      <c r="D181" s="3" t="s">
        <v>4116</v>
      </c>
      <c r="E181" s="3" t="s">
        <v>4780</v>
      </c>
      <c r="F181" s="3" t="s">
        <v>4345</v>
      </c>
      <c r="G181" s="3" t="s">
        <v>4781</v>
      </c>
      <c r="H181" t="str">
        <f t="shared" si="203"/>
        <v xml:space="preserve">Лукин Дмитрий Николаевич</v>
      </c>
      <c r="I181" s="5">
        <f>IFERROR(IF(ISNUMBER(FIND("-",C181)),DATE(VALUE(LEFT(C181,4)),VALUE(MID(C181,6,2)),VALUE(RIGHT(C181,2))),IF(ISNUMBER(FIND(".",C181)),DATE(VALUE(RIGHT(C181,4)),VALUE(MID(C181,4,2)),VALUE(LEFT(C181,2))),DATE(VALUE(RIGHT(C181,4)),VLOOKUP(TRIM(MID(C181,FIND(" ",C181)+1,LEN(C181)-FIND(" ",C181)-5)),Справочники!$M$3:$N$14,2,0),VALUE(LEFT(C181,FIND(" ",C181)-1))))),"")</f>
        <v>30225</v>
      </c>
      <c r="J181" s="6">
        <f t="shared" si="204"/>
        <v>44</v>
      </c>
      <c r="K181" t="str">
        <f t="shared" si="205"/>
        <v>ОК</v>
      </c>
      <c r="L181" s="5">
        <f>IFERROR(IF(ISNUMBER(FIND("-",G181)),DATE(VALUE(LEFT(G181,4)),VALUE(MID(G181,6,2)),VALUE(RIGHT(G181,2))),IF(ISNUMBER(FIND(".",G181)),DATE(VALUE(RIGHT(G181,4)),VALUE(MID(G181,4,2)),VALUE(LEFT(G181,2))),DATE(VALUE(RIGHT(G181,4)),VLOOKUP(TRIM(MID(G181,FIND(" ",G181)+1,LEN(G181)-FIND(" ",G181)-5)),Справочники!$M$3:$N$14,2,0),VALUE(LEFT(G181,FIND(" ",G181)-1))))),"")</f>
        <v>46366</v>
      </c>
      <c r="M181" t="str">
        <f t="shared" si="206"/>
        <v xml:space="preserve">+7 (903) 678-90-12</v>
      </c>
      <c r="N181" t="str">
        <f t="shared" si="207"/>
        <v>lukin@gmail</v>
      </c>
      <c r="O181" t="str">
        <f t="shared" si="208"/>
        <v xml:space="preserve">Ошибка Email</v>
      </c>
      <c r="P181" t="str">
        <f>IFERROR(VLOOKUP(TRIM(SUBSTITUTE(SUBSTITUTE(" "&amp;F181," г "," "),"г.","")),Справочники!$J$3:$K$102,2,0),TRIM(SUBSTITUTE(SUBSTITUTE(" "&amp;F181," г "," "),"г.","")))</f>
        <v>Элиста</v>
      </c>
    </row>
    <row r="182">
      <c r="A182" s="3" t="s">
        <v>2365</v>
      </c>
      <c r="B182" s="3" t="s">
        <v>4782</v>
      </c>
      <c r="C182" s="3" t="s">
        <v>4783</v>
      </c>
      <c r="D182" s="3" t="s">
        <v>4122</v>
      </c>
      <c r="E182" s="3" t="s">
        <v>4784</v>
      </c>
      <c r="F182" s="3" t="s">
        <v>4350</v>
      </c>
      <c r="G182" s="3" t="s">
        <v>4785</v>
      </c>
      <c r="H182" t="str">
        <f t="shared" si="203"/>
        <v xml:space="preserve">Астафьева Татьяна Борисовна</v>
      </c>
      <c r="I182" s="5">
        <f>IFERROR(IF(ISNUMBER(FIND("-",C182)),DATE(VALUE(LEFT(C182,4)),VALUE(MID(C182,6,2)),VALUE(RIGHT(C182,2))),IF(ISNUMBER(FIND(".",C182)),DATE(VALUE(RIGHT(C182,4)),VALUE(MID(C182,4,2)),VALUE(LEFT(C182,2))),DATE(VALUE(RIGHT(C182,4)),VLOOKUP(TRIM(MID(C182,FIND(" ",C182)+1,LEN(C182)-FIND(" ",C182)-5)),Справочники!$M$3:$N$14,2,0),VALUE(LEFT(C182,FIND(" ",C182)-1))))),"")</f>
        <v>27453</v>
      </c>
      <c r="J182" s="6">
        <f t="shared" si="204"/>
        <v>51</v>
      </c>
      <c r="K182" t="str">
        <f t="shared" si="205"/>
        <v>ОК</v>
      </c>
      <c r="L182" s="5">
        <f>IFERROR(IF(ISNUMBER(FIND("-",G182)),DATE(VALUE(LEFT(G182,4)),VALUE(MID(G182,6,2)),VALUE(RIGHT(G182,2))),IF(ISNUMBER(FIND(".",G182)),DATE(VALUE(RIGHT(G182,4)),VALUE(MID(G182,4,2)),VALUE(LEFT(G182,2))),DATE(VALUE(RIGHT(G182,4)),VLOOKUP(TRIM(MID(G182,FIND(" ",G182)+1,LEN(G182)-FIND(" ",G182)-5)),Справочники!$M$3:$N$14,2,0),VALUE(LEFT(G182,FIND(" ",G182)-1))))),"")</f>
        <v>46388</v>
      </c>
      <c r="M182" t="str">
        <f t="shared" si="206"/>
        <v xml:space="preserve">+7 (903) 678-90-12</v>
      </c>
      <c r="N182" t="str">
        <f t="shared" si="207"/>
        <v>astafieva@mail</v>
      </c>
      <c r="O182" t="str">
        <f t="shared" si="208"/>
        <v xml:space="preserve">Ошибка Email</v>
      </c>
      <c r="P182" t="str">
        <f>IFERROR(VLOOKUP(TRIM(SUBSTITUTE(SUBSTITUTE(" "&amp;F182," г "," "),"г.","")),Справочники!$J$3:$K$102,2,0),TRIM(SUBSTITUTE(SUBSTITUTE(" "&amp;F182," г "," "),"г.","")))</f>
        <v>Орск</v>
      </c>
    </row>
    <row r="183">
      <c r="A183" s="3" t="s">
        <v>2367</v>
      </c>
      <c r="B183" s="3" t="s">
        <v>4786</v>
      </c>
      <c r="C183" s="3" t="s">
        <v>4787</v>
      </c>
      <c r="D183" s="3" t="s">
        <v>1605</v>
      </c>
      <c r="E183" s="3" t="s">
        <v>4788</v>
      </c>
      <c r="F183" s="3" t="s">
        <v>4355</v>
      </c>
      <c r="G183" s="3" t="s">
        <v>4789</v>
      </c>
      <c r="H183" t="str">
        <f t="shared" si="203"/>
        <v xml:space="preserve">Григорьев Андрей Игоревич</v>
      </c>
      <c r="I183" s="5">
        <f>IFERROR(IF(ISNUMBER(FIND("-",C183)),DATE(VALUE(LEFT(C183,4)),VALUE(MID(C183,6,2)),VALUE(RIGHT(C183,2))),IF(ISNUMBER(FIND(".",C183)),DATE(VALUE(RIGHT(C183,4)),VALUE(MID(C183,4,2)),VALUE(LEFT(C183,2))),DATE(VALUE(RIGHT(C183,4)),VLOOKUP(TRIM(MID(C183,FIND(" ",C183)+1,LEN(C183)-FIND(" ",C183)-5)),Справочники!$M$3:$N$14,2,0),VALUE(LEFT(C183,FIND(" ",C183)-1))))),"")</f>
        <v>33464</v>
      </c>
      <c r="J183" s="6">
        <f t="shared" si="204"/>
        <v>35</v>
      </c>
      <c r="K183" t="str">
        <f t="shared" si="205"/>
        <v>ОК</v>
      </c>
      <c r="L183" s="5">
        <f>IFERROR(IF(ISNUMBER(FIND("-",G183)),DATE(VALUE(LEFT(G183,4)),VALUE(MID(G183,6,2)),VALUE(RIGHT(G183,2))),IF(ISNUMBER(FIND(".",G183)),DATE(VALUE(RIGHT(G183,4)),VALUE(MID(G183,4,2)),VALUE(LEFT(G183,2))),DATE(VALUE(RIGHT(G183,4)),VLOOKUP(TRIM(MID(G183,FIND(" ",G183)+1,LEN(G183)-FIND(" ",G183)-5)),Справочники!$M$3:$N$14,2,0),VALUE(LEFT(G183,FIND(" ",G183)-1))))),"")</f>
        <v>46402</v>
      </c>
      <c r="M183" t="str">
        <f t="shared" si="206"/>
        <v xml:space="preserve">+7 (903) 678-90-12</v>
      </c>
      <c r="N183" t="str">
        <f t="shared" si="207"/>
        <v>grigoriev@yandex</v>
      </c>
      <c r="O183" t="str">
        <f t="shared" si="208"/>
        <v xml:space="preserve">Ошибка Email</v>
      </c>
      <c r="P183" t="str">
        <f>IFERROR(VLOOKUP(TRIM(SUBSTITUTE(SUBSTITUTE(" "&amp;F183," г "," "),"г.","")),Справочники!$J$3:$K$102,2,0),TRIM(SUBSTITUTE(SUBSTITUTE(" "&amp;F183," г "," "),"г.","")))</f>
        <v>Нижневартовск</v>
      </c>
    </row>
    <row r="184">
      <c r="A184" s="3" t="s">
        <v>2370</v>
      </c>
      <c r="B184" s="3" t="s">
        <v>4790</v>
      </c>
      <c r="C184" s="3" t="s">
        <v>4791</v>
      </c>
      <c r="D184" s="3" t="s">
        <v>4001</v>
      </c>
      <c r="E184" s="3" t="s">
        <v>4792</v>
      </c>
      <c r="F184" s="3" t="s">
        <v>4360</v>
      </c>
      <c r="G184" s="3" t="s">
        <v>4793</v>
      </c>
      <c r="H184" t="str">
        <f t="shared" si="203"/>
        <v xml:space="preserve">Чернова Екатерина Алексеевна</v>
      </c>
      <c r="I184" s="5">
        <f>IFERROR(IF(ISNUMBER(FIND("-",C184)),DATE(VALUE(LEFT(C184,4)),VALUE(MID(C184,6,2)),VALUE(RIGHT(C184,2))),IF(ISNUMBER(FIND(".",C184)),DATE(VALUE(RIGHT(C184,4)),VALUE(MID(C184,4,2)),VALUE(LEFT(C184,2))),DATE(VALUE(RIGHT(C184,4)),VLOOKUP(TRIM(MID(C184,FIND(" ",C184)+1,LEN(C184)-FIND(" ",C184)-5)),Справочники!$M$3:$N$14,2,0),VALUE(LEFT(C184,FIND(" ",C184)-1))))),"")</f>
        <v>30471</v>
      </c>
      <c r="J184" s="6">
        <f t="shared" si="204"/>
        <v>43</v>
      </c>
      <c r="K184" t="str">
        <f t="shared" si="205"/>
        <v>ОК</v>
      </c>
      <c r="L184" s="5">
        <f>IFERROR(IF(ISNUMBER(FIND("-",G184)),DATE(VALUE(LEFT(G184,4)),VALUE(MID(G184,6,2)),VALUE(RIGHT(G184,2))),IF(ISNUMBER(FIND(".",G184)),DATE(VALUE(RIGHT(G184,4)),VALUE(MID(G184,4,2)),VALUE(LEFT(G184,2))),DATE(VALUE(RIGHT(G184,4)),VLOOKUP(TRIM(MID(G184,FIND(" ",G184)+1,LEN(G184)-FIND(" ",G184)-5)),Справочники!$M$3:$N$14,2,0),VALUE(LEFT(G184,FIND(" ",G184)-1))))),"")</f>
        <v>46402</v>
      </c>
      <c r="M184" t="str">
        <f t="shared" si="206"/>
        <v xml:space="preserve">+7 (903) 789-01-23</v>
      </c>
      <c r="N184" t="str">
        <f t="shared" si="207"/>
        <v>chernova@gmail</v>
      </c>
      <c r="O184" t="str">
        <f t="shared" si="208"/>
        <v xml:space="preserve">Ошибка Email</v>
      </c>
      <c r="P184" t="str">
        <f>IFERROR(VLOOKUP(TRIM(SUBSTITUTE(SUBSTITUTE(" "&amp;F184," г "," "),"г.","")),Справочники!$J$3:$K$102,2,0),TRIM(SUBSTITUTE(SUBSTITUTE(" "&amp;F184," г "," "),"г.","")))</f>
        <v>Новороссийск</v>
      </c>
    </row>
    <row r="185">
      <c r="A185" s="3" t="s">
        <v>2371</v>
      </c>
      <c r="B185" s="3" t="s">
        <v>4794</v>
      </c>
      <c r="C185" s="3" t="s">
        <v>4795</v>
      </c>
      <c r="D185" s="3" t="s">
        <v>4138</v>
      </c>
      <c r="E185" s="3" t="s">
        <v>4796</v>
      </c>
      <c r="F185" s="3" t="s">
        <v>4365</v>
      </c>
      <c r="G185" s="3" t="s">
        <v>4797</v>
      </c>
      <c r="H185" t="str">
        <f t="shared" si="203"/>
        <v xml:space="preserve">Прокопенко Олег Вадимович</v>
      </c>
      <c r="I185" s="5">
        <f>IFERROR(IF(ISNUMBER(FIND("-",C185)),DATE(VALUE(LEFT(C185,4)),VALUE(MID(C185,6,2)),VALUE(RIGHT(C185,2))),IF(ISNUMBER(FIND(".",C185)),DATE(VALUE(RIGHT(C185,4)),VALUE(MID(C185,4,2)),VALUE(LEFT(C185,2))),DATE(VALUE(RIGHT(C185,4)),VLOOKUP(TRIM(MID(C185,FIND(" ",C185)+1,LEN(C185)-FIND(" ",C185)-5)),Справочники!$M$3:$N$14,2,0),VALUE(LEFT(C185,FIND(" ",C185)-1))))),"")</f>
        <v>25868</v>
      </c>
      <c r="J185" s="6">
        <f t="shared" si="204"/>
        <v>55</v>
      </c>
      <c r="K185" t="str">
        <f t="shared" si="205"/>
        <v>ОК</v>
      </c>
      <c r="L185" s="5">
        <f>IFERROR(IF(ISNUMBER(FIND("-",G185)),DATE(VALUE(LEFT(G185,4)),VALUE(MID(G185,6,2)),VALUE(RIGHT(G185,2))),IF(ISNUMBER(FIND(".",G185)),DATE(VALUE(RIGHT(G185,4)),VALUE(MID(G185,4,2)),VALUE(LEFT(G185,2))),DATE(VALUE(RIGHT(G185,4)),VLOOKUP(TRIM(MID(G185,FIND(" ",G185)+1,LEN(G185)-FIND(" ",G185)-5)),Справочники!$M$3:$N$14,2,0),VALUE(LEFT(G185,FIND(" ",G185)-1))))),"")</f>
        <v>46419</v>
      </c>
      <c r="M185" t="str">
        <f t="shared" si="206"/>
        <v xml:space="preserve">+7 (903) 789-01-23</v>
      </c>
      <c r="N185" t="str">
        <f t="shared" si="207"/>
        <v>prokopenko@mail</v>
      </c>
      <c r="O185" t="str">
        <f t="shared" si="208"/>
        <v xml:space="preserve">Ошибка Email</v>
      </c>
      <c r="P185" t="str">
        <f>IFERROR(VLOOKUP(TRIM(SUBSTITUTE(SUBSTITUTE(" "&amp;F185," г "," "),"г.","")),Справочники!$J$3:$K$102,2,0),TRIM(SUBSTITUTE(SUBSTITUTE(" "&amp;F185," г "," "),"г.","")))</f>
        <v>Химки</v>
      </c>
    </row>
    <row r="186">
      <c r="A186" s="3" t="s">
        <v>2373</v>
      </c>
      <c r="B186" s="3" t="s">
        <v>4798</v>
      </c>
      <c r="C186" s="3" t="s">
        <v>4799</v>
      </c>
      <c r="D186" s="3" t="s">
        <v>4144</v>
      </c>
      <c r="E186" s="3" t="s">
        <v>4800</v>
      </c>
      <c r="F186" s="3" t="s">
        <v>4370</v>
      </c>
      <c r="G186" s="3" t="s">
        <v>4801</v>
      </c>
      <c r="H186" t="str">
        <f t="shared" si="203"/>
        <v xml:space="preserve">Сафонова Ирина Александровна</v>
      </c>
      <c r="I186" s="5">
        <f>IFERROR(IF(ISNUMBER(FIND("-",C186)),DATE(VALUE(LEFT(C186,4)),VALUE(MID(C186,6,2)),VALUE(RIGHT(C186,2))),IF(ISNUMBER(FIND(".",C186)),DATE(VALUE(RIGHT(C186,4)),VALUE(MID(C186,4,2)),VALUE(LEFT(C186,2))),DATE(VALUE(RIGHT(C186,4)),VLOOKUP(TRIM(MID(C186,FIND(" ",C186)+1,LEN(C186)-FIND(" ",C186)-5)),Справочники!$M$3:$N$14,2,0),VALUE(LEFT(C186,FIND(" ",C186)-1))))),"")</f>
        <v>32221</v>
      </c>
      <c r="J186" s="6">
        <f t="shared" si="204"/>
        <v>38</v>
      </c>
      <c r="K186" t="str">
        <f t="shared" si="205"/>
        <v>ОК</v>
      </c>
      <c r="L186" s="5">
        <f>IFERROR(IF(ISNUMBER(FIND("-",G186)),DATE(VALUE(LEFT(G186,4)),VALUE(MID(G186,6,2)),VALUE(RIGHT(G186,2))),IF(ISNUMBER(FIND(".",G186)),DATE(VALUE(RIGHT(G186,4)),VALUE(MID(G186,4,2)),VALUE(LEFT(G186,2))),DATE(VALUE(RIGHT(G186,4)),VLOOKUP(TRIM(MID(G186,FIND(" ",G186)+1,LEN(G186)-FIND(" ",G186)-5)),Справочники!$M$3:$N$14,2,0),VALUE(LEFT(G186,FIND(" ",G186)-1))))),"")</f>
        <v>46428</v>
      </c>
      <c r="M186" t="str">
        <f t="shared" si="206"/>
        <v xml:space="preserve">+7 (903) 789-01-23</v>
      </c>
      <c r="N186" t="str">
        <f t="shared" si="207"/>
        <v>safonova@yandex</v>
      </c>
      <c r="O186" t="str">
        <f t="shared" si="208"/>
        <v xml:space="preserve">Ошибка Email</v>
      </c>
      <c r="P186" t="str">
        <f>IFERROR(VLOOKUP(TRIM(SUBSTITUTE(SUBSTITUTE(" "&amp;F186," г "," "),"г.","")),Справочники!$J$3:$K$102,2,0),TRIM(SUBSTITUTE(SUBSTITUTE(" "&amp;F186," г "," "),"г.","")))</f>
        <v>Подольск</v>
      </c>
    </row>
    <row r="187">
      <c r="A187" s="3" t="s">
        <v>2375</v>
      </c>
      <c r="B187" s="3" t="s">
        <v>4802</v>
      </c>
      <c r="C187" s="3" t="s">
        <v>4803</v>
      </c>
      <c r="D187" s="3" t="s">
        <v>4150</v>
      </c>
      <c r="E187" s="3" t="s">
        <v>4804</v>
      </c>
      <c r="F187" s="3" t="s">
        <v>4375</v>
      </c>
      <c r="G187" s="3" t="s">
        <v>4805</v>
      </c>
      <c r="H187" t="str">
        <f t="shared" si="203"/>
        <v xml:space="preserve">Колесов Иван Михайлович</v>
      </c>
      <c r="I187" s="5">
        <f>IFERROR(IF(ISNUMBER(FIND("-",C187)),DATE(VALUE(LEFT(C187,4)),VALUE(MID(C187,6,2)),VALUE(RIGHT(C187,2))),IF(ISNUMBER(FIND(".",C187)),DATE(VALUE(RIGHT(C187,4)),VALUE(MID(C187,4,2)),VALUE(LEFT(C187,2))),DATE(VALUE(RIGHT(C187,4)),VLOOKUP(TRIM(MID(C187,FIND(" ",C187)+1,LEN(C187)-FIND(" ",C187)-5)),Справочники!$M$3:$N$14,2,0),VALUE(LEFT(C187,FIND(" ",C187)-1))))),"")</f>
        <v>35038</v>
      </c>
      <c r="J187" s="6">
        <f t="shared" si="204"/>
        <v>30</v>
      </c>
      <c r="K187" t="str">
        <f t="shared" si="205"/>
        <v>ОК</v>
      </c>
      <c r="L187" s="5">
        <f>IFERROR(IF(ISNUMBER(FIND("-",G187)),DATE(VALUE(LEFT(G187,4)),VALUE(MID(G187,6,2)),VALUE(RIGHT(G187,2))),IF(ISNUMBER(FIND(".",G187)),DATE(VALUE(RIGHT(G187,4)),VALUE(MID(G187,4,2)),VALUE(LEFT(G187,2))),DATE(VALUE(RIGHT(G187,4)),VLOOKUP(TRIM(MID(G187,FIND(" ",G187)+1,LEN(G187)-FIND(" ",G187)-5)),Справочники!$M$3:$N$14,2,0),VALUE(LEFT(G187,FIND(" ",G187)-1))))),"")</f>
        <v>46428</v>
      </c>
      <c r="M187" t="str">
        <f t="shared" si="206"/>
        <v xml:space="preserve">+7 (903) 890-12-34</v>
      </c>
      <c r="N187" t="str">
        <f t="shared" si="207"/>
        <v>kolesov@gmail</v>
      </c>
      <c r="O187" t="str">
        <f t="shared" si="208"/>
        <v xml:space="preserve">Ошибка Email</v>
      </c>
      <c r="P187" t="str">
        <f>IFERROR(VLOOKUP(TRIM(SUBSTITUTE(SUBSTITUTE(" "&amp;F187," г "," "),"г.","")),Справочники!$J$3:$K$102,2,0),TRIM(SUBSTITUTE(SUBSTITUTE(" "&amp;F187," г "," "),"г.","")))</f>
        <v>Балашиха</v>
      </c>
    </row>
    <row r="188">
      <c r="A188" s="3" t="s">
        <v>2378</v>
      </c>
      <c r="B188" s="3" t="s">
        <v>4806</v>
      </c>
      <c r="C188" s="3" t="s">
        <v>4807</v>
      </c>
      <c r="D188" s="3" t="s">
        <v>4007</v>
      </c>
      <c r="E188" s="3" t="s">
        <v>4808</v>
      </c>
      <c r="F188" s="3" t="s">
        <v>4380</v>
      </c>
      <c r="G188" s="3" t="s">
        <v>4809</v>
      </c>
      <c r="H188" t="str">
        <f t="shared" si="203"/>
        <v xml:space="preserve">Трофимова Майя Сергеевна</v>
      </c>
      <c r="I188" s="5">
        <f>IFERROR(IF(ISNUMBER(FIND("-",C188)),DATE(VALUE(LEFT(C188,4)),VALUE(MID(C188,6,2)),VALUE(RIGHT(C188,2))),IF(ISNUMBER(FIND(".",C188)),DATE(VALUE(RIGHT(C188,4)),VALUE(MID(C188,4,2)),VALUE(LEFT(C188,2))),DATE(VALUE(RIGHT(C188,4)),VLOOKUP(TRIM(MID(C188,FIND(" ",C188)+1,LEN(C188)-FIND(" ",C188)-5)),Справочники!$M$3:$N$14,2,0),VALUE(LEFT(C188,FIND(" ",C188)-1))))),"")</f>
        <v>28328</v>
      </c>
      <c r="J188" s="6">
        <f t="shared" si="204"/>
        <v>49</v>
      </c>
      <c r="K188" t="str">
        <f t="shared" si="205"/>
        <v>ОК</v>
      </c>
      <c r="L188" s="5">
        <f>IFERROR(IF(ISNUMBER(FIND("-",G188)),DATE(VALUE(LEFT(G188,4)),VALUE(MID(G188,6,2)),VALUE(RIGHT(G188,2))),IF(ISNUMBER(FIND(".",G188)),DATE(VALUE(RIGHT(G188,4)),VALUE(MID(G188,4,2)),VALUE(LEFT(G188,2))),DATE(VALUE(RIGHT(G188,4)),VLOOKUP(TRIM(MID(G188,FIND(" ",G188)+1,LEN(G188)-FIND(" ",G188)-5)),Справочники!$M$3:$N$14,2,0),VALUE(LEFT(G188,FIND(" ",G188)-1))))),"")</f>
        <v>46447</v>
      </c>
      <c r="M188" t="str">
        <f t="shared" si="206"/>
        <v xml:space="preserve">+7 (903) 890-12-34</v>
      </c>
      <c r="N188" t="str">
        <f t="shared" si="207"/>
        <v>trofimova@mail</v>
      </c>
      <c r="O188" t="str">
        <f t="shared" si="208"/>
        <v xml:space="preserve">Ошибка Email</v>
      </c>
      <c r="P188" t="str">
        <f>IFERROR(VLOOKUP(TRIM(SUBSTITUTE(SUBSTITUTE(" "&amp;F188," г "," "),"г.","")),Справочники!$J$3:$K$102,2,0),TRIM(SUBSTITUTE(SUBSTITUTE(" "&amp;F188," г "," "),"г.","")))</f>
        <v>Сургут</v>
      </c>
    </row>
    <row r="189">
      <c r="A189" s="3" t="s">
        <v>2380</v>
      </c>
      <c r="B189" s="3" t="s">
        <v>4810</v>
      </c>
      <c r="C189" s="3" t="s">
        <v>4811</v>
      </c>
      <c r="D189" s="3" t="s">
        <v>1619</v>
      </c>
      <c r="E189" s="3" t="s">
        <v>4812</v>
      </c>
      <c r="F189" s="3" t="s">
        <v>4385</v>
      </c>
      <c r="G189" s="3" t="s">
        <v>4813</v>
      </c>
      <c r="H189" t="str">
        <f t="shared" si="203"/>
        <v xml:space="preserve">Василенко Константин Юрьевич</v>
      </c>
      <c r="I189" s="5">
        <f>IFERROR(IF(ISNUMBER(FIND("-",C189)),DATE(VALUE(LEFT(C189,4)),VALUE(MID(C189,6,2)),VALUE(RIGHT(C189,2))),IF(ISNUMBER(FIND(".",C189)),DATE(VALUE(RIGHT(C189,4)),VALUE(MID(C189,4,2)),VALUE(LEFT(C189,2))),DATE(VALUE(RIGHT(C189,4)),VLOOKUP(TRIM(MID(C189,FIND(" ",C189)+1,LEN(C189)-FIND(" ",C189)-5)),Справочники!$M$3:$N$14,2,0),VALUE(LEFT(C189,FIND(" ",C189)-1))))),"")</f>
        <v>31548</v>
      </c>
      <c r="J189" s="6">
        <f t="shared" si="204"/>
        <v>40</v>
      </c>
      <c r="K189" t="str">
        <f t="shared" si="205"/>
        <v>ОК</v>
      </c>
      <c r="L189" s="5">
        <f>IFERROR(IF(ISNUMBER(FIND("-",G189)),DATE(VALUE(LEFT(G189,4)),VALUE(MID(G189,6,2)),VALUE(RIGHT(G189,2))),IF(ISNUMBER(FIND(".",G189)),DATE(VALUE(RIGHT(G189,4)),VALUE(MID(G189,4,2)),VALUE(LEFT(G189,2))),DATE(VALUE(RIGHT(G189,4)),VLOOKUP(TRIM(MID(G189,FIND(" ",G189)+1,LEN(G189)-FIND(" ",G189)-5)),Справочники!$M$3:$N$14,2,0),VALUE(LEFT(G189,FIND(" ",G189)-1))))),"")</f>
        <v>46461</v>
      </c>
      <c r="M189" t="str">
        <f t="shared" si="206"/>
        <v xml:space="preserve">+7 (903) 890-12-34</v>
      </c>
      <c r="N189" t="str">
        <f t="shared" si="207"/>
        <v>vasilenko@yandex</v>
      </c>
      <c r="O189" t="str">
        <f t="shared" si="208"/>
        <v xml:space="preserve">Ошибка Email</v>
      </c>
      <c r="P189" t="str">
        <f>IFERROR(VLOOKUP(TRIM(SUBSTITUTE(SUBSTITUTE(" "&amp;F189," г "," "),"г.","")),Справочники!$J$3:$K$102,2,0),TRIM(SUBSTITUTE(SUBSTITUTE(" "&amp;F189," г "," "),"г.","")))</f>
        <v>Армавир</v>
      </c>
    </row>
    <row r="190">
      <c r="A190" s="3" t="s">
        <v>2383</v>
      </c>
      <c r="B190" s="3" t="s">
        <v>4814</v>
      </c>
      <c r="C190" s="3" t="s">
        <v>4815</v>
      </c>
      <c r="D190" s="3" t="s">
        <v>4018</v>
      </c>
      <c r="E190" s="3" t="s">
        <v>4816</v>
      </c>
      <c r="F190" s="3" t="s">
        <v>4390</v>
      </c>
      <c r="G190" s="3" t="s">
        <v>4817</v>
      </c>
      <c r="H190" t="str">
        <f t="shared" si="203"/>
        <v xml:space="preserve">Юрченко Наталья Станиславовна</v>
      </c>
      <c r="I190" s="5">
        <f>IFERROR(IF(ISNUMBER(FIND("-",C190)),DATE(VALUE(LEFT(C190,4)),VALUE(MID(C190,6,2)),VALUE(RIGHT(C190,2))),IF(ISNUMBER(FIND(".",C190)),DATE(VALUE(RIGHT(C190,4)),VALUE(MID(C190,4,2)),VALUE(LEFT(C190,2))),DATE(VALUE(RIGHT(C190,4)),VLOOKUP(TRIM(MID(C190,FIND(" ",C190)+1,LEN(C190)-FIND(" ",C190)-5)),Справочники!$M$3:$N$14,2,0),VALUE(LEFT(C190,FIND(" ",C190)-1))))),"")</f>
        <v>29228</v>
      </c>
      <c r="J190" s="6">
        <f t="shared" si="204"/>
        <v>46</v>
      </c>
      <c r="K190" t="str">
        <f t="shared" si="205"/>
        <v>ОК</v>
      </c>
      <c r="L190" s="5">
        <f>IFERROR(IF(ISNUMBER(FIND("-",G190)),DATE(VALUE(LEFT(G190,4)),VALUE(MID(G190,6,2)),VALUE(RIGHT(G190,2))),IF(ISNUMBER(FIND(".",G190)),DATE(VALUE(RIGHT(G190,4)),VALUE(MID(G190,4,2)),VALUE(LEFT(G190,2))),DATE(VALUE(RIGHT(G190,4)),VLOOKUP(TRIM(MID(G190,FIND(" ",G190)+1,LEN(G190)-FIND(" ",G190)-5)),Справочники!$M$3:$N$14,2,0),VALUE(LEFT(G190,FIND(" ",G190)-1))))),"")</f>
        <v>46461</v>
      </c>
      <c r="M190" t="str">
        <f t="shared" si="206"/>
        <v xml:space="preserve">+7 (903) 901-23-45</v>
      </c>
      <c r="N190" t="str">
        <f t="shared" si="207"/>
        <v>yurchenko@gmail</v>
      </c>
      <c r="O190" t="str">
        <f t="shared" si="208"/>
        <v xml:space="preserve">Ошибка Email</v>
      </c>
      <c r="P190" t="str">
        <f>IFERROR(VLOOKUP(TRIM(SUBSTITUTE(SUBSTITUTE(" "&amp;F190," г "," "),"г.","")),Справочники!$J$3:$K$102,2,0),TRIM(SUBSTITUTE(SUBSTITUTE(" "&amp;F190," г "," "),"г.","")))</f>
        <v>Волжский</v>
      </c>
    </row>
    <row r="191">
      <c r="A191" s="3" t="s">
        <v>2384</v>
      </c>
      <c r="B191" s="3" t="s">
        <v>4818</v>
      </c>
      <c r="C191" s="3" t="s">
        <v>4819</v>
      </c>
      <c r="D191" s="3" t="s">
        <v>1626</v>
      </c>
      <c r="E191" s="3" t="s">
        <v>4820</v>
      </c>
      <c r="F191" s="3" t="s">
        <v>4395</v>
      </c>
      <c r="G191" s="3" t="s">
        <v>4821</v>
      </c>
      <c r="H191" t="str">
        <f t="shared" si="203"/>
        <v xml:space="preserve">Прокофьев Евгений Владиславович</v>
      </c>
      <c r="I191" s="5">
        <f>IFERROR(IF(ISNUMBER(FIND("-",C191)),DATE(VALUE(LEFT(C191,4)),VALUE(MID(C191,6,2)),VALUE(RIGHT(C191,2))),IF(ISNUMBER(FIND(".",C191)),DATE(VALUE(RIGHT(C191,4)),VALUE(MID(C191,4,2)),VALUE(LEFT(C191,2))),DATE(VALUE(RIGHT(C191,4)),VLOOKUP(TRIM(MID(C191,FIND(" ",C191)+1,LEN(C191)-FIND(" ",C191)-5)),Справочники!$M$3:$N$14,2,0),VALUE(LEFT(C191,FIND(" ",C191)-1))))),"")</f>
        <v>27275</v>
      </c>
      <c r="J191" s="6">
        <f t="shared" si="204"/>
        <v>52</v>
      </c>
      <c r="K191" t="str">
        <f t="shared" si="205"/>
        <v>ОК</v>
      </c>
      <c r="L191" s="5">
        <f>IFERROR(IF(ISNUMBER(FIND("-",G191)),DATE(VALUE(LEFT(G191,4)),VALUE(MID(G191,6,2)),VALUE(RIGHT(G191,2))),IF(ISNUMBER(FIND(".",G191)),DATE(VALUE(RIGHT(G191,4)),VALUE(MID(G191,4,2)),VALUE(LEFT(G191,2))),DATE(VALUE(RIGHT(G191,4)),VLOOKUP(TRIM(MID(G191,FIND(" ",G191)+1,LEN(G191)-FIND(" ",G191)-5)),Справочники!$M$3:$N$14,2,0),VALUE(LEFT(G191,FIND(" ",G191)-1))))),"")</f>
        <v>46478</v>
      </c>
      <c r="M191" t="str">
        <f t="shared" si="206"/>
        <v xml:space="preserve">+7 (903) 901-23-45</v>
      </c>
      <c r="N191" t="str">
        <f t="shared" si="207"/>
        <v>prokofiev@mail</v>
      </c>
      <c r="O191" t="str">
        <f t="shared" si="208"/>
        <v xml:space="preserve">Ошибка Email</v>
      </c>
      <c r="P191" t="str">
        <f>IFERROR(VLOOKUP(TRIM(SUBSTITUTE(SUBSTITUTE(" "&amp;F191," г "," "),"г.","")),Справочники!$J$3:$K$102,2,0),TRIM(SUBSTITUTE(SUBSTITUTE(" "&amp;F191," г "," "),"г.","")))</f>
        <v>Шахты</v>
      </c>
    </row>
    <row r="192">
      <c r="A192" s="3" t="s">
        <v>2387</v>
      </c>
      <c r="B192" s="3" t="s">
        <v>4822</v>
      </c>
      <c r="C192" s="3" t="s">
        <v>4823</v>
      </c>
      <c r="D192" s="3" t="s">
        <v>4176</v>
      </c>
      <c r="E192" s="3" t="s">
        <v>4824</v>
      </c>
      <c r="F192" s="3" t="s">
        <v>4400</v>
      </c>
      <c r="G192" s="3" t="s">
        <v>4825</v>
      </c>
      <c r="H192" t="str">
        <f t="shared" si="203"/>
        <v xml:space="preserve">Зыкова Анна Алексеевна</v>
      </c>
      <c r="I192" s="5">
        <f>IFERROR(IF(ISNUMBER(FIND("-",C192)),DATE(VALUE(LEFT(C192,4)),VALUE(MID(C192,6,2)),VALUE(RIGHT(C192,2))),IF(ISNUMBER(FIND(".",C192)),DATE(VALUE(RIGHT(C192,4)),VALUE(MID(C192,4,2)),VALUE(LEFT(C192,2))),DATE(VALUE(RIGHT(C192,4)),VLOOKUP(TRIM(MID(C192,FIND(" ",C192)+1,LEN(C192)-FIND(" ",C192)-5)),Справочники!$M$3:$N$14,2,0),VALUE(LEFT(C192,FIND(" ",C192)-1))))),"")</f>
        <v>32837</v>
      </c>
      <c r="J192" s="6">
        <f t="shared" si="204"/>
        <v>36</v>
      </c>
      <c r="K192" t="str">
        <f t="shared" si="205"/>
        <v>ОК</v>
      </c>
      <c r="L192" s="5">
        <f>IFERROR(IF(ISNUMBER(FIND("-",G192)),DATE(VALUE(LEFT(G192,4)),VALUE(MID(G192,6,2)),VALUE(RIGHT(G192,2))),IF(ISNUMBER(FIND(".",G192)),DATE(VALUE(RIGHT(G192,4)),VALUE(MID(G192,4,2)),VALUE(LEFT(G192,2))),DATE(VALUE(RIGHT(G192,4)),VLOOKUP(TRIM(MID(G192,FIND(" ",G192)+1,LEN(G192)-FIND(" ",G192)-5)),Справочники!$M$3:$N$14,2,0),VALUE(LEFT(G192,FIND(" ",G192)-1))))),"")</f>
        <v>46487</v>
      </c>
      <c r="M192" t="str">
        <f t="shared" si="206"/>
        <v xml:space="preserve">+7 (903) 901-23-45</v>
      </c>
      <c r="N192" t="str">
        <f t="shared" si="207"/>
        <v>zykova@yandex</v>
      </c>
      <c r="O192" t="str">
        <f t="shared" si="208"/>
        <v xml:space="preserve">Ошибка Email</v>
      </c>
      <c r="P192" t="str">
        <f>IFERROR(VLOOKUP(TRIM(SUBSTITUTE(SUBSTITUTE(" "&amp;F192," г "," "),"г.","")),Справочники!$J$3:$K$102,2,0),TRIM(SUBSTITUTE(SUBSTITUTE(" "&amp;F192," г "," "),"г.","")))</f>
        <v>Златоуст</v>
      </c>
    </row>
    <row r="193">
      <c r="A193" s="3" t="s">
        <v>2389</v>
      </c>
      <c r="B193" s="3" t="s">
        <v>4826</v>
      </c>
      <c r="C193" s="3" t="s">
        <v>4827</v>
      </c>
      <c r="D193" s="3" t="s">
        <v>4182</v>
      </c>
      <c r="E193" s="3" t="s">
        <v>4828</v>
      </c>
      <c r="F193" s="3" t="s">
        <v>4405</v>
      </c>
      <c r="G193" s="3" t="s">
        <v>4829</v>
      </c>
      <c r="H193" t="str">
        <f t="shared" si="203"/>
        <v xml:space="preserve">Шубин Илья Олегович</v>
      </c>
      <c r="I193" s="5">
        <f>IFERROR(IF(ISNUMBER(FIND("-",C193)),DATE(VALUE(LEFT(C193,4)),VALUE(MID(C193,6,2)),VALUE(RIGHT(C193,2))),IF(ISNUMBER(FIND(".",C193)),DATE(VALUE(RIGHT(C193,4)),VALUE(MID(C193,4,2)),VALUE(LEFT(C193,2))),DATE(VALUE(RIGHT(C193,4)),VLOOKUP(TRIM(MID(C193,FIND(" ",C193)+1,LEN(C193)-FIND(" ",C193)-5)),Справочники!$M$3:$N$14,2,0),VALUE(LEFT(C193,FIND(" ",C193)-1))))),"")</f>
        <v>31149</v>
      </c>
      <c r="J193" s="6">
        <f t="shared" si="204"/>
        <v>41</v>
      </c>
      <c r="K193" t="str">
        <f t="shared" si="205"/>
        <v>ОК</v>
      </c>
      <c r="L193" s="5">
        <f>IFERROR(IF(ISNUMBER(FIND("-",G193)),DATE(VALUE(LEFT(G193,4)),VALUE(MID(G193,6,2)),VALUE(RIGHT(G193,2))),IF(ISNUMBER(FIND(".",G193)),DATE(VALUE(RIGHT(G193,4)),VALUE(MID(G193,4,2)),VALUE(LEFT(G193,2))),DATE(VALUE(RIGHT(G193,4)),VLOOKUP(TRIM(MID(G193,FIND(" ",G193)+1,LEN(G193)-FIND(" ",G193)-5)),Справочники!$M$3:$N$14,2,0),VALUE(LEFT(G193,FIND(" ",G193)-1))))),"")</f>
        <v>46487</v>
      </c>
      <c r="M193" t="str">
        <f t="shared" si="206"/>
        <v xml:space="preserve">+7 (903) 012-34-56</v>
      </c>
      <c r="N193" t="str">
        <f t="shared" si="207"/>
        <v>shubin@gmail</v>
      </c>
      <c r="O193" t="str">
        <f t="shared" si="208"/>
        <v xml:space="preserve">Ошибка Email</v>
      </c>
      <c r="P193" t="str">
        <f>IFERROR(VLOOKUP(TRIM(SUBSTITUTE(SUBSTITUTE(" "&amp;F193," г "," "),"г.","")),Справочники!$J$3:$K$102,2,0),TRIM(SUBSTITUTE(SUBSTITUTE(" "&amp;F193," г "," "),"г.","")))</f>
        <v>Ангарск</v>
      </c>
    </row>
    <row r="194">
      <c r="A194" s="3" t="s">
        <v>2392</v>
      </c>
      <c r="B194" s="3" t="s">
        <v>4830</v>
      </c>
      <c r="C194" s="3" t="s">
        <v>4831</v>
      </c>
      <c r="D194" s="3" t="s">
        <v>4188</v>
      </c>
      <c r="E194" s="3" t="s">
        <v>4832</v>
      </c>
      <c r="F194" s="3" t="s">
        <v>4410</v>
      </c>
      <c r="G194" s="3" t="s">
        <v>4833</v>
      </c>
      <c r="H194" t="str">
        <f t="shared" si="203"/>
        <v xml:space="preserve">Жукова Елена Сергеевна</v>
      </c>
      <c r="I194" s="5">
        <f>IFERROR(IF(ISNUMBER(FIND("-",C194)),DATE(VALUE(LEFT(C194,4)),VALUE(MID(C194,6,2)),VALUE(RIGHT(C194,2))),IF(ISNUMBER(FIND(".",C194)),DATE(VALUE(RIGHT(C194,4)),VALUE(MID(C194,4,2)),VALUE(LEFT(C194,2))),DATE(VALUE(RIGHT(C194,4)),VLOOKUP(TRIM(MID(C194,FIND(" ",C194)+1,LEN(C194)-FIND(" ",C194)-5)),Справочники!$M$3:$N$14,2,0),VALUE(LEFT(C194,FIND(" ",C194)-1))))),"")</f>
        <v>28047</v>
      </c>
      <c r="J194" s="6">
        <f t="shared" si="204"/>
        <v>50</v>
      </c>
      <c r="K194" t="str">
        <f t="shared" si="205"/>
        <v>ОК</v>
      </c>
      <c r="L194" s="5">
        <f>IFERROR(IF(ISNUMBER(FIND("-",G194)),DATE(VALUE(LEFT(G194,4)),VALUE(MID(G194,6,2)),VALUE(RIGHT(G194,2))),IF(ISNUMBER(FIND(".",G194)),DATE(VALUE(RIGHT(G194,4)),VALUE(MID(G194,4,2)),VALUE(LEFT(G194,2))),DATE(VALUE(RIGHT(G194,4)),VLOOKUP(TRIM(MID(G194,FIND(" ",G194)+1,LEN(G194)-FIND(" ",G194)-5)),Справочники!$M$3:$N$14,2,0),VALUE(LEFT(G194,FIND(" ",G194)-1))))),"")</f>
        <v>46508</v>
      </c>
      <c r="M194" t="str">
        <f t="shared" si="206"/>
        <v xml:space="preserve">+7 (903) 012-34-56</v>
      </c>
      <c r="N194" t="str">
        <f t="shared" si="207"/>
        <v>zhukova@mail</v>
      </c>
      <c r="O194" t="str">
        <f t="shared" si="208"/>
        <v xml:space="preserve">Ошибка Email</v>
      </c>
      <c r="P194" t="str">
        <f>IFERROR(VLOOKUP(TRIM(SUBSTITUTE(SUBSTITUTE(" "&amp;F194," г "," "),"г.","")),Справочники!$J$3:$K$102,2,0),TRIM(SUBSTITUTE(SUBSTITUTE(" "&amp;F194," г "," "),"г.","")))</f>
        <v>Озёрск</v>
      </c>
    </row>
    <row r="195">
      <c r="A195" s="3" t="s">
        <v>2393</v>
      </c>
      <c r="B195" s="3" t="s">
        <v>4834</v>
      </c>
      <c r="C195" s="3" t="s">
        <v>4835</v>
      </c>
      <c r="D195" s="3" t="s">
        <v>1633</v>
      </c>
      <c r="E195" s="3" t="s">
        <v>4836</v>
      </c>
      <c r="F195" s="3" t="s">
        <v>4415</v>
      </c>
      <c r="G195" s="3" t="s">
        <v>4837</v>
      </c>
      <c r="H195" t="str">
        <f t="shared" si="203"/>
        <v xml:space="preserve">Баранов Андрей Владимирович</v>
      </c>
      <c r="I195" s="5">
        <f>IFERROR(IF(ISNUMBER(FIND("-",C195)),DATE(VALUE(LEFT(C195,4)),VALUE(MID(C195,6,2)),VALUE(RIGHT(C195,2))),IF(ISNUMBER(FIND(".",C195)),DATE(VALUE(RIGHT(C195,4)),VALUE(MID(C195,4,2)),VALUE(LEFT(C195,2))),DATE(VALUE(RIGHT(C195,4)),VLOOKUP(TRIM(MID(C195,FIND(" ",C195)+1,LEN(C195)-FIND(" ",C195)-5)),Справочники!$M$3:$N$14,2,0),VALUE(LEFT(C195,FIND(" ",C195)-1))))),"")</f>
        <v>33030</v>
      </c>
      <c r="J195" s="6">
        <f t="shared" si="204"/>
        <v>36</v>
      </c>
      <c r="K195" t="str">
        <f t="shared" si="205"/>
        <v>ОК</v>
      </c>
      <c r="L195" s="5">
        <f>IFERROR(IF(ISNUMBER(FIND("-",G195)),DATE(VALUE(LEFT(G195,4)),VALUE(MID(G195,6,2)),VALUE(RIGHT(G195,2))),IF(ISNUMBER(FIND(".",G195)),DATE(VALUE(RIGHT(G195,4)),VALUE(MID(G195,4,2)),VALUE(LEFT(G195,2))),DATE(VALUE(RIGHT(G195,4)),VLOOKUP(TRIM(MID(G195,FIND(" ",G195)+1,LEN(G195)-FIND(" ",G195)-5)),Справочники!$M$3:$N$14,2,0),VALUE(LEFT(G195,FIND(" ",G195)-1))))),"")</f>
        <v>46522</v>
      </c>
      <c r="M195" t="str">
        <f t="shared" si="206"/>
        <v xml:space="preserve">+7 (903) 012-34-56</v>
      </c>
      <c r="N195" t="str">
        <f t="shared" si="207"/>
        <v>baranov@yandex</v>
      </c>
      <c r="O195" t="str">
        <f t="shared" si="208"/>
        <v xml:space="preserve">Ошибка Email</v>
      </c>
      <c r="P195" t="str">
        <f>IFERROR(VLOOKUP(TRIM(SUBSTITUTE(SUBSTITUTE(" "&amp;F195," г "," "),"г.","")),Справочники!$J$3:$K$102,2,0),TRIM(SUBSTITUTE(SUBSTITUTE(" "&amp;F195," г "," "),"г.","")))</f>
        <v>Орел</v>
      </c>
    </row>
    <row r="196">
      <c r="A196" s="3" t="s">
        <v>2396</v>
      </c>
      <c r="B196" s="3" t="s">
        <v>4838</v>
      </c>
      <c r="C196" s="3" t="s">
        <v>4839</v>
      </c>
      <c r="D196" s="3" t="s">
        <v>4034</v>
      </c>
      <c r="E196" s="3" t="s">
        <v>4840</v>
      </c>
      <c r="F196" s="3" t="s">
        <v>4205</v>
      </c>
      <c r="G196" s="3" t="s">
        <v>4841</v>
      </c>
      <c r="H196" t="str">
        <f t="shared" si="203"/>
        <v xml:space="preserve">Гурова Инна Павловна</v>
      </c>
      <c r="I196" s="5">
        <f>IFERROR(IF(ISNUMBER(FIND("-",C196)),DATE(VALUE(LEFT(C196,4)),VALUE(MID(C196,6,2)),VALUE(RIGHT(C196,2))),IF(ISNUMBER(FIND(".",C196)),DATE(VALUE(RIGHT(C196,4)),VALUE(MID(C196,4,2)),VALUE(LEFT(C196,2))),DATE(VALUE(RIGHT(C196,4)),VLOOKUP(TRIM(MID(C196,FIND(" ",C196)+1,LEN(C196)-FIND(" ",C196)-5)),Справочники!$M$3:$N$14,2,0),VALUE(LEFT(C196,FIND(" ",C196)-1))))),"")</f>
        <v>30368</v>
      </c>
      <c r="J196" s="6">
        <f t="shared" si="204"/>
        <v>43</v>
      </c>
      <c r="K196" t="str">
        <f t="shared" si="205"/>
        <v>ОК</v>
      </c>
      <c r="L196" s="5">
        <f>IFERROR(IF(ISNUMBER(FIND("-",G196)),DATE(VALUE(LEFT(G196,4)),VALUE(MID(G196,6,2)),VALUE(RIGHT(G196,2))),IF(ISNUMBER(FIND(".",G196)),DATE(VALUE(RIGHT(G196,4)),VALUE(MID(G196,4,2)),VALUE(LEFT(G196,2))),DATE(VALUE(RIGHT(G196,4)),VLOOKUP(TRIM(MID(G196,FIND(" ",G196)+1,LEN(G196)-FIND(" ",G196)-5)),Справочники!$M$3:$N$14,2,0),VALUE(LEFT(G196,FIND(" ",G196)-1))))),"")</f>
        <v>46522</v>
      </c>
      <c r="M196" t="str">
        <f t="shared" si="206"/>
        <v xml:space="preserve">+7 (903) 123-45-67</v>
      </c>
      <c r="N196" t="str">
        <f t="shared" si="207"/>
        <v>gurova@gmail</v>
      </c>
      <c r="O196" t="str">
        <f t="shared" si="208"/>
        <v xml:space="preserve">Ошибка Email</v>
      </c>
      <c r="P196" t="str">
        <f>IFERROR(VLOOKUP(TRIM(SUBSTITUTE(SUBSTITUTE(" "&amp;F196," г "," "),"г.","")),Справочники!$J$3:$K$102,2,0),TRIM(SUBSTITUTE(SUBSTITUTE(" "&amp;F196," г "," "),"г.","")))</f>
        <v>Якутск</v>
      </c>
    </row>
    <row r="197">
      <c r="A197" s="3" t="s">
        <v>2397</v>
      </c>
      <c r="B197" s="3" t="s">
        <v>4842</v>
      </c>
      <c r="C197" s="3" t="s">
        <v>4843</v>
      </c>
      <c r="D197" s="3" t="s">
        <v>4040</v>
      </c>
      <c r="E197" s="3" t="s">
        <v>4844</v>
      </c>
      <c r="F197" s="3" t="s">
        <v>4152</v>
      </c>
      <c r="G197" s="3" t="s">
        <v>4845</v>
      </c>
      <c r="H197" t="str">
        <f t="shared" si="203"/>
        <v xml:space="preserve">Лазарев Алексей Олегович</v>
      </c>
      <c r="I197" s="5">
        <f>IFERROR(IF(ISNUMBER(FIND("-",C197)),DATE(VALUE(LEFT(C197,4)),VALUE(MID(C197,6,2)),VALUE(RIGHT(C197,2))),IF(ISNUMBER(FIND(".",C197)),DATE(VALUE(RIGHT(C197,4)),VALUE(MID(C197,4,2)),VALUE(LEFT(C197,2))),DATE(VALUE(RIGHT(C197,4)),VLOOKUP(TRIM(MID(C197,FIND(" ",C197)+1,LEN(C197)-FIND(" ",C197)-5)),Справочники!$M$3:$N$14,2,0),VALUE(LEFT(C197,FIND(" ",C197)-1))))),"")</f>
        <v>26162</v>
      </c>
      <c r="J197" s="6">
        <f t="shared" si="204"/>
        <v>55</v>
      </c>
      <c r="K197" t="str">
        <f t="shared" si="205"/>
        <v>ОК</v>
      </c>
      <c r="L197" s="5">
        <f>IFERROR(IF(ISNUMBER(FIND("-",G197)),DATE(VALUE(LEFT(G197,4)),VALUE(MID(G197,6,2)),VALUE(RIGHT(G197,2))),IF(ISNUMBER(FIND(".",G197)),DATE(VALUE(RIGHT(G197,4)),VALUE(MID(G197,4,2)),VALUE(LEFT(G197,2))),DATE(VALUE(RIGHT(G197,4)),VLOOKUP(TRIM(MID(G197,FIND(" ",G197)+1,LEN(G197)-FIND(" ",G197)-5)),Справочники!$M$3:$N$14,2,0),VALUE(LEFT(G197,FIND(" ",G197)-1))))),"")</f>
        <v>46539</v>
      </c>
      <c r="M197" t="str">
        <f t="shared" si="206"/>
        <v xml:space="preserve">+7 (903) 123-45-67</v>
      </c>
      <c r="N197" t="str">
        <f t="shared" si="207"/>
        <v>lazarev@mail</v>
      </c>
      <c r="O197" t="str">
        <f t="shared" si="208"/>
        <v xml:space="preserve">Ошибка Email</v>
      </c>
      <c r="P197" t="str">
        <f>IFERROR(VLOOKUP(TRIM(SUBSTITUTE(SUBSTITUTE(" "&amp;F197," г "," "),"г.","")),Справочники!$J$3:$K$102,2,0),TRIM(SUBSTITUTE(SUBSTITUTE(" "&amp;F197," г "," "),"г.","")))</f>
        <v>Чебоксары</v>
      </c>
    </row>
    <row r="198">
      <c r="A198" s="3" t="s">
        <v>2399</v>
      </c>
      <c r="B198" s="3" t="s">
        <v>4846</v>
      </c>
      <c r="C198" s="3" t="s">
        <v>4847</v>
      </c>
      <c r="D198" s="3" t="s">
        <v>1570</v>
      </c>
      <c r="E198" s="3" t="s">
        <v>4848</v>
      </c>
      <c r="F198" s="3" t="s">
        <v>4245</v>
      </c>
      <c r="G198" s="3" t="s">
        <v>4849</v>
      </c>
      <c r="H198" t="str">
        <f t="shared" si="203"/>
        <v xml:space="preserve">Карташова Ольга Валерьевна</v>
      </c>
      <c r="I198" s="5">
        <f>IFERROR(IF(ISNUMBER(FIND("-",C198)),DATE(VALUE(LEFT(C198,4)),VALUE(MID(C198,6,2)),VALUE(RIGHT(C198,2))),IF(ISNUMBER(FIND(".",C198)),DATE(VALUE(RIGHT(C198,4)),VALUE(MID(C198,4,2)),VALUE(LEFT(C198,2))),DATE(VALUE(RIGHT(C198,4)),VLOOKUP(TRIM(MID(C198,FIND(" ",C198)+1,LEN(C198)-FIND(" ",C198)-5)),Справочники!$M$3:$N$14,2,0),VALUE(LEFT(C198,FIND(" ",C198)-1))))),"")</f>
        <v>32120</v>
      </c>
      <c r="J198" s="6">
        <f t="shared" si="204"/>
        <v>38</v>
      </c>
      <c r="K198" t="str">
        <f t="shared" si="205"/>
        <v>ОК</v>
      </c>
      <c r="L198" s="5">
        <f>IFERROR(IF(ISNUMBER(FIND("-",G198)),DATE(VALUE(LEFT(G198,4)),VALUE(MID(G198,6,2)),VALUE(RIGHT(G198,2))),IF(ISNUMBER(FIND(".",G198)),DATE(VALUE(RIGHT(G198,4)),VALUE(MID(G198,4,2)),VALUE(LEFT(G198,2))),DATE(VALUE(RIGHT(G198,4)),VLOOKUP(TRIM(MID(G198,FIND(" ",G198)+1,LEN(G198)-FIND(" ",G198)-5)),Справочники!$M$3:$N$14,2,0),VALUE(LEFT(G198,FIND(" ",G198)-1))))),"")</f>
        <v>46548</v>
      </c>
      <c r="M198" t="str">
        <f t="shared" si="206"/>
        <v xml:space="preserve">+7 (903) 123-45-67</v>
      </c>
      <c r="N198" t="str">
        <f t="shared" si="207"/>
        <v>kartashova@yandex</v>
      </c>
      <c r="O198" t="str">
        <f t="shared" si="208"/>
        <v xml:space="preserve">Ошибка Email</v>
      </c>
      <c r="P198" t="str">
        <f>IFERROR(VLOOKUP(TRIM(SUBSTITUTE(SUBSTITUTE(" "&amp;F198," г "," "),"г.","")),Справочники!$J$3:$K$102,2,0),TRIM(SUBSTITUTE(SUBSTITUTE(" "&amp;F198," г "," "),"г.","")))</f>
        <v>Мурманск</v>
      </c>
    </row>
    <row r="199">
      <c r="A199" s="3" t="s">
        <v>2401</v>
      </c>
      <c r="B199" s="3" t="s">
        <v>4850</v>
      </c>
      <c r="C199" s="3" t="s">
        <v>4851</v>
      </c>
      <c r="D199" s="3" t="s">
        <v>4051</v>
      </c>
      <c r="E199" s="3" t="s">
        <v>4852</v>
      </c>
      <c r="F199" s="3" t="s">
        <v>4235</v>
      </c>
      <c r="G199" s="3" t="s">
        <v>4853</v>
      </c>
      <c r="H199" t="str">
        <f t="shared" si="203"/>
        <v xml:space="preserve">Олейник Светлана Николаевна</v>
      </c>
      <c r="I199" s="5">
        <f>IFERROR(IF(ISNUMBER(FIND("-",C199)),DATE(VALUE(LEFT(C199,4)),VALUE(MID(C199,6,2)),VALUE(RIGHT(C199,2))),IF(ISNUMBER(FIND(".",C199)),DATE(VALUE(RIGHT(C199,4)),VALUE(MID(C199,4,2)),VALUE(LEFT(C199,2))),DATE(VALUE(RIGHT(C199,4)),VLOOKUP(TRIM(MID(C199,FIND(" ",C199)+1,LEN(C199)-FIND(" ",C199)-5)),Справочники!$M$3:$N$14,2,0),VALUE(LEFT(C199,FIND(" ",C199)-1))))),"")</f>
        <v>34482</v>
      </c>
      <c r="J199" s="6">
        <f t="shared" si="204"/>
        <v>32</v>
      </c>
      <c r="K199" t="str">
        <f t="shared" si="205"/>
        <v>ОК</v>
      </c>
      <c r="L199" s="5">
        <f>IFERROR(IF(ISNUMBER(FIND("-",G199)),DATE(VALUE(LEFT(G199,4)),VALUE(MID(G199,6,2)),VALUE(RIGHT(G199,2))),IF(ISNUMBER(FIND(".",G199)),DATE(VALUE(RIGHT(G199,4)),VALUE(MID(G199,4,2)),VALUE(LEFT(G199,2))),DATE(VALUE(RIGHT(G199,4)),VLOOKUP(TRIM(MID(G199,FIND(" ",G199)+1,LEN(G199)-FIND(" ",G199)-5)),Справочники!$M$3:$N$14,2,0),VALUE(LEFT(G199,FIND(" ",G199)-1))))),"")</f>
        <v>46548</v>
      </c>
      <c r="M199" t="str">
        <f t="shared" si="206"/>
        <v xml:space="preserve">+7 (903) 234-56-78</v>
      </c>
      <c r="N199" t="str">
        <f t="shared" si="207"/>
        <v>oleynik@gmail</v>
      </c>
      <c r="O199" t="str">
        <f t="shared" si="208"/>
        <v xml:space="preserve">Ошибка Email</v>
      </c>
      <c r="P199" t="str">
        <f>IFERROR(VLOOKUP(TRIM(SUBSTITUTE(SUBSTITUTE(" "&amp;F199," г "," "),"г.","")),Справочники!$J$3:$K$102,2,0),TRIM(SUBSTITUTE(SUBSTITUTE(" "&amp;F199," г "," "),"г.","")))</f>
        <v>Смоленск</v>
      </c>
    </row>
    <row r="200">
      <c r="A200" s="3" t="s">
        <v>2404</v>
      </c>
      <c r="B200" s="3" t="s">
        <v>4854</v>
      </c>
      <c r="C200" s="3" t="s">
        <v>4855</v>
      </c>
      <c r="D200" s="3" t="s">
        <v>4057</v>
      </c>
      <c r="E200" s="3" t="s">
        <v>4856</v>
      </c>
      <c r="F200" s="3" t="s">
        <v>4220</v>
      </c>
      <c r="G200" s="3" t="s">
        <v>4857</v>
      </c>
      <c r="H200" t="str">
        <f t="shared" si="203"/>
        <v xml:space="preserve">Нестеров Никита Алексеевич</v>
      </c>
      <c r="I200" s="5">
        <f>IFERROR(IF(ISNUMBER(FIND("-",C200)),DATE(VALUE(LEFT(C200,4)),VALUE(MID(C200,6,2)),VALUE(RIGHT(C200,2))),IF(ISNUMBER(FIND(".",C200)),DATE(VALUE(RIGHT(C200,4)),VALUE(MID(C200,4,2)),VALUE(LEFT(C200,2))),DATE(VALUE(RIGHT(C200,4)),VLOOKUP(TRIM(MID(C200,FIND(" ",C200)+1,LEN(C200)-FIND(" ",C200)-5)),Справочники!$M$3:$N$14,2,0),VALUE(LEFT(C200,FIND(" ",C200)-1))))),"")</f>
        <v>29039</v>
      </c>
      <c r="J200" s="6">
        <f t="shared" si="204"/>
        <v>47</v>
      </c>
      <c r="K200" t="str">
        <f t="shared" si="205"/>
        <v>ОК</v>
      </c>
      <c r="L200" s="5">
        <f>IFERROR(IF(ISNUMBER(FIND("-",G200)),DATE(VALUE(LEFT(G200,4)),VALUE(MID(G200,6,2)),VALUE(RIGHT(G200,2))),IF(ISNUMBER(FIND(".",G200)),DATE(VALUE(RIGHT(G200,4)),VALUE(MID(G200,4,2)),VALUE(LEFT(G200,2))),DATE(VALUE(RIGHT(G200,4)),VLOOKUP(TRIM(MID(G200,FIND(" ",G200)+1,LEN(G200)-FIND(" ",G200)-5)),Справочники!$M$3:$N$14,2,0),VALUE(LEFT(G200,FIND(" ",G200)-1))))),"")</f>
        <v>46569</v>
      </c>
      <c r="M200" t="str">
        <f t="shared" si="206"/>
        <v xml:space="preserve">+7 (903) 234-56-78</v>
      </c>
      <c r="N200" t="str">
        <f t="shared" si="207"/>
        <v>nesterov@mail</v>
      </c>
      <c r="O200" t="str">
        <f t="shared" si="208"/>
        <v xml:space="preserve">Ошибка Email</v>
      </c>
      <c r="P200" t="str">
        <f>IFERROR(VLOOKUP(TRIM(SUBSTITUTE(SUBSTITUTE(" "&amp;F200," г "," "),"г.","")),Справочники!$J$3:$K$102,2,0),TRIM(SUBSTITUTE(SUBSTITUTE(" "&amp;F200," г "," "),"г.","")))</f>
        <v>Тула</v>
      </c>
    </row>
    <row r="201">
      <c r="A201" s="3" t="s">
        <v>2405</v>
      </c>
      <c r="B201" s="3" t="s">
        <v>4858</v>
      </c>
      <c r="C201" s="3" t="s">
        <v>4859</v>
      </c>
      <c r="D201" s="3" t="s">
        <v>1712</v>
      </c>
      <c r="E201" s="3" t="s">
        <v>4860</v>
      </c>
      <c r="F201" s="3" t="s">
        <v>4225</v>
      </c>
      <c r="G201" s="3" t="s">
        <v>4861</v>
      </c>
      <c r="H201" t="str">
        <f t="shared" si="203"/>
        <v xml:space="preserve">Рожков Денис Вячеславович</v>
      </c>
      <c r="I201" s="5">
        <f>IFERROR(IF(ISNUMBER(FIND("-",C201)),DATE(VALUE(LEFT(C201,4)),VALUE(MID(C201,6,2)),VALUE(RIGHT(C201,2))),IF(ISNUMBER(FIND(".",C201)),DATE(VALUE(RIGHT(C201,4)),VALUE(MID(C201,4,2)),VALUE(LEFT(C201,2))),DATE(VALUE(RIGHT(C201,4)),VLOOKUP(TRIM(MID(C201,FIND(" ",C201)+1,LEN(C201)-FIND(" ",C201)-5)),Справочники!$M$3:$N$14,2,0),VALUE(LEFT(C201,FIND(" ",C201)-1))))),"")</f>
        <v>31735</v>
      </c>
      <c r="J201" s="6">
        <f t="shared" si="204"/>
        <v>39</v>
      </c>
      <c r="K201" t="str">
        <f t="shared" si="205"/>
        <v>ОК</v>
      </c>
      <c r="L201" s="5">
        <f>IFERROR(IF(ISNUMBER(FIND("-",G201)),DATE(VALUE(LEFT(G201,4)),VALUE(MID(G201,6,2)),VALUE(RIGHT(G201,2))),IF(ISNUMBER(FIND(".",G201)),DATE(VALUE(RIGHT(G201,4)),VALUE(MID(G201,4,2)),VALUE(LEFT(G201,2))),DATE(VALUE(RIGHT(G201,4)),VLOOKUP(TRIM(MID(G201,FIND(" ",G201)+1,LEN(G201)-FIND(" ",G201)-5)),Справочники!$M$3:$N$14,2,0),VALUE(LEFT(G201,FIND(" ",G201)-1))))),"")</f>
        <v>46583</v>
      </c>
      <c r="M201" t="str">
        <f t="shared" si="206"/>
        <v xml:space="preserve">+7 (903) 234-56-78</v>
      </c>
      <c r="N201" t="str">
        <f t="shared" si="207"/>
        <v>rozhkov@yandex</v>
      </c>
      <c r="O201" t="str">
        <f t="shared" si="208"/>
        <v xml:space="preserve">Ошибка Email</v>
      </c>
      <c r="P201" t="str">
        <f>IFERROR(VLOOKUP(TRIM(SUBSTITUTE(SUBSTITUTE(" "&amp;F201," г "," "),"г.","")),Справочники!$J$3:$K$102,2,0),TRIM(SUBSTITUTE(SUBSTITUTE(" "&amp;F201," г "," "),"г.","")))</f>
        <v>Калуга</v>
      </c>
    </row>
    <row r="202">
      <c r="A202" s="3" t="s">
        <v>2407</v>
      </c>
      <c r="B202" s="3" t="s">
        <v>4862</v>
      </c>
      <c r="C202" s="3" t="s">
        <v>4863</v>
      </c>
      <c r="D202" s="3" t="s">
        <v>1584</v>
      </c>
      <c r="E202" s="3" t="s">
        <v>4864</v>
      </c>
      <c r="F202" s="3" t="s">
        <v>4230</v>
      </c>
      <c r="G202" s="3" t="s">
        <v>4865</v>
      </c>
      <c r="H202" t="str">
        <f t="shared" si="203"/>
        <v xml:space="preserve">Кравченко Екатерина Игоревна</v>
      </c>
      <c r="I202" s="5">
        <f>IFERROR(IF(ISNUMBER(FIND("-",C202)),DATE(VALUE(LEFT(C202,4)),VALUE(MID(C202,6,2)),VALUE(RIGHT(C202,2))),IF(ISNUMBER(FIND(".",C202)),DATE(VALUE(RIGHT(C202,4)),VALUE(MID(C202,4,2)),VALUE(LEFT(C202,2))),DATE(VALUE(RIGHT(C202,4)),VLOOKUP(TRIM(MID(C202,FIND(" ",C202)+1,LEN(C202)-FIND(" ",C202)-5)),Справочники!$M$3:$N$14,2,0),VALUE(LEFT(C202,FIND(" ",C202)-1))))),"")</f>
        <v>29698</v>
      </c>
      <c r="J202" s="6">
        <f t="shared" si="204"/>
        <v>45</v>
      </c>
      <c r="K202" t="str">
        <f t="shared" si="205"/>
        <v>ОК</v>
      </c>
      <c r="L202" s="5">
        <f>IFERROR(IF(ISNUMBER(FIND("-",G202)),DATE(VALUE(LEFT(G202,4)),VALUE(MID(G202,6,2)),VALUE(RIGHT(G202,2))),IF(ISNUMBER(FIND(".",G202)),DATE(VALUE(RIGHT(G202,4)),VALUE(MID(G202,4,2)),VALUE(LEFT(G202,2))),DATE(VALUE(RIGHT(G202,4)),VLOOKUP(TRIM(MID(G202,FIND(" ",G202)+1,LEN(G202)-FIND(" ",G202)-5)),Справочники!$M$3:$N$14,2,0),VALUE(LEFT(G202,FIND(" ",G202)-1))))),"")</f>
        <v>46583</v>
      </c>
      <c r="M202" t="str">
        <f t="shared" si="206"/>
        <v xml:space="preserve">+7 (903) 345-67-89</v>
      </c>
      <c r="N202" t="str">
        <f t="shared" si="207"/>
        <v>kravchenko@gmail</v>
      </c>
      <c r="O202" t="str">
        <f t="shared" si="208"/>
        <v xml:space="preserve">Ошибка Email</v>
      </c>
      <c r="P202" t="str">
        <f>IFERROR(VLOOKUP(TRIM(SUBSTITUTE(SUBSTITUTE(" "&amp;F202," г "," "),"г.","")),Справочники!$J$3:$K$102,2,0),TRIM(SUBSTITUTE(SUBSTITUTE(" "&amp;F202," г "," "),"г.","")))</f>
        <v>Владикавказ</v>
      </c>
    </row>
    <row r="203">
      <c r="A203" s="3" t="s">
        <v>2409</v>
      </c>
      <c r="B203" s="3" t="s">
        <v>4866</v>
      </c>
      <c r="C203" s="3" t="s">
        <v>4867</v>
      </c>
      <c r="D203" s="3" t="s">
        <v>4073</v>
      </c>
      <c r="E203" s="3" t="s">
        <v>4868</v>
      </c>
      <c r="F203" s="3" t="s">
        <v>4235</v>
      </c>
      <c r="G203" s="3" t="s">
        <v>4869</v>
      </c>
      <c r="H203" t="str">
        <f t="shared" si="203"/>
        <v xml:space="preserve">Иванченко Олег Сергеевич</v>
      </c>
      <c r="I203" s="5">
        <f>IFERROR(IF(ISNUMBER(FIND("-",C203)),DATE(VALUE(LEFT(C203,4)),VALUE(MID(C203,6,2)),VALUE(RIGHT(C203,2))),IF(ISNUMBER(FIND(".",C203)),DATE(VALUE(RIGHT(C203,4)),VALUE(MID(C203,4,2)),VALUE(LEFT(C203,2))),DATE(VALUE(RIGHT(C203,4)),VLOOKUP(TRIM(MID(C203,FIND(" ",C203)+1,LEN(C203)-FIND(" ",C203)-5)),Справочники!$M$3:$N$14,2,0),VALUE(LEFT(C203,FIND(" ",C203)-1))))),"")</f>
        <v>27651</v>
      </c>
      <c r="J203" s="6">
        <f t="shared" si="204"/>
        <v>51</v>
      </c>
      <c r="K203" t="str">
        <f t="shared" si="205"/>
        <v>ОК</v>
      </c>
      <c r="L203" s="5">
        <f>IFERROR(IF(ISNUMBER(FIND("-",G203)),DATE(VALUE(LEFT(G203,4)),VALUE(MID(G203,6,2)),VALUE(RIGHT(G203,2))),IF(ISNUMBER(FIND(".",G203)),DATE(VALUE(RIGHT(G203,4)),VALUE(MID(G203,4,2)),VALUE(LEFT(G203,2))),DATE(VALUE(RIGHT(G203,4)),VLOOKUP(TRIM(MID(G203,FIND(" ",G203)+1,LEN(G203)-FIND(" ",G203)-5)),Справочники!$M$3:$N$14,2,0),VALUE(LEFT(G203,FIND(" ",G203)-1))))),"")</f>
        <v>46600</v>
      </c>
      <c r="M203" t="str">
        <f t="shared" si="206"/>
        <v xml:space="preserve">+7 (903) 345-67-89</v>
      </c>
      <c r="N203" t="str">
        <f t="shared" si="207"/>
        <v>ivanchenko@mail</v>
      </c>
      <c r="O203" t="str">
        <f t="shared" si="208"/>
        <v xml:space="preserve">Ошибка Email</v>
      </c>
      <c r="P203" t="str">
        <f>IFERROR(VLOOKUP(TRIM(SUBSTITUTE(SUBSTITUTE(" "&amp;F203," г "," "),"г.","")),Справочники!$J$3:$K$102,2,0),TRIM(SUBSTITUTE(SUBSTITUTE(" "&amp;F203," г "," "),"г.","")))</f>
        <v>Смоленск</v>
      </c>
    </row>
    <row r="204">
      <c r="A204" s="3" t="s">
        <v>2412</v>
      </c>
      <c r="B204" s="3" t="s">
        <v>4870</v>
      </c>
      <c r="C204" s="3" t="s">
        <v>4871</v>
      </c>
      <c r="D204" s="3" t="s">
        <v>4079</v>
      </c>
      <c r="E204" s="3" t="s">
        <v>4872</v>
      </c>
      <c r="F204" s="3" t="s">
        <v>4240</v>
      </c>
      <c r="G204" s="3" t="s">
        <v>4873</v>
      </c>
      <c r="H204" t="str">
        <f t="shared" si="203"/>
        <v xml:space="preserve">Максимова Алина Павловна</v>
      </c>
      <c r="I204" s="5">
        <f>IFERROR(IF(ISNUMBER(FIND("-",C204)),DATE(VALUE(LEFT(C204,4)),VALUE(MID(C204,6,2)),VALUE(RIGHT(C204,2))),IF(ISNUMBER(FIND(".",C204)),DATE(VALUE(RIGHT(C204,4)),VALUE(MID(C204,4,2)),VALUE(LEFT(C204,2))),DATE(VALUE(RIGHT(C204,4)),VLOOKUP(TRIM(MID(C204,FIND(" ",C204)+1,LEN(C204)-FIND(" ",C204)-5)),Справочники!$M$3:$N$14,2,0),VALUE(LEFT(C204,FIND(" ",C204)-1))))),"")</f>
        <v>33610</v>
      </c>
      <c r="J204" s="6">
        <f t="shared" si="204"/>
        <v>34</v>
      </c>
      <c r="K204" t="str">
        <f t="shared" si="205"/>
        <v>ОК</v>
      </c>
      <c r="L204" s="5">
        <f>IFERROR(IF(ISNUMBER(FIND("-",G204)),DATE(VALUE(LEFT(G204,4)),VALUE(MID(G204,6,2)),VALUE(RIGHT(G204,2))),IF(ISNUMBER(FIND(".",G204)),DATE(VALUE(RIGHT(G204,4)),VALUE(MID(G204,4,2)),VALUE(LEFT(G204,2))),DATE(VALUE(RIGHT(G204,4)),VLOOKUP(TRIM(MID(G204,FIND(" ",G204)+1,LEN(G204)-FIND(" ",G204)-5)),Справочники!$M$3:$N$14,2,0),VALUE(LEFT(G204,FIND(" ",G204)-1))))),"")</f>
        <v>46609</v>
      </c>
      <c r="M204" t="str">
        <f t="shared" si="206"/>
        <v xml:space="preserve">+7 (903) 345-67-89</v>
      </c>
      <c r="N204" t="str">
        <f t="shared" si="207"/>
        <v>maksimova@yandex</v>
      </c>
      <c r="O204" t="str">
        <f t="shared" si="208"/>
        <v xml:space="preserve">Ошибка Email</v>
      </c>
      <c r="P204" t="str">
        <f>IFERROR(VLOOKUP(TRIM(SUBSTITUTE(SUBSTITUTE(" "&amp;F204," г "," "),"г.","")),Справочники!$J$3:$K$102,2,0),TRIM(SUBSTITUTE(SUBSTITUTE(" "&amp;F204," г "," "),"г.","")))</f>
        <v>Белгород</v>
      </c>
    </row>
    <row r="205">
      <c r="A205" s="3" t="s">
        <v>2414</v>
      </c>
      <c r="B205" s="3" t="s">
        <v>4874</v>
      </c>
      <c r="C205" s="3" t="s">
        <v>4875</v>
      </c>
      <c r="D205" s="3" t="s">
        <v>4085</v>
      </c>
      <c r="E205" s="3" t="s">
        <v>4876</v>
      </c>
      <c r="F205" s="3" t="s">
        <v>4245</v>
      </c>
      <c r="G205" s="3" t="s">
        <v>4877</v>
      </c>
      <c r="H205" t="str">
        <f t="shared" si="203"/>
        <v xml:space="preserve">Петрова Кристина Алексеевна</v>
      </c>
      <c r="I205" s="5">
        <f>IFERROR(IF(ISNUMBER(FIND("-",C205)),DATE(VALUE(LEFT(C205,4)),VALUE(MID(C205,6,2)),VALUE(RIGHT(C205,2))),IF(ISNUMBER(FIND(".",C205)),DATE(VALUE(RIGHT(C205,4)),VALUE(MID(C205,4,2)),VALUE(LEFT(C205,2))),DATE(VALUE(RIGHT(C205,4)),VLOOKUP(TRIM(MID(C205,FIND(" ",C205)+1,LEN(C205)-FIND(" ",C205)-5)),Справочники!$M$3:$N$14,2,0),VALUE(LEFT(C205,FIND(" ",C205)-1))))),"")</f>
        <v>30863</v>
      </c>
      <c r="J205" s="6">
        <f t="shared" si="204"/>
        <v>42</v>
      </c>
      <c r="K205" t="str">
        <f t="shared" si="205"/>
        <v>ОК</v>
      </c>
      <c r="L205" s="5">
        <f>IFERROR(IF(ISNUMBER(FIND("-",G205)),DATE(VALUE(LEFT(G205,4)),VALUE(MID(G205,6,2)),VALUE(RIGHT(G205,2))),IF(ISNUMBER(FIND(".",G205)),DATE(VALUE(RIGHT(G205,4)),VALUE(MID(G205,4,2)),VALUE(LEFT(G205,2))),DATE(VALUE(RIGHT(G205,4)),VLOOKUP(TRIM(MID(G205,FIND(" ",G205)+1,LEN(G205)-FIND(" ",G205)-5)),Справочники!$M$3:$N$14,2,0),VALUE(LEFT(G205,FIND(" ",G205)-1))))),"")</f>
        <v>46609</v>
      </c>
      <c r="M205" t="str">
        <f t="shared" si="206"/>
        <v xml:space="preserve">+7 (903) 456-78-90</v>
      </c>
      <c r="N205" t="str">
        <f t="shared" si="207"/>
        <v>petrova@gmail</v>
      </c>
      <c r="O205" t="str">
        <f t="shared" si="208"/>
        <v xml:space="preserve">Ошибка Email</v>
      </c>
      <c r="P205" t="str">
        <f>IFERROR(VLOOKUP(TRIM(SUBSTITUTE(SUBSTITUTE(" "&amp;F205," г "," "),"г.","")),Справочники!$J$3:$K$102,2,0),TRIM(SUBSTITUTE(SUBSTITUTE(" "&amp;F205," г "," "),"г.","")))</f>
        <v>Мурманск</v>
      </c>
    </row>
    <row r="206">
      <c r="A206" s="3" t="s">
        <v>2417</v>
      </c>
      <c r="B206" s="3" t="s">
        <v>4878</v>
      </c>
      <c r="C206" s="3" t="s">
        <v>4879</v>
      </c>
      <c r="D206" s="3" t="s">
        <v>1591</v>
      </c>
      <c r="E206" s="3" t="s">
        <v>4880</v>
      </c>
      <c r="F206" s="3" t="s">
        <v>4250</v>
      </c>
      <c r="G206" s="3" t="s">
        <v>4881</v>
      </c>
      <c r="H206" t="str">
        <f t="shared" si="203"/>
        <v xml:space="preserve">Галкина Марина Викторовна</v>
      </c>
      <c r="I206" s="5">
        <f>IFERROR(IF(ISNUMBER(FIND("-",C206)),DATE(VALUE(LEFT(C206,4)),VALUE(MID(C206,6,2)),VALUE(RIGHT(C206,2))),IF(ISNUMBER(FIND(".",C206)),DATE(VALUE(RIGHT(C206,4)),VALUE(MID(C206,4,2)),VALUE(LEFT(C206,2))),DATE(VALUE(RIGHT(C206,4)),VLOOKUP(TRIM(MID(C206,FIND(" ",C206)+1,LEN(C206)-FIND(" ",C206)-5)),Справочники!$M$3:$N$14,2,0),VALUE(LEFT(C206,FIND(" ",C206)-1))))),"")</f>
        <v>28046</v>
      </c>
      <c r="J206" s="6">
        <f t="shared" si="204"/>
        <v>50</v>
      </c>
      <c r="K206" t="str">
        <f t="shared" si="205"/>
        <v>ОК</v>
      </c>
      <c r="L206" s="5">
        <f>IFERROR(IF(ISNUMBER(FIND("-",G206)),DATE(VALUE(LEFT(G206,4)),VALUE(MID(G206,6,2)),VALUE(RIGHT(G206,2))),IF(ISNUMBER(FIND(".",G206)),DATE(VALUE(RIGHT(G206,4)),VALUE(MID(G206,4,2)),VALUE(LEFT(G206,2))),DATE(VALUE(RIGHT(G206,4)),VLOOKUP(TRIM(MID(G206,FIND(" ",G206)+1,LEN(G206)-FIND(" ",G206)-5)),Справочники!$M$3:$N$14,2,0),VALUE(LEFT(G206,FIND(" ",G206)-1))))),"")</f>
        <v>46631</v>
      </c>
      <c r="M206" t="str">
        <f t="shared" si="206"/>
        <v xml:space="preserve">+7 (903) 456-78-90</v>
      </c>
      <c r="N206" t="str">
        <f t="shared" si="207"/>
        <v>galkina@mail</v>
      </c>
      <c r="O206" t="str">
        <f t="shared" si="208"/>
        <v xml:space="preserve">Ошибка Email</v>
      </c>
      <c r="P206" t="str">
        <f>IFERROR(VLOOKUP(TRIM(SUBSTITUTE(SUBSTITUTE(" "&amp;F206," г "," "),"г.","")),Справочники!$J$3:$K$102,2,0),TRIM(SUBSTITUTE(SUBSTITUTE(" "&amp;F206," г "," "),"г.","")))</f>
        <v>Ставрополь</v>
      </c>
    </row>
    <row r="207">
      <c r="A207" s="3" t="s">
        <v>2418</v>
      </c>
      <c r="B207" s="3" t="s">
        <v>4882</v>
      </c>
      <c r="C207" s="3" t="s">
        <v>4883</v>
      </c>
      <c r="D207" s="3" t="s">
        <v>1660</v>
      </c>
      <c r="E207" s="3" t="s">
        <v>4884</v>
      </c>
      <c r="F207" s="3" t="s">
        <v>4255</v>
      </c>
      <c r="G207" s="3" t="s">
        <v>4885</v>
      </c>
      <c r="H207" t="str">
        <f t="shared" si="203"/>
        <v xml:space="preserve">Чистяков Илья Андреевич</v>
      </c>
      <c r="I207" s="5">
        <f>IFERROR(IF(ISNUMBER(FIND("-",C207)),DATE(VALUE(LEFT(C207,4)),VALUE(MID(C207,6,2)),VALUE(RIGHT(C207,2))),IF(ISNUMBER(FIND(".",C207)),DATE(VALUE(RIGHT(C207,4)),VALUE(MID(C207,4,2)),VALUE(LEFT(C207,2))),DATE(VALUE(RIGHT(C207,4)),VLOOKUP(TRIM(MID(C207,FIND(" ",C207)+1,LEN(C207)-FIND(" ",C207)-5)),Справочники!$M$3:$N$14,2,0),VALUE(LEFT(C207,FIND(" ",C207)-1))))),"")</f>
        <v>34030</v>
      </c>
      <c r="J207" s="6">
        <f t="shared" si="204"/>
        <v>33</v>
      </c>
      <c r="K207" t="str">
        <f t="shared" si="205"/>
        <v>ОК</v>
      </c>
      <c r="L207" s="5">
        <f>IFERROR(IF(ISNUMBER(FIND("-",G207)),DATE(VALUE(LEFT(G207,4)),VALUE(MID(G207,6,2)),VALUE(RIGHT(G207,2))),IF(ISNUMBER(FIND(".",G207)),DATE(VALUE(RIGHT(G207,4)),VALUE(MID(G207,4,2)),VALUE(LEFT(G207,2))),DATE(VALUE(RIGHT(G207,4)),VLOOKUP(TRIM(MID(G207,FIND(" ",G207)+1,LEN(G207)-FIND(" ",G207)-5)),Справочники!$M$3:$N$14,2,0),VALUE(LEFT(G207,FIND(" ",G207)-1))))),"")</f>
        <v>46645</v>
      </c>
      <c r="M207" t="str">
        <f t="shared" si="206"/>
        <v xml:space="preserve">+7 (903) 456-78-90</v>
      </c>
      <c r="N207" t="str">
        <f t="shared" si="207"/>
        <v>chistyakov@yandex</v>
      </c>
      <c r="O207" t="str">
        <f t="shared" si="208"/>
        <v xml:space="preserve">Ошибка Email</v>
      </c>
      <c r="P207" t="str">
        <f>IFERROR(VLOOKUP(TRIM(SUBSTITUTE(SUBSTITUTE(" "&amp;F207," г "," "),"г.","")),Справочники!$J$3:$K$102,2,0),TRIM(SUBSTITUTE(SUBSTITUTE(" "&amp;F207," г "," "),"г.","")))</f>
        <v>Севастополь</v>
      </c>
    </row>
    <row r="208">
      <c r="A208" s="3" t="s">
        <v>2421</v>
      </c>
      <c r="B208" s="3" t="s">
        <v>4886</v>
      </c>
      <c r="C208" s="3" t="s">
        <v>4887</v>
      </c>
      <c r="D208" s="3" t="s">
        <v>3984</v>
      </c>
      <c r="E208" s="3" t="s">
        <v>4888</v>
      </c>
      <c r="F208" s="3" t="s">
        <v>4260</v>
      </c>
      <c r="G208" s="3" t="s">
        <v>4889</v>
      </c>
      <c r="H208" t="str">
        <f t="shared" si="203"/>
        <v xml:space="preserve">Чернышова Лариса Николаевна</v>
      </c>
      <c r="I208" s="5">
        <f>IFERROR(IF(ISNUMBER(FIND("-",C208)),DATE(VALUE(LEFT(C208,4)),VALUE(MID(C208,6,2)),VALUE(RIGHT(C208,2))),IF(ISNUMBER(FIND(".",C208)),DATE(VALUE(RIGHT(C208,4)),VALUE(MID(C208,4,2)),VALUE(LEFT(C208,2))),DATE(VALUE(RIGHT(C208,4)),VLOOKUP(TRIM(MID(C208,FIND(" ",C208)+1,LEN(C208)-FIND(" ",C208)-5)),Справочники!$M$3:$N$14,2,0),VALUE(LEFT(C208,FIND(" ",C208)-1))))),"")</f>
        <v>32373</v>
      </c>
      <c r="J208" s="6">
        <f t="shared" si="204"/>
        <v>38</v>
      </c>
      <c r="K208" t="str">
        <f t="shared" si="205"/>
        <v>ОК</v>
      </c>
      <c r="L208" s="5">
        <f>IFERROR(IF(ISNUMBER(FIND("-",G208)),DATE(VALUE(LEFT(G208,4)),VALUE(MID(G208,6,2)),VALUE(RIGHT(G208,2))),IF(ISNUMBER(FIND(".",G208)),DATE(VALUE(RIGHT(G208,4)),VALUE(MID(G208,4,2)),VALUE(LEFT(G208,2))),DATE(VALUE(RIGHT(G208,4)),VLOOKUP(TRIM(MID(G208,FIND(" ",G208)+1,LEN(G208)-FIND(" ",G208)-5)),Справочники!$M$3:$N$14,2,0),VALUE(LEFT(G208,FIND(" ",G208)-1))))),"")</f>
        <v>46645</v>
      </c>
      <c r="M208" t="str">
        <f t="shared" si="206"/>
        <v xml:space="preserve">+7 (903) 567-89-01</v>
      </c>
      <c r="N208" t="str">
        <f t="shared" si="207"/>
        <v>chernyshova@gmail</v>
      </c>
      <c r="O208" t="str">
        <f t="shared" si="208"/>
        <v xml:space="preserve">Ошибка Email</v>
      </c>
      <c r="P208" t="str">
        <f>IFERROR(VLOOKUP(TRIM(SUBSTITUTE(SUBSTITUTE(" "&amp;F208," г "," "),"г.","")),Справочники!$J$3:$K$102,2,0),TRIM(SUBSTITUTE(SUBSTITUTE(" "&amp;F208," г "," "),"г.","")))</f>
        <v>Сочи</v>
      </c>
    </row>
    <row r="209">
      <c r="A209" s="3" t="s">
        <v>2423</v>
      </c>
      <c r="B209" s="3" t="s">
        <v>4890</v>
      </c>
      <c r="C209" s="3" t="s">
        <v>4891</v>
      </c>
      <c r="D209" s="3" t="s">
        <v>3990</v>
      </c>
      <c r="E209" s="3" t="s">
        <v>4892</v>
      </c>
      <c r="F209" s="3" t="s">
        <v>4265</v>
      </c>
      <c r="G209" s="3" t="s">
        <v>4893</v>
      </c>
      <c r="H209" t="str">
        <f t="shared" si="203"/>
        <v xml:space="preserve">Шишков Сергей Евгеньевич</v>
      </c>
      <c r="I209" s="5">
        <f>IFERROR(IF(ISNUMBER(FIND("-",C209)),DATE(VALUE(LEFT(C209,4)),VALUE(MID(C209,6,2)),VALUE(RIGHT(C209,2))),IF(ISNUMBER(FIND(".",C209)),DATE(VALUE(RIGHT(C209,4)),VALUE(MID(C209,4,2)),VALUE(LEFT(C209,2))),DATE(VALUE(RIGHT(C209,4)),VLOOKUP(TRIM(MID(C209,FIND(" ",C209)+1,LEN(C209)-FIND(" ",C209)-5)),Справочники!$M$3:$N$14,2,0),VALUE(LEFT(C209,FIND(" ",C209)-1))))),"")</f>
        <v>28850</v>
      </c>
      <c r="J209" s="6">
        <f t="shared" si="204"/>
        <v>47</v>
      </c>
      <c r="K209" t="str">
        <f t="shared" si="205"/>
        <v>ОК</v>
      </c>
      <c r="L209" s="5">
        <f>IFERROR(IF(ISNUMBER(FIND("-",G209)),DATE(VALUE(LEFT(G209,4)),VALUE(MID(G209,6,2)),VALUE(RIGHT(G209,2))),IF(ISNUMBER(FIND(".",G209)),DATE(VALUE(RIGHT(G209,4)),VALUE(MID(G209,4,2)),VALUE(LEFT(G209,2))),DATE(VALUE(RIGHT(G209,4)),VLOOKUP(TRIM(MID(G209,FIND(" ",G209)+1,LEN(G209)-FIND(" ",G209)-5)),Справочники!$M$3:$N$14,2,0),VALUE(LEFT(G209,FIND(" ",G209)-1))))),"")</f>
        <v>46661</v>
      </c>
      <c r="M209" t="str">
        <f t="shared" si="206"/>
        <v xml:space="preserve">+7 (903) 567-89-01</v>
      </c>
      <c r="N209" t="str">
        <f t="shared" si="207"/>
        <v>shishkov@mail</v>
      </c>
      <c r="O209" t="str">
        <f t="shared" si="208"/>
        <v xml:space="preserve">Ошибка Email</v>
      </c>
      <c r="P209" t="str">
        <f>IFERROR(VLOOKUP(TRIM(SUBSTITUTE(SUBSTITUTE(" "&amp;F209," г "," "),"г.","")),Справочники!$J$3:$K$102,2,0),TRIM(SUBSTITUTE(SUBSTITUTE(" "&amp;F209," г "," "),"г.","")))</f>
        <v>Симферополь</v>
      </c>
    </row>
    <row r="210">
      <c r="A210" s="3" t="s">
        <v>2426</v>
      </c>
      <c r="B210" s="3" t="s">
        <v>4894</v>
      </c>
      <c r="C210" s="3" t="s">
        <v>4895</v>
      </c>
      <c r="D210" s="3" t="s">
        <v>1598</v>
      </c>
      <c r="E210" s="3" t="s">
        <v>4896</v>
      </c>
      <c r="F210" s="3" t="s">
        <v>4270</v>
      </c>
      <c r="G210" s="3" t="s">
        <v>4897</v>
      </c>
      <c r="H210" t="str">
        <f t="shared" si="203"/>
        <v xml:space="preserve">Субботина Елена Валерьевна</v>
      </c>
      <c r="I210" s="5">
        <f>IFERROR(IF(ISNUMBER(FIND("-",C210)),DATE(VALUE(LEFT(C210,4)),VALUE(MID(C210,6,2)),VALUE(RIGHT(C210,2))),IF(ISNUMBER(FIND(".",C210)),DATE(VALUE(RIGHT(C210,4)),VALUE(MID(C210,4,2)),VALUE(LEFT(C210,2))),DATE(VALUE(RIGHT(C210,4)),VLOOKUP(TRIM(MID(C210,FIND(" ",C210)+1,LEN(C210)-FIND(" ",C210)-5)),Справочники!$M$3:$N$14,2,0),VALUE(LEFT(C210,FIND(" ",C210)-1))))),"")</f>
        <v>30075</v>
      </c>
      <c r="J210" s="6">
        <f t="shared" si="204"/>
        <v>44</v>
      </c>
      <c r="K210" t="str">
        <f t="shared" si="205"/>
        <v>ОК</v>
      </c>
      <c r="L210" s="5">
        <f>IFERROR(IF(ISNUMBER(FIND("-",G210)),DATE(VALUE(LEFT(G210,4)),VALUE(MID(G210,6,2)),VALUE(RIGHT(G210,2))),IF(ISNUMBER(FIND(".",G210)),DATE(VALUE(RIGHT(G210,4)),VALUE(MID(G210,4,2)),VALUE(LEFT(G210,2))),DATE(VALUE(RIGHT(G210,4)),VLOOKUP(TRIM(MID(G210,FIND(" ",G210)+1,LEN(G210)-FIND(" ",G210)-5)),Справочники!$M$3:$N$14,2,0),VALUE(LEFT(G210,FIND(" ",G210)-1))))),"")</f>
        <v>46670</v>
      </c>
      <c r="M210" t="str">
        <f t="shared" si="206"/>
        <v xml:space="preserve">+7 (903) 567-89-01</v>
      </c>
      <c r="N210" t="str">
        <f t="shared" si="207"/>
        <v>subbotina@yandex</v>
      </c>
      <c r="O210" t="str">
        <f t="shared" si="208"/>
        <v xml:space="preserve">Ошибка Email</v>
      </c>
      <c r="P210" t="str">
        <f>IFERROR(VLOOKUP(TRIM(SUBSTITUTE(SUBSTITUTE(" "&amp;F210," г "," "),"г.","")),Справочники!$J$3:$K$102,2,0),TRIM(SUBSTITUTE(SUBSTITUTE(" "&amp;F210," г "," "),"г.","")))</f>
        <v>Брянск</v>
      </c>
    </row>
    <row r="211">
      <c r="A211" s="3" t="s">
        <v>2428</v>
      </c>
      <c r="B211" s="3" t="s">
        <v>4898</v>
      </c>
      <c r="C211" s="3" t="s">
        <v>4899</v>
      </c>
      <c r="D211" s="3" t="s">
        <v>4116</v>
      </c>
      <c r="E211" s="3" t="s">
        <v>4900</v>
      </c>
      <c r="F211" s="3" t="s">
        <v>4275</v>
      </c>
      <c r="G211" s="3" t="s">
        <v>4901</v>
      </c>
      <c r="H211" t="str">
        <f t="shared" si="203"/>
        <v xml:space="preserve">Головина Татьяна Михайловна</v>
      </c>
      <c r="I211" s="5">
        <f>IFERROR(IF(ISNUMBER(FIND("-",C211)),DATE(VALUE(LEFT(C211,4)),VALUE(MID(C211,6,2)),VALUE(RIGHT(C211,2))),IF(ISNUMBER(FIND(".",C211)),DATE(VALUE(RIGHT(C211,4)),VALUE(MID(C211,4,2)),VALUE(LEFT(C211,2))),DATE(VALUE(RIGHT(C211,4)),VLOOKUP(TRIM(MID(C211,FIND(" ",C211)+1,LEN(C211)-FIND(" ",C211)-5)),Справочники!$M$3:$N$14,2,0),VALUE(LEFT(C211,FIND(" ",C211)-1))))),"")</f>
        <v>27225</v>
      </c>
      <c r="J211" s="6">
        <f t="shared" si="204"/>
        <v>52</v>
      </c>
      <c r="K211" t="str">
        <f t="shared" si="205"/>
        <v>ОК</v>
      </c>
      <c r="L211" s="5">
        <f>IFERROR(IF(ISNUMBER(FIND("-",G211)),DATE(VALUE(LEFT(G211,4)),VALUE(MID(G211,6,2)),VALUE(RIGHT(G211,2))),IF(ISNUMBER(FIND(".",G211)),DATE(VALUE(RIGHT(G211,4)),VALUE(MID(G211,4,2)),VALUE(LEFT(G211,2))),DATE(VALUE(RIGHT(G211,4)),VLOOKUP(TRIM(MID(G211,FIND(" ",G211)+1,LEN(G211)-FIND(" ",G211)-5)),Справочники!$M$3:$N$14,2,0),VALUE(LEFT(G211,FIND(" ",G211)-1))))),"")</f>
        <v>46670</v>
      </c>
      <c r="M211" t="str">
        <f t="shared" si="206"/>
        <v xml:space="preserve">+7 (903) 678-90-12</v>
      </c>
      <c r="N211" t="str">
        <f t="shared" si="207"/>
        <v>golovina@gmail</v>
      </c>
      <c r="O211" t="str">
        <f t="shared" si="208"/>
        <v xml:space="preserve">Ошибка Email</v>
      </c>
      <c r="P211" t="str">
        <f>IFERROR(VLOOKUP(TRIM(SUBSTITUTE(SUBSTITUTE(" "&amp;F211," г "," "),"г.","")),Справочники!$J$3:$K$102,2,0),TRIM(SUBSTITUTE(SUBSTITUTE(" "&amp;F211," г "," "),"г.","")))</f>
        <v>Абакан</v>
      </c>
    </row>
    <row r="212">
      <c r="A212" s="3" t="s">
        <v>2430</v>
      </c>
      <c r="B212" s="3" t="s">
        <v>4902</v>
      </c>
      <c r="C212" s="3" t="s">
        <v>4903</v>
      </c>
      <c r="D212" s="3" t="s">
        <v>4122</v>
      </c>
      <c r="E212" s="3" t="s">
        <v>4904</v>
      </c>
      <c r="F212" s="3" t="s">
        <v>4280</v>
      </c>
      <c r="G212" s="3" t="s">
        <v>4905</v>
      </c>
      <c r="H212" t="str">
        <f t="shared" si="203"/>
        <v xml:space="preserve">Красильников Денис Павлович</v>
      </c>
      <c r="I212" s="5">
        <f>IFERROR(IF(ISNUMBER(FIND("-",C212)),DATE(VALUE(LEFT(C212,4)),VALUE(MID(C212,6,2)),VALUE(RIGHT(C212,2))),IF(ISNUMBER(FIND(".",C212)),DATE(VALUE(RIGHT(C212,4)),VALUE(MID(C212,4,2)),VALUE(LEFT(C212,2))),DATE(VALUE(RIGHT(C212,4)),VLOOKUP(TRIM(MID(C212,FIND(" ",C212)+1,LEN(C212)-FIND(" ",C212)-5)),Справочники!$M$3:$N$14,2,0),VALUE(LEFT(C212,FIND(" ",C212)-1))))),"")</f>
        <v>32810</v>
      </c>
      <c r="J212" s="6">
        <f t="shared" si="204"/>
        <v>36</v>
      </c>
      <c r="K212" t="str">
        <f t="shared" si="205"/>
        <v>ОК</v>
      </c>
      <c r="L212" s="5">
        <f>IFERROR(IF(ISNUMBER(FIND("-",G212)),DATE(VALUE(LEFT(G212,4)),VALUE(MID(G212,6,2)),VALUE(RIGHT(G212,2))),IF(ISNUMBER(FIND(".",G212)),DATE(VALUE(RIGHT(G212,4)),VALUE(MID(G212,4,2)),VALUE(LEFT(G212,2))),DATE(VALUE(RIGHT(G212,4)),VLOOKUP(TRIM(MID(G212,FIND(" ",G212)+1,LEN(G212)-FIND(" ",G212)-5)),Справочники!$M$3:$N$14,2,0),VALUE(LEFT(G212,FIND(" ",G212)-1))))),"")</f>
        <v>46692</v>
      </c>
      <c r="M212" t="str">
        <f t="shared" si="206"/>
        <v xml:space="preserve">+7 (903) 678-90-12</v>
      </c>
      <c r="N212" t="str">
        <f t="shared" si="207"/>
        <v>krasilnikov@mail</v>
      </c>
      <c r="O212" t="str">
        <f t="shared" si="208"/>
        <v xml:space="preserve">Ошибка Email</v>
      </c>
      <c r="P212" t="str">
        <f>IFERROR(VLOOKUP(TRIM(SUBSTITUTE(SUBSTITUTE(" "&amp;F212," г "," "),"г.","")),Справочники!$J$3:$K$102,2,0),TRIM(SUBSTITUTE(SUBSTITUTE(" "&amp;F212," г "," "),"г.","")))</f>
        <v>Грозный</v>
      </c>
    </row>
    <row r="213">
      <c r="A213" s="3" t="s">
        <v>2432</v>
      </c>
      <c r="B213" s="3" t="s">
        <v>4906</v>
      </c>
      <c r="C213" s="3" t="s">
        <v>4907</v>
      </c>
      <c r="D213" s="3" t="s">
        <v>1605</v>
      </c>
      <c r="E213" s="3" t="s">
        <v>4908</v>
      </c>
      <c r="F213" s="3" t="s">
        <v>4285</v>
      </c>
      <c r="G213" s="3" t="s">
        <v>4909</v>
      </c>
      <c r="H213" t="str">
        <f t="shared" si="203"/>
        <v xml:space="preserve">Шульженко Инна Дмитриевна</v>
      </c>
      <c r="I213" s="5">
        <f>IFERROR(IF(ISNUMBER(FIND("-",C213)),DATE(VALUE(LEFT(C213,4)),VALUE(MID(C213,6,2)),VALUE(RIGHT(C213,2))),IF(ISNUMBER(FIND(".",C213)),DATE(VALUE(RIGHT(C213,4)),VALUE(MID(C213,4,2)),VALUE(LEFT(C213,2))),DATE(VALUE(RIGHT(C213,4)),VLOOKUP(TRIM(MID(C213,FIND(" ",C213)+1,LEN(C213)-FIND(" ",C213)-5)),Справочники!$M$3:$N$14,2,0),VALUE(LEFT(C213,FIND(" ",C213)-1))))),"")</f>
        <v>33501</v>
      </c>
      <c r="J213" s="6">
        <f t="shared" si="204"/>
        <v>35</v>
      </c>
      <c r="K213" t="str">
        <f t="shared" si="205"/>
        <v>ОК</v>
      </c>
      <c r="L213" s="5">
        <f>IFERROR(IF(ISNUMBER(FIND("-",G213)),DATE(VALUE(LEFT(G213,4)),VALUE(MID(G213,6,2)),VALUE(RIGHT(G213,2))),IF(ISNUMBER(FIND(".",G213)),DATE(VALUE(RIGHT(G213,4)),VALUE(MID(G213,4,2)),VALUE(LEFT(G213,2))),DATE(VALUE(RIGHT(G213,4)),VLOOKUP(TRIM(MID(G213,FIND(" ",G213)+1,LEN(G213)-FIND(" ",G213)-5)),Справочники!$M$3:$N$14,2,0),VALUE(LEFT(G213,FIND(" ",G213)-1))))),"")</f>
        <v>46706</v>
      </c>
      <c r="M213" t="str">
        <f t="shared" si="206"/>
        <v xml:space="preserve">+7 (903) 678-90-12</v>
      </c>
      <c r="N213" t="str">
        <f t="shared" si="207"/>
        <v>shulzhenko@yandex</v>
      </c>
      <c r="O213" t="str">
        <f t="shared" si="208"/>
        <v xml:space="preserve">Ошибка Email</v>
      </c>
      <c r="P213" t="str">
        <f>IFERROR(VLOOKUP(TRIM(SUBSTITUTE(SUBSTITUTE(" "&amp;F213," г "," "),"г.","")),Справочники!$J$3:$K$102,2,0),TRIM(SUBSTITUTE(SUBSTITUTE(" "&amp;F213," г "," "),"г.","")))</f>
        <v>Бийск</v>
      </c>
    </row>
    <row r="214">
      <c r="A214" s="3" t="s">
        <v>2435</v>
      </c>
      <c r="B214" s="3" t="s">
        <v>4910</v>
      </c>
      <c r="C214" s="3" t="s">
        <v>4911</v>
      </c>
      <c r="D214" s="3" t="s">
        <v>4001</v>
      </c>
      <c r="E214" s="3" t="s">
        <v>4912</v>
      </c>
      <c r="F214" s="3" t="s">
        <v>4290</v>
      </c>
      <c r="G214" s="3" t="s">
        <v>4913</v>
      </c>
      <c r="H214" t="str">
        <f t="shared" si="203"/>
        <v xml:space="preserve">Боброва Екатерина Станиславовна</v>
      </c>
      <c r="I214" s="5">
        <f>IFERROR(IF(ISNUMBER(FIND("-",C214)),DATE(VALUE(LEFT(C214,4)),VALUE(MID(C214,6,2)),VALUE(RIGHT(C214,2))),IF(ISNUMBER(FIND(".",C214)),DATE(VALUE(RIGHT(C214,4)),VALUE(MID(C214,4,2)),VALUE(LEFT(C214,2))),DATE(VALUE(RIGHT(C214,4)),VLOOKUP(TRIM(MID(C214,FIND(" ",C214)+1,LEN(C214)-FIND(" ",C214)-5)),Справочники!$M$3:$N$14,2,0),VALUE(LEFT(C214,FIND(" ",C214)-1))))),"")</f>
        <v>28167</v>
      </c>
      <c r="J214" s="6">
        <f t="shared" si="204"/>
        <v>49</v>
      </c>
      <c r="K214" t="str">
        <f t="shared" si="205"/>
        <v>ОК</v>
      </c>
      <c r="L214" s="5">
        <f>IFERROR(IF(ISNUMBER(FIND("-",G214)),DATE(VALUE(LEFT(G214,4)),VALUE(MID(G214,6,2)),VALUE(RIGHT(G214,2))),IF(ISNUMBER(FIND(".",G214)),DATE(VALUE(RIGHT(G214,4)),VALUE(MID(G214,4,2)),VALUE(LEFT(G214,2))),DATE(VALUE(RIGHT(G214,4)),VLOOKUP(TRIM(MID(G214,FIND(" ",G214)+1,LEN(G214)-FIND(" ",G214)-5)),Справочники!$M$3:$N$14,2,0),VALUE(LEFT(G214,FIND(" ",G214)-1))))),"")</f>
        <v>46706</v>
      </c>
      <c r="M214" t="str">
        <f t="shared" si="206"/>
        <v xml:space="preserve">+7 (903) 789-01-23</v>
      </c>
      <c r="N214" t="str">
        <f t="shared" si="207"/>
        <v>bobrova@gmail</v>
      </c>
      <c r="O214" t="str">
        <f t="shared" si="208"/>
        <v xml:space="preserve">Ошибка Email</v>
      </c>
      <c r="P214" t="str">
        <f>IFERROR(VLOOKUP(TRIM(SUBSTITUTE(SUBSTITUTE(" "&amp;F214," г "," "),"г.","")),Справочники!$J$3:$K$102,2,0),TRIM(SUBSTITUTE(SUBSTITUTE(" "&amp;F214," г "," "),"г.","")))</f>
        <v>Йошкар-Ола</v>
      </c>
    </row>
    <row r="215">
      <c r="A215" s="3" t="s">
        <v>2437</v>
      </c>
      <c r="B215" s="3" t="s">
        <v>4914</v>
      </c>
      <c r="C215" s="3" t="s">
        <v>4915</v>
      </c>
      <c r="D215" s="3" t="s">
        <v>4138</v>
      </c>
      <c r="E215" s="3" t="s">
        <v>4916</v>
      </c>
      <c r="F215" s="3" t="s">
        <v>4295</v>
      </c>
      <c r="G215" s="3" t="s">
        <v>4917</v>
      </c>
      <c r="H215" t="str">
        <f t="shared" si="203"/>
        <v xml:space="preserve">Носов Алексей Игоревич</v>
      </c>
      <c r="I215" s="5">
        <f>IFERROR(IF(ISNUMBER(FIND("-",C215)),DATE(VALUE(LEFT(C215,4)),VALUE(MID(C215,6,2)),VALUE(RIGHT(C215,2))),IF(ISNUMBER(FIND(".",C215)),DATE(VALUE(RIGHT(C215,4)),VALUE(MID(C215,4,2)),VALUE(LEFT(C215,2))),DATE(VALUE(RIGHT(C215,4)),VLOOKUP(TRIM(MID(C215,FIND(" ",C215)+1,LEN(C215)-FIND(" ",C215)-5)),Справочники!$M$3:$N$14,2,0),VALUE(LEFT(C215,FIND(" ",C215)-1))))),"")</f>
        <v>30643</v>
      </c>
      <c r="J215" s="6">
        <f t="shared" si="204"/>
        <v>42</v>
      </c>
      <c r="K215" t="str">
        <f t="shared" si="205"/>
        <v>ОК</v>
      </c>
      <c r="L215" s="5">
        <f>IFERROR(IF(ISNUMBER(FIND("-",G215)),DATE(VALUE(LEFT(G215,4)),VALUE(MID(G215,6,2)),VALUE(RIGHT(G215,2))),IF(ISNUMBER(FIND(".",G215)),DATE(VALUE(RIGHT(G215,4)),VALUE(MID(G215,4,2)),VALUE(LEFT(G215,2))),DATE(VALUE(RIGHT(G215,4)),VLOOKUP(TRIM(MID(G215,FIND(" ",G215)+1,LEN(G215)-FIND(" ",G215)-5)),Справочники!$M$3:$N$14,2,0),VALUE(LEFT(G215,FIND(" ",G215)-1))))),"")</f>
        <v>46722</v>
      </c>
      <c r="M215" t="str">
        <f t="shared" si="206"/>
        <v xml:space="preserve">+7 (903) 789-01-23</v>
      </c>
      <c r="N215" t="str">
        <f t="shared" si="207"/>
        <v>nosov@mail</v>
      </c>
      <c r="O215" t="str">
        <f t="shared" si="208"/>
        <v xml:space="preserve">Ошибка Email</v>
      </c>
      <c r="P215" t="str">
        <f>IFERROR(VLOOKUP(TRIM(SUBSTITUTE(SUBSTITUTE(" "&amp;F215," г "," "),"г.","")),Справочники!$J$3:$K$102,2,0),TRIM(SUBSTITUTE(SUBSTITUTE(" "&amp;F215," г "," "),"г.","")))</f>
        <v>Курган</v>
      </c>
    </row>
    <row r="216">
      <c r="A216" s="3" t="s">
        <v>2440</v>
      </c>
      <c r="B216" s="3" t="s">
        <v>4918</v>
      </c>
      <c r="C216" s="3" t="s">
        <v>4919</v>
      </c>
      <c r="D216" s="3" t="s">
        <v>4144</v>
      </c>
      <c r="E216" s="3" t="s">
        <v>4920</v>
      </c>
      <c r="F216" s="3" t="s">
        <v>4300</v>
      </c>
      <c r="G216" s="3" t="s">
        <v>4921</v>
      </c>
      <c r="H216" t="str">
        <f t="shared" si="203"/>
        <v xml:space="preserve">Кузьмина Анна Борисовна</v>
      </c>
      <c r="I216" s="5">
        <f>IFERROR(IF(ISNUMBER(FIND("-",C216)),DATE(VALUE(LEFT(C216,4)),VALUE(MID(C216,6,2)),VALUE(RIGHT(C216,2))),IF(ISNUMBER(FIND(".",C216)),DATE(VALUE(RIGHT(C216,4)),VALUE(MID(C216,4,2)),VALUE(LEFT(C216,2))),DATE(VALUE(RIGHT(C216,4)),VLOOKUP(TRIM(MID(C216,FIND(" ",C216)+1,LEN(C216)-FIND(" ",C216)-5)),Справочники!$M$3:$N$14,2,0),VALUE(LEFT(C216,FIND(" ",C216)-1))))),"")</f>
        <v>33091</v>
      </c>
      <c r="J216" s="6">
        <f t="shared" si="204"/>
        <v>36</v>
      </c>
      <c r="K216" t="str">
        <f t="shared" si="205"/>
        <v>ОК</v>
      </c>
      <c r="L216" s="5">
        <f>IFERROR(IF(ISNUMBER(FIND("-",G216)),DATE(VALUE(LEFT(G216,4)),VALUE(MID(G216,6,2)),VALUE(RIGHT(G216,2))),IF(ISNUMBER(FIND(".",G216)),DATE(VALUE(RIGHT(G216,4)),VALUE(MID(G216,4,2)),VALUE(LEFT(G216,2))),DATE(VALUE(RIGHT(G216,4)),VLOOKUP(TRIM(MID(G216,FIND(" ",G216)+1,LEN(G216)-FIND(" ",G216)-5)),Справочники!$M$3:$N$14,2,0),VALUE(LEFT(G216,FIND(" ",G216)-1))))),"")</f>
        <v>46731</v>
      </c>
      <c r="M216" t="str">
        <f t="shared" si="206"/>
        <v xml:space="preserve">+7 (903) 789-01-23</v>
      </c>
      <c r="N216" t="str">
        <f t="shared" si="207"/>
        <v>kuzmina@yandex</v>
      </c>
      <c r="O216" t="str">
        <f t="shared" si="208"/>
        <v xml:space="preserve">Ошибка Email</v>
      </c>
      <c r="P216" t="str">
        <f>IFERROR(VLOOKUP(TRIM(SUBSTITUTE(SUBSTITUTE(" "&amp;F216," г "," "),"г.","")),Справочники!$J$3:$K$102,2,0),TRIM(SUBSTITUTE(SUBSTITUTE(" "&amp;F216," г "," "),"г.","")))</f>
        <v>Архангельск</v>
      </c>
    </row>
    <row r="217">
      <c r="A217" s="3" t="s">
        <v>2441</v>
      </c>
      <c r="B217" s="3" t="s">
        <v>4922</v>
      </c>
      <c r="C217" s="3" t="s">
        <v>4923</v>
      </c>
      <c r="D217" s="3" t="s">
        <v>4150</v>
      </c>
      <c r="E217" s="3" t="s">
        <v>4924</v>
      </c>
      <c r="F217" s="3" t="s">
        <v>4305</v>
      </c>
      <c r="G217" s="3" t="s">
        <v>4925</v>
      </c>
      <c r="H217" t="str">
        <f t="shared" si="203"/>
        <v xml:space="preserve">Руденко Виктор Сергеевич</v>
      </c>
      <c r="I217" s="5">
        <f>IFERROR(IF(ISNUMBER(FIND("-",C217)),DATE(VALUE(LEFT(C217,4)),VALUE(MID(C217,6,2)),VALUE(RIGHT(C217,2))),IF(ISNUMBER(FIND(".",C217)),DATE(VALUE(RIGHT(C217,4)),VALUE(MID(C217,4,2)),VALUE(LEFT(C217,2))),DATE(VALUE(RIGHT(C217,4)),VLOOKUP(TRIM(MID(C217,FIND(" ",C217)+1,LEN(C217)-FIND(" ",C217)-5)),Справочники!$M$3:$N$14,2,0),VALUE(LEFT(C217,FIND(" ",C217)-1))))),"")</f>
        <v>26660</v>
      </c>
      <c r="J217" s="6">
        <f t="shared" si="204"/>
        <v>53</v>
      </c>
      <c r="K217" t="str">
        <f t="shared" si="205"/>
        <v>ОК</v>
      </c>
      <c r="L217" s="5">
        <f>IFERROR(IF(ISNUMBER(FIND("-",G217)),DATE(VALUE(LEFT(G217,4)),VALUE(MID(G217,6,2)),VALUE(RIGHT(G217,2))),IF(ISNUMBER(FIND(".",G217)),DATE(VALUE(RIGHT(G217,4)),VALUE(MID(G217,4,2)),VALUE(LEFT(G217,2))),DATE(VALUE(RIGHT(G217,4)),VLOOKUP(TRIM(MID(G217,FIND(" ",G217)+1,LEN(G217)-FIND(" ",G217)-5)),Справочники!$M$3:$N$14,2,0),VALUE(LEFT(G217,FIND(" ",G217)-1))))),"")</f>
        <v>46731</v>
      </c>
      <c r="M217" t="str">
        <f t="shared" si="206"/>
        <v xml:space="preserve">+7 (903) 890-12-34</v>
      </c>
      <c r="N217" t="str">
        <f t="shared" si="207"/>
        <v>rudenko@gmail</v>
      </c>
      <c r="O217" t="str">
        <f t="shared" si="208"/>
        <v xml:space="preserve">Ошибка Email</v>
      </c>
      <c r="P217" t="str">
        <f>IFERROR(VLOOKUP(TRIM(SUBSTITUTE(SUBSTITUTE(" "&amp;F217," г "," "),"г.","")),Справочники!$J$3:$K$102,2,0),TRIM(SUBSTITUTE(SUBSTITUTE(" "&amp;F217," г "," "),"г.","")))</f>
        <v>Благовещенск</v>
      </c>
    </row>
    <row r="218">
      <c r="A218" s="3" t="s">
        <v>2443</v>
      </c>
      <c r="B218" s="3" t="s">
        <v>4926</v>
      </c>
      <c r="C218" s="3" t="s">
        <v>4927</v>
      </c>
      <c r="D218" s="3" t="s">
        <v>4007</v>
      </c>
      <c r="E218" s="3" t="s">
        <v>4928</v>
      </c>
      <c r="F218" s="3" t="s">
        <v>4310</v>
      </c>
      <c r="G218" s="3" t="s">
        <v>4929</v>
      </c>
      <c r="H218" t="str">
        <f t="shared" si="203"/>
        <v xml:space="preserve">Степанова Алла Владимировна</v>
      </c>
      <c r="I218" s="5">
        <f>IFERROR(IF(ISNUMBER(FIND("-",C218)),DATE(VALUE(LEFT(C218,4)),VALUE(MID(C218,6,2)),VALUE(RIGHT(C218,2))),IF(ISNUMBER(FIND(".",C218)),DATE(VALUE(RIGHT(C218,4)),VALUE(MID(C218,4,2)),VALUE(LEFT(C218,2))),DATE(VALUE(RIGHT(C218,4)),VLOOKUP(TRIM(MID(C218,FIND(" ",C218)+1,LEN(C218)-FIND(" ",C218)-5)),Справочники!$M$3:$N$14,2,0),VALUE(LEFT(C218,FIND(" ",C218)-1))))),"")</f>
        <v>31518</v>
      </c>
      <c r="J218" s="6">
        <f t="shared" si="204"/>
        <v>40</v>
      </c>
      <c r="K218" t="str">
        <f t="shared" si="205"/>
        <v>ОК</v>
      </c>
      <c r="L218" s="5">
        <f>IFERROR(IF(ISNUMBER(FIND("-",G218)),DATE(VALUE(LEFT(G218,4)),VALUE(MID(G218,6,2)),VALUE(RIGHT(G218,2))),IF(ISNUMBER(FIND(".",G218)),DATE(VALUE(RIGHT(G218,4)),VALUE(MID(G218,4,2)),VALUE(LEFT(G218,2))),DATE(VALUE(RIGHT(G218,4)),VLOOKUP(TRIM(MID(G218,FIND(" ",G218)+1,LEN(G218)-FIND(" ",G218)-5)),Справочники!$M$3:$N$14,2,0),VALUE(LEFT(G218,FIND(" ",G218)-1))))),"")</f>
        <v>46753</v>
      </c>
      <c r="M218" t="str">
        <f t="shared" si="206"/>
        <v xml:space="preserve">+7 (903) 890-12-34</v>
      </c>
      <c r="N218" t="str">
        <f t="shared" si="207"/>
        <v>stepanova@mail</v>
      </c>
      <c r="O218" t="str">
        <f t="shared" si="208"/>
        <v xml:space="preserve">Ошибка Email</v>
      </c>
      <c r="P218" t="str">
        <f>IFERROR(VLOOKUP(TRIM(SUBSTITUTE(SUBSTITUTE(" "&amp;F218," г "," "),"г.","")),Справочники!$J$3:$K$102,2,0),TRIM(SUBSTITUTE(SUBSTITUTE(" "&amp;F218," г "," "),"г.","")))</f>
        <v>Майкоп</v>
      </c>
    </row>
    <row r="219">
      <c r="A219" s="3" t="s">
        <v>2445</v>
      </c>
      <c r="B219" s="3" t="s">
        <v>4930</v>
      </c>
      <c r="C219" s="3" t="s">
        <v>4931</v>
      </c>
      <c r="D219" s="3" t="s">
        <v>1619</v>
      </c>
      <c r="E219" s="3" t="s">
        <v>4932</v>
      </c>
      <c r="F219" s="3" t="s">
        <v>4315</v>
      </c>
      <c r="G219" s="3" t="s">
        <v>4933</v>
      </c>
      <c r="H219" t="str">
        <f t="shared" si="203"/>
        <v xml:space="preserve">Мазур Илья Романович</v>
      </c>
      <c r="I219" s="5">
        <f>IFERROR(IF(ISNUMBER(FIND("-",C219)),DATE(VALUE(LEFT(C219,4)),VALUE(MID(C219,6,2)),VALUE(RIGHT(C219,2))),IF(ISNUMBER(FIND(".",C219)),DATE(VALUE(RIGHT(C219,4)),VALUE(MID(C219,4,2)),VALUE(LEFT(C219,2))),DATE(VALUE(RIGHT(C219,4)),VLOOKUP(TRIM(MID(C219,FIND(" ",C219)+1,LEN(C219)-FIND(" ",C219)-5)),Справочники!$M$3:$N$14,2,0),VALUE(LEFT(C219,FIND(" ",C219)-1))))),"")</f>
        <v>34585</v>
      </c>
      <c r="J219" s="6">
        <f t="shared" si="204"/>
        <v>32</v>
      </c>
      <c r="K219" t="str">
        <f t="shared" si="205"/>
        <v>ОК</v>
      </c>
      <c r="L219" s="5">
        <f>IFERROR(IF(ISNUMBER(FIND("-",G219)),DATE(VALUE(LEFT(G219,4)),VALUE(MID(G219,6,2)),VALUE(RIGHT(G219,2))),IF(ISNUMBER(FIND(".",G219)),DATE(VALUE(RIGHT(G219,4)),VALUE(MID(G219,4,2)),VALUE(LEFT(G219,2))),DATE(VALUE(RIGHT(G219,4)),VLOOKUP(TRIM(MID(G219,FIND(" ",G219)+1,LEN(G219)-FIND(" ",G219)-5)),Справочники!$M$3:$N$14,2,0),VALUE(LEFT(G219,FIND(" ",G219)-1))))),"")</f>
        <v>46767</v>
      </c>
      <c r="M219" t="str">
        <f t="shared" si="206"/>
        <v xml:space="preserve">+7 (903) 890-12-34</v>
      </c>
      <c r="N219" t="str">
        <f t="shared" si="207"/>
        <v>mazur@yandex</v>
      </c>
      <c r="O219" t="str">
        <f t="shared" si="208"/>
        <v xml:space="preserve">Ошибка Email</v>
      </c>
      <c r="P219" t="str">
        <f>IFERROR(VLOOKUP(TRIM(SUBSTITUTE(SUBSTITUTE(" "&amp;F219," г "," "),"г.","")),Справочники!$J$3:$K$102,2,0),TRIM(SUBSTITUTE(SUBSTITUTE(" "&amp;F219," г "," "),"г.","")))</f>
        <v>Уссурийск</v>
      </c>
    </row>
    <row r="220">
      <c r="A220" s="3" t="s">
        <v>2447</v>
      </c>
      <c r="B220" s="3" t="s">
        <v>4934</v>
      </c>
      <c r="C220" s="3" t="s">
        <v>4935</v>
      </c>
      <c r="D220" s="3" t="s">
        <v>4018</v>
      </c>
      <c r="E220" s="3" t="s">
        <v>4936</v>
      </c>
      <c r="F220" s="3" t="s">
        <v>4320</v>
      </c>
      <c r="G220" s="3" t="s">
        <v>4937</v>
      </c>
      <c r="H220" t="str">
        <f t="shared" si="203"/>
        <v xml:space="preserve">Касьянова Оксана Юрьевна</v>
      </c>
      <c r="I220" s="5">
        <f>IFERROR(IF(ISNUMBER(FIND("-",C220)),DATE(VALUE(LEFT(C220,4)),VALUE(MID(C220,6,2)),VALUE(RIGHT(C220,2))),IF(ISNUMBER(FIND(".",C220)),DATE(VALUE(RIGHT(C220,4)),VALUE(MID(C220,4,2)),VALUE(LEFT(C220,2))),DATE(VALUE(RIGHT(C220,4)),VLOOKUP(TRIM(MID(C220,FIND(" ",C220)+1,LEN(C220)-FIND(" ",C220)-5)),Справочники!$M$3:$N$14,2,0),VALUE(LEFT(C220,FIND(" ",C220)-1))))),"")</f>
        <v>29061</v>
      </c>
      <c r="J220" s="6">
        <f t="shared" si="204"/>
        <v>47</v>
      </c>
      <c r="K220" t="str">
        <f t="shared" si="205"/>
        <v>ОК</v>
      </c>
      <c r="L220" s="5">
        <f>IFERROR(IF(ISNUMBER(FIND("-",G220)),DATE(VALUE(LEFT(G220,4)),VALUE(MID(G220,6,2)),VALUE(RIGHT(G220,2))),IF(ISNUMBER(FIND(".",G220)),DATE(VALUE(RIGHT(G220,4)),VALUE(MID(G220,4,2)),VALUE(LEFT(G220,2))),DATE(VALUE(RIGHT(G220,4)),VLOOKUP(TRIM(MID(G220,FIND(" ",G220)+1,LEN(G220)-FIND(" ",G220)-5)),Справочники!$M$3:$N$14,2,0),VALUE(LEFT(G220,FIND(" ",G220)-1))))),"")</f>
        <v>46767</v>
      </c>
      <c r="M220" t="str">
        <f t="shared" si="206"/>
        <v xml:space="preserve">+7 (903) 901-23-45</v>
      </c>
      <c r="N220" t="str">
        <f t="shared" si="207"/>
        <v>kasyanova@gmail</v>
      </c>
      <c r="O220" t="str">
        <f t="shared" si="208"/>
        <v xml:space="preserve">Ошибка Email</v>
      </c>
      <c r="P220" t="str">
        <f>IFERROR(VLOOKUP(TRIM(SUBSTITUTE(SUBSTITUTE(" "&amp;F220," г "," "),"г.","")),Справочники!$J$3:$K$102,2,0),TRIM(SUBSTITUTE(SUBSTITUTE(" "&amp;F220," г "," "),"г.","")))</f>
        <v>Миасс</v>
      </c>
    </row>
    <row r="221">
      <c r="A221" s="3" t="s">
        <v>2448</v>
      </c>
      <c r="B221" s="3" t="s">
        <v>4938</v>
      </c>
      <c r="C221" s="3" t="s">
        <v>4620</v>
      </c>
      <c r="D221" s="3" t="s">
        <v>1626</v>
      </c>
      <c r="E221" s="3" t="s">
        <v>4939</v>
      </c>
      <c r="F221" s="3" t="s">
        <v>4325</v>
      </c>
      <c r="G221" s="3" t="s">
        <v>4940</v>
      </c>
      <c r="H221" t="str">
        <f t="shared" si="203"/>
        <v xml:space="preserve">Масленников Денис Олегович</v>
      </c>
      <c r="I221" s="5">
        <f>IFERROR(IF(ISNUMBER(FIND("-",C221)),DATE(VALUE(LEFT(C221,4)),VALUE(MID(C221,6,2)),VALUE(RIGHT(C221,2))),IF(ISNUMBER(FIND(".",C221)),DATE(VALUE(RIGHT(C221,4)),VALUE(MID(C221,4,2)),VALUE(LEFT(C221,2))),DATE(VALUE(RIGHT(C221,4)),VLOOKUP(TRIM(MID(C221,FIND(" ",C221)+1,LEN(C221)-FIND(" ",C221)-5)),Справочники!$M$3:$N$14,2,0),VALUE(LEFT(C221,FIND(" ",C221)-1))))),"")</f>
        <v>32216</v>
      </c>
      <c r="J221" s="6">
        <f t="shared" si="204"/>
        <v>38</v>
      </c>
      <c r="K221" t="str">
        <f t="shared" si="205"/>
        <v>ОК</v>
      </c>
      <c r="L221" s="5">
        <f>IFERROR(IF(ISNUMBER(FIND("-",G221)),DATE(VALUE(LEFT(G221,4)),VALUE(MID(G221,6,2)),VALUE(RIGHT(G221,2))),IF(ISNUMBER(FIND(".",G221)),DATE(VALUE(RIGHT(G221,4)),VALUE(MID(G221,4,2)),VALUE(LEFT(G221,2))),DATE(VALUE(RIGHT(G221,4)),VLOOKUP(TRIM(MID(G221,FIND(" ",G221)+1,LEN(G221)-FIND(" ",G221)-5)),Справочники!$M$3:$N$14,2,0),VALUE(LEFT(G221,FIND(" ",G221)-1))))),"")</f>
        <v>46784</v>
      </c>
      <c r="M221" t="str">
        <f t="shared" si="206"/>
        <v xml:space="preserve">+7 (903) 901-23-45</v>
      </c>
      <c r="N221" t="str">
        <f t="shared" si="207"/>
        <v>maslennikov@mail</v>
      </c>
      <c r="O221" t="str">
        <f t="shared" si="208"/>
        <v xml:space="preserve">Ошибка Email</v>
      </c>
      <c r="P221" t="str">
        <f>IFERROR(VLOOKUP(TRIM(SUBSTITUTE(SUBSTITUTE(" "&amp;F221," г "," "),"г.","")),Справочники!$J$3:$K$102,2,0),TRIM(SUBSTITUTE(SUBSTITUTE(" "&amp;F221," г "," "),"г.","")))</f>
        <v>Кызыл</v>
      </c>
    </row>
    <row r="222">
      <c r="A222" s="3" t="s">
        <v>2451</v>
      </c>
      <c r="B222" s="3" t="s">
        <v>4941</v>
      </c>
      <c r="C222" s="3" t="s">
        <v>4942</v>
      </c>
      <c r="D222" s="3" t="s">
        <v>4176</v>
      </c>
      <c r="E222" s="3" t="s">
        <v>4943</v>
      </c>
      <c r="F222" s="3" t="s">
        <v>4330</v>
      </c>
      <c r="G222" s="3" t="s">
        <v>4944</v>
      </c>
      <c r="H222" t="str">
        <f t="shared" si="203"/>
        <v xml:space="preserve">Чумак Екатерина Алексеевна</v>
      </c>
      <c r="I222" s="5">
        <f>IFERROR(IF(ISNUMBER(FIND("-",C222)),DATE(VALUE(LEFT(C222,4)),VALUE(MID(C222,6,2)),VALUE(RIGHT(C222,2))),IF(ISNUMBER(FIND(".",C222)),DATE(VALUE(RIGHT(C222,4)),VALUE(MID(C222,4,2)),VALUE(LEFT(C222,2))),DATE(VALUE(RIGHT(C222,4)),VLOOKUP(TRIM(MID(C222,FIND(" ",C222)+1,LEN(C222)-FIND(" ",C222)-5)),Справочники!$M$3:$N$14,2,0),VALUE(LEFT(C222,FIND(" ",C222)-1))))),"")</f>
        <v>29756</v>
      </c>
      <c r="J222" s="6">
        <f t="shared" si="204"/>
        <v>45</v>
      </c>
      <c r="K222" t="str">
        <f t="shared" si="205"/>
        <v>ОК</v>
      </c>
      <c r="L222" s="5">
        <f>IFERROR(IF(ISNUMBER(FIND("-",G222)),DATE(VALUE(LEFT(G222,4)),VALUE(MID(G222,6,2)),VALUE(RIGHT(G222,2))),IF(ISNUMBER(FIND(".",G222)),DATE(VALUE(RIGHT(G222,4)),VALUE(MID(G222,4,2)),VALUE(LEFT(G222,2))),DATE(VALUE(RIGHT(G222,4)),VLOOKUP(TRIM(MID(G222,FIND(" ",G222)+1,LEN(G222)-FIND(" ",G222)-5)),Справочники!$M$3:$N$14,2,0),VALUE(LEFT(G222,FIND(" ",G222)-1))))),"")</f>
        <v>46793</v>
      </c>
      <c r="M222" t="str">
        <f t="shared" si="206"/>
        <v xml:space="preserve">+7 (903) 901-23-45</v>
      </c>
      <c r="N222" t="str">
        <f t="shared" si="207"/>
        <v>chumak@yandex</v>
      </c>
      <c r="O222" t="str">
        <f t="shared" si="208"/>
        <v xml:space="preserve">Ошибка Email</v>
      </c>
      <c r="P222" t="str">
        <f>IFERROR(VLOOKUP(TRIM(SUBSTITUTE(SUBSTITUTE(" "&amp;F222," г "," "),"г.","")),Справочники!$J$3:$K$102,2,0),TRIM(SUBSTITUTE(SUBSTITUTE(" "&amp;F222," г "," "),"г.","")))</f>
        <v>Калининград</v>
      </c>
    </row>
    <row r="223">
      <c r="A223" s="3" t="s">
        <v>2452</v>
      </c>
      <c r="B223" s="3" t="s">
        <v>4945</v>
      </c>
      <c r="C223" s="3" t="s">
        <v>4946</v>
      </c>
      <c r="D223" s="3" t="s">
        <v>4182</v>
      </c>
      <c r="E223" s="3" t="s">
        <v>4947</v>
      </c>
      <c r="F223" s="3" t="s">
        <v>4335</v>
      </c>
      <c r="G223" s="3" t="s">
        <v>4948</v>
      </c>
      <c r="H223" t="str">
        <f t="shared" si="203"/>
        <v xml:space="preserve">Спицин Никита Павлович</v>
      </c>
      <c r="I223" s="5">
        <f>IFERROR(IF(ISNUMBER(FIND("-",C223)),DATE(VALUE(LEFT(C223,4)),VALUE(MID(C223,6,2)),VALUE(RIGHT(C223,2))),IF(ISNUMBER(FIND(".",C223)),DATE(VALUE(RIGHT(C223,4)),VALUE(MID(C223,4,2)),VALUE(LEFT(C223,2))),DATE(VALUE(RIGHT(C223,4)),VLOOKUP(TRIM(MID(C223,FIND(" ",C223)+1,LEN(C223)-FIND(" ",C223)-5)),Справочники!$M$3:$N$14,2,0),VALUE(LEFT(C223,FIND(" ",C223)-1))))),"")</f>
        <v>27668</v>
      </c>
      <c r="J223" s="6">
        <f t="shared" si="204"/>
        <v>51</v>
      </c>
      <c r="K223" t="str">
        <f t="shared" si="205"/>
        <v>ОК</v>
      </c>
      <c r="L223" s="5">
        <f>IFERROR(IF(ISNUMBER(FIND("-",G223)),DATE(VALUE(LEFT(G223,4)),VALUE(MID(G223,6,2)),VALUE(RIGHT(G223,2))),IF(ISNUMBER(FIND(".",G223)),DATE(VALUE(RIGHT(G223,4)),VALUE(MID(G223,4,2)),VALUE(LEFT(G223,2))),DATE(VALUE(RIGHT(G223,4)),VLOOKUP(TRIM(MID(G223,FIND(" ",G223)+1,LEN(G223)-FIND(" ",G223)-5)),Справочники!$M$3:$N$14,2,0),VALUE(LEFT(G223,FIND(" ",G223)-1))))),"")</f>
        <v>46793</v>
      </c>
      <c r="M223" t="str">
        <f t="shared" si="206"/>
        <v xml:space="preserve">+7 (903) 012-34-56</v>
      </c>
      <c r="N223" t="str">
        <f t="shared" si="207"/>
        <v>spicin@gmail</v>
      </c>
      <c r="O223" t="str">
        <f t="shared" si="208"/>
        <v xml:space="preserve">Ошибка Email</v>
      </c>
      <c r="P223" t="str">
        <f>IFERROR(VLOOKUP(TRIM(SUBSTITUTE(SUBSTITUTE(" "&amp;F223," г "," "),"г.","")),Справочники!$J$3:$K$102,2,0),TRIM(SUBSTITUTE(SUBSTITUTE(" "&amp;F223," г "," "),"г.","")))</f>
        <v>Петрозаводск</v>
      </c>
    </row>
    <row r="224">
      <c r="A224" s="3" t="s">
        <v>2455</v>
      </c>
      <c r="B224" s="3" t="s">
        <v>4949</v>
      </c>
      <c r="C224" s="3" t="s">
        <v>4950</v>
      </c>
      <c r="D224" s="3" t="s">
        <v>4188</v>
      </c>
      <c r="E224" s="3" t="s">
        <v>4951</v>
      </c>
      <c r="F224" s="3" t="s">
        <v>4340</v>
      </c>
      <c r="G224" s="3" t="s">
        <v>4952</v>
      </c>
      <c r="H224" t="str">
        <f t="shared" si="203"/>
        <v xml:space="preserve">Ткаченко Ольга Викторовна</v>
      </c>
      <c r="I224" s="5">
        <f>IFERROR(IF(ISNUMBER(FIND("-",C224)),DATE(VALUE(LEFT(C224,4)),VALUE(MID(C224,6,2)),VALUE(RIGHT(C224,2))),IF(ISNUMBER(FIND(".",C224)),DATE(VALUE(RIGHT(C224,4)),VALUE(MID(C224,4,2)),VALUE(LEFT(C224,2))),DATE(VALUE(RIGHT(C224,4)),VLOOKUP(TRIM(MID(C224,FIND(" ",C224)+1,LEN(C224)-FIND(" ",C224)-5)),Справочники!$M$3:$N$14,2,0),VALUE(LEFT(C224,FIND(" ",C224)-1))))),"")</f>
        <v>31043</v>
      </c>
      <c r="J224" s="6">
        <f t="shared" si="204"/>
        <v>41</v>
      </c>
      <c r="K224" t="str">
        <f t="shared" si="205"/>
        <v>ОК</v>
      </c>
      <c r="L224" s="5">
        <f>IFERROR(IF(ISNUMBER(FIND("-",G224)),DATE(VALUE(LEFT(G224,4)),VALUE(MID(G224,6,2)),VALUE(RIGHT(G224,2))),IF(ISNUMBER(FIND(".",G224)),DATE(VALUE(RIGHT(G224,4)),VALUE(MID(G224,4,2)),VALUE(LEFT(G224,2))),DATE(VALUE(RIGHT(G224,4)),VLOOKUP(TRIM(MID(G224,FIND(" ",G224)+1,LEN(G224)-FIND(" ",G224)-5)),Справочники!$M$3:$N$14,2,0),VALUE(LEFT(G224,FIND(" ",G224)-1))))),"")</f>
        <v>46813</v>
      </c>
      <c r="M224" t="str">
        <f t="shared" si="206"/>
        <v xml:space="preserve">+7 (903) 012-34-56</v>
      </c>
      <c r="N224" t="str">
        <f t="shared" si="207"/>
        <v>tkachenko@mail</v>
      </c>
      <c r="O224" t="str">
        <f t="shared" si="208"/>
        <v xml:space="preserve">Ошибка Email</v>
      </c>
      <c r="P224" t="str">
        <f>IFERROR(VLOOKUP(TRIM(SUBSTITUTE(SUBSTITUTE(" "&amp;F224," г "," "),"г.","")),Справочники!$J$3:$K$102,2,0),TRIM(SUBSTITUTE(SUBSTITUTE(" "&amp;F224," г "," "),"г.","")))</f>
        <v>Рубцовск</v>
      </c>
    </row>
    <row r="225">
      <c r="A225" s="3" t="s">
        <v>2457</v>
      </c>
      <c r="B225" s="3" t="s">
        <v>4953</v>
      </c>
      <c r="C225" s="3" t="s">
        <v>4954</v>
      </c>
      <c r="D225" s="3" t="s">
        <v>1633</v>
      </c>
      <c r="E225" s="3" t="s">
        <v>4955</v>
      </c>
      <c r="F225" s="3" t="s">
        <v>4345</v>
      </c>
      <c r="G225" s="3" t="s">
        <v>4956</v>
      </c>
      <c r="H225" t="str">
        <f t="shared" si="203"/>
        <v xml:space="preserve">Загорский Анатолий Сергеевич</v>
      </c>
      <c r="I225" s="5">
        <f>IFERROR(IF(ISNUMBER(FIND("-",C225)),DATE(VALUE(LEFT(C225,4)),VALUE(MID(C225,6,2)),VALUE(RIGHT(C225,2))),IF(ISNUMBER(FIND(".",C225)),DATE(VALUE(RIGHT(C225,4)),VALUE(MID(C225,4,2)),VALUE(LEFT(C225,2))),DATE(VALUE(RIGHT(C225,4)),VLOOKUP(TRIM(MID(C225,FIND(" ",C225)+1,LEN(C225)-FIND(" ",C225)-5)),Справочники!$M$3:$N$14,2,0),VALUE(LEFT(C225,FIND(" ",C225)-1))))),"")</f>
        <v>33831</v>
      </c>
      <c r="J225" s="6">
        <f t="shared" si="204"/>
        <v>34</v>
      </c>
      <c r="K225" t="str">
        <f t="shared" si="205"/>
        <v>ОК</v>
      </c>
      <c r="L225" s="5">
        <f>IFERROR(IF(ISNUMBER(FIND("-",G225)),DATE(VALUE(LEFT(G225,4)),VALUE(MID(G225,6,2)),VALUE(RIGHT(G225,2))),IF(ISNUMBER(FIND(".",G225)),DATE(VALUE(RIGHT(G225,4)),VALUE(MID(G225,4,2)),VALUE(LEFT(G225,2))),DATE(VALUE(RIGHT(G225,4)),VLOOKUP(TRIM(MID(G225,FIND(" ",G225)+1,LEN(G225)-FIND(" ",G225)-5)),Справочники!$M$3:$N$14,2,0),VALUE(LEFT(G225,FIND(" ",G225)-1))))),"")</f>
        <v>46827</v>
      </c>
      <c r="M225" t="str">
        <f t="shared" si="206"/>
        <v xml:space="preserve">+7 (903) 012-34-56</v>
      </c>
      <c r="N225" t="str">
        <f t="shared" si="207"/>
        <v>zagorsky@yandex</v>
      </c>
      <c r="O225" t="str">
        <f t="shared" si="208"/>
        <v xml:space="preserve">Ошибка Email</v>
      </c>
      <c r="P225" t="str">
        <f>IFERROR(VLOOKUP(TRIM(SUBSTITUTE(SUBSTITUTE(" "&amp;F225," г "," "),"г.","")),Справочники!$J$3:$K$102,2,0),TRIM(SUBSTITUTE(SUBSTITUTE(" "&amp;F225," г "," "),"г.","")))</f>
        <v>Элиста</v>
      </c>
    </row>
    <row r="226">
      <c r="A226" s="3" t="s">
        <v>2460</v>
      </c>
      <c r="B226" s="3" t="s">
        <v>4957</v>
      </c>
      <c r="C226" s="3" t="s">
        <v>4958</v>
      </c>
      <c r="D226" s="3" t="s">
        <v>4034</v>
      </c>
      <c r="E226" s="3" t="s">
        <v>4661</v>
      </c>
      <c r="F226" s="3" t="s">
        <v>4350</v>
      </c>
      <c r="G226" s="3" t="s">
        <v>4959</v>
      </c>
      <c r="H226" t="str">
        <f t="shared" si="203"/>
        <v xml:space="preserve">Сидорова Ольга Ивановна</v>
      </c>
      <c r="I226" s="5">
        <f>IFERROR(IF(ISNUMBER(FIND("-",C226)),DATE(VALUE(LEFT(C226,4)),VALUE(MID(C226,6,2)),VALUE(RIGHT(C226,2))),IF(ISNUMBER(FIND(".",C226)),DATE(VALUE(RIGHT(C226,4)),VALUE(MID(C226,4,2)),VALUE(LEFT(C226,2))),DATE(VALUE(RIGHT(C226,4)),VLOOKUP(TRIM(MID(C226,FIND(" ",C226)+1,LEN(C226)-FIND(" ",C226)-5)),Справочники!$M$3:$N$14,2,0),VALUE(LEFT(C226,FIND(" ",C226)-1))))),"")</f>
        <v>26972</v>
      </c>
      <c r="J226" s="6">
        <f t="shared" si="204"/>
        <v>52</v>
      </c>
      <c r="K226" t="str">
        <f t="shared" si="205"/>
        <v>ОК</v>
      </c>
      <c r="L226" s="5">
        <f>IFERROR(IF(ISNUMBER(FIND("-",G226)),DATE(VALUE(LEFT(G226,4)),VALUE(MID(G226,6,2)),VALUE(RIGHT(G226,2))),IF(ISNUMBER(FIND(".",G226)),DATE(VALUE(RIGHT(G226,4)),VALUE(MID(G226,4,2)),VALUE(LEFT(G226,2))),DATE(VALUE(RIGHT(G226,4)),VLOOKUP(TRIM(MID(G226,FIND(" ",G226)+1,LEN(G226)-FIND(" ",G226)-5)),Справочники!$M$3:$N$14,2,0),VALUE(LEFT(G226,FIND(" ",G226)-1))))),"")</f>
        <v>46827</v>
      </c>
      <c r="M226" t="str">
        <f t="shared" si="206"/>
        <v xml:space="preserve">+7 (903) 123-45-67</v>
      </c>
      <c r="N226" t="str">
        <f t="shared" si="207"/>
        <v>sidorova@gmail</v>
      </c>
      <c r="O226" t="str">
        <f t="shared" si="208"/>
        <v xml:space="preserve">Ошибка Email</v>
      </c>
      <c r="P226" t="str">
        <f>IFERROR(VLOOKUP(TRIM(SUBSTITUTE(SUBSTITUTE(" "&amp;F226," г "," "),"г.","")),Справочники!$J$3:$K$102,2,0),TRIM(SUBSTITUTE(SUBSTITUTE(" "&amp;F226," г "," "),"г.","")))</f>
        <v>Орск</v>
      </c>
    </row>
    <row r="227">
      <c r="A227" s="3" t="s">
        <v>2462</v>
      </c>
      <c r="B227" s="3" t="s">
        <v>4960</v>
      </c>
      <c r="C227" s="3" t="s">
        <v>4961</v>
      </c>
      <c r="D227" s="3" t="s">
        <v>4040</v>
      </c>
      <c r="E227" s="3" t="s">
        <v>4962</v>
      </c>
      <c r="F227" s="3" t="s">
        <v>4355</v>
      </c>
      <c r="G227" s="3" t="s">
        <v>4963</v>
      </c>
      <c r="H227" t="str">
        <f t="shared" si="203"/>
        <v xml:space="preserve">Попова Надежда Петровна</v>
      </c>
      <c r="I227" s="5">
        <f>IFERROR(IF(ISNUMBER(FIND("-",C227)),DATE(VALUE(LEFT(C227,4)),VALUE(MID(C227,6,2)),VALUE(RIGHT(C227,2))),IF(ISNUMBER(FIND(".",C227)),DATE(VALUE(RIGHT(C227,4)),VALUE(MID(C227,4,2)),VALUE(LEFT(C227,2))),DATE(VALUE(RIGHT(C227,4)),VLOOKUP(TRIM(MID(C227,FIND(" ",C227)+1,LEN(C227)-FIND(" ",C227)-5)),Справочники!$M$3:$N$14,2,0),VALUE(LEFT(C227,FIND(" ",C227)-1))))),"")</f>
        <v>31492</v>
      </c>
      <c r="J227" s="6">
        <f t="shared" si="204"/>
        <v>40</v>
      </c>
      <c r="K227" t="str">
        <f t="shared" si="205"/>
        <v>ОК</v>
      </c>
      <c r="L227" s="5">
        <f>IFERROR(IF(ISNUMBER(FIND("-",G227)),DATE(VALUE(LEFT(G227,4)),VALUE(MID(G227,6,2)),VALUE(RIGHT(G227,2))),IF(ISNUMBER(FIND(".",G227)),DATE(VALUE(RIGHT(G227,4)),VALUE(MID(G227,4,2)),VALUE(LEFT(G227,2))),DATE(VALUE(RIGHT(G227,4)),VLOOKUP(TRIM(MID(G227,FIND(" ",G227)+1,LEN(G227)-FIND(" ",G227)-5)),Справочники!$M$3:$N$14,2,0),VALUE(LEFT(G227,FIND(" ",G227)-1))))),"")</f>
        <v>46844</v>
      </c>
      <c r="M227" t="str">
        <f t="shared" si="206"/>
        <v xml:space="preserve">+7 (903) 123-45-67</v>
      </c>
      <c r="N227" t="str">
        <f t="shared" si="207"/>
        <v>popova@mail</v>
      </c>
      <c r="O227" t="str">
        <f t="shared" si="208"/>
        <v xml:space="preserve">Ошибка Email</v>
      </c>
      <c r="P227" t="str">
        <f>IFERROR(VLOOKUP(TRIM(SUBSTITUTE(SUBSTITUTE(" "&amp;F227," г "," "),"г.","")),Справочники!$J$3:$K$102,2,0),TRIM(SUBSTITUTE(SUBSTITUTE(" "&amp;F227," г "," "),"г.","")))</f>
        <v>Нижневартовск</v>
      </c>
    </row>
    <row r="228">
      <c r="A228" s="3" t="s">
        <v>2464</v>
      </c>
      <c r="B228" s="3" t="s">
        <v>4964</v>
      </c>
      <c r="C228" s="3" t="s">
        <v>4965</v>
      </c>
      <c r="D228" s="3" t="s">
        <v>1570</v>
      </c>
      <c r="E228" s="3" t="s">
        <v>4966</v>
      </c>
      <c r="F228" s="3" t="s">
        <v>4360</v>
      </c>
      <c r="G228" s="3" t="s">
        <v>4967</v>
      </c>
      <c r="H228" t="str">
        <f t="shared" ref="H228:H291" si="209">PROPER(TRIM(B228))</f>
        <v xml:space="preserve">Чехов Илья Александрович</v>
      </c>
      <c r="I228" s="5">
        <f>IFERROR(IF(ISNUMBER(FIND("-",C228)),DATE(VALUE(LEFT(C228,4)),VALUE(MID(C228,6,2)),VALUE(RIGHT(C228,2))),IF(ISNUMBER(FIND(".",C228)),DATE(VALUE(RIGHT(C228,4)),VALUE(MID(C228,4,2)),VALUE(LEFT(C228,2))),DATE(VALUE(RIGHT(C228,4)),VLOOKUP(TRIM(MID(C228,FIND(" ",C228)+1,LEN(C228)-FIND(" ",C228)-5)),Справочники!$M$3:$N$14,2,0),VALUE(LEFT(C228,FIND(" ",C228)-1))))),"")</f>
        <v>33397</v>
      </c>
      <c r="J228" s="6">
        <f t="shared" ref="J228:J291" si="210">IF(I228="","",DATEDIF(I228,TODAY(),"Y"))</f>
        <v>35</v>
      </c>
      <c r="K228" t="str">
        <f t="shared" ref="K228:K291" si="211">IF(OR(I228="",J228&lt;18,J228&gt;120),"Ошибка даты рождения","ОК")</f>
        <v>ОК</v>
      </c>
      <c r="L228" s="5">
        <f>IFERROR(IF(ISNUMBER(FIND("-",G228)),DATE(VALUE(LEFT(G228,4)),VALUE(MID(G228,6,2)),VALUE(RIGHT(G228,2))),IF(ISNUMBER(FIND(".",G228)),DATE(VALUE(RIGHT(G228,4)),VALUE(MID(G228,4,2)),VALUE(LEFT(G228,2))),DATE(VALUE(RIGHT(G228,4)),VLOOKUP(TRIM(MID(G228,FIND(" ",G228)+1,LEN(G228)-FIND(" ",G228)-5)),Справочники!$M$3:$N$14,2,0),VALUE(LEFT(G228,FIND(" ",G228)-1))))),"")</f>
        <v>46853</v>
      </c>
      <c r="M228" t="str">
        <f t="shared" ref="M228:M291" si="212">IF(LEN(SUBSTITUTE(SUBSTITUTE(SUBSTITUTE(SUBSTITUTE(SUBSTITUTE(D228,"+",""),"-","")," ",""),"(",""),")",""))&lt;10,"Ошибка телефона","+7 ("&amp;MID(RIGHT(SUBSTITUTE(SUBSTITUTE(SUBSTITUTE(SUBSTITUTE(SUBSTITUTE(D228,"+",""),"-","")," ",""),"(",""),")",""),10),1,3)&amp;") "&amp;MID(RIGHT(SUBSTITUTE(SUBSTITUTE(SUBSTITUTE(SUBSTITUTE(SUBSTITUTE(D228,"+",""),"-","")," ",""),"(",""),")",""),10),4,3)&amp;"-"&amp;MID(RIGHT(SUBSTITUTE(SUBSTITUTE(SUBSTITUTE(SUBSTITUTE(SUBSTITUTE(D228,"+",""),"-","")," ",""),"(",""),")",""),10),7,2)&amp;"-"&amp;RIGHT(SUBSTITUTE(SUBSTITUTE(SUBSTITUTE(SUBSTITUTE(SUBSTITUTE(D228,"+",""),"-","")," ",""),"(",""),")",""),2))</f>
        <v xml:space="preserve">+7 (903) 123-45-67</v>
      </c>
      <c r="N228" t="str">
        <f t="shared" ref="N228:N291" si="213">LOWER(SUBSTITUTE(TRIM(E228)," ",""))</f>
        <v>chehov@yandex</v>
      </c>
      <c r="O228" t="str">
        <f t="shared" ref="O228:O291" si="214">IF(AND(ISNUMBER(FIND("@",N228)),ISNUMBER(FIND(".",N228,FIND("@",N228)+2))),"ОК","Ошибка Email")</f>
        <v xml:space="preserve">Ошибка Email</v>
      </c>
      <c r="P228" t="str">
        <f>IFERROR(VLOOKUP(TRIM(SUBSTITUTE(SUBSTITUTE(" "&amp;F228," г "," "),"г.","")),Справочники!$J$3:$K$102,2,0),TRIM(SUBSTITUTE(SUBSTITUTE(" "&amp;F228," г "," "),"г.","")))</f>
        <v>Новороссийск</v>
      </c>
    </row>
    <row r="229">
      <c r="A229" s="3" t="s">
        <v>2466</v>
      </c>
      <c r="B229" s="3" t="s">
        <v>4968</v>
      </c>
      <c r="C229" s="3" t="s">
        <v>4969</v>
      </c>
      <c r="D229" s="3" t="s">
        <v>4051</v>
      </c>
      <c r="E229" s="3" t="s">
        <v>4970</v>
      </c>
      <c r="F229" s="3" t="s">
        <v>4365</v>
      </c>
      <c r="G229" s="3" t="s">
        <v>4971</v>
      </c>
      <c r="H229" t="str">
        <f t="shared" si="209"/>
        <v xml:space="preserve">Курочкина Мария Андреевна</v>
      </c>
      <c r="I229" s="5">
        <f>IFERROR(IF(ISNUMBER(FIND("-",C229)),DATE(VALUE(LEFT(C229,4)),VALUE(MID(C229,6,2)),VALUE(RIGHT(C229,2))),IF(ISNUMBER(FIND(".",C229)),DATE(VALUE(RIGHT(C229,4)),VALUE(MID(C229,4,2)),VALUE(LEFT(C229,2))),DATE(VALUE(RIGHT(C229,4)),VLOOKUP(TRIM(MID(C229,FIND(" ",C229)+1,LEN(C229)-FIND(" ",C229)-5)),Справочники!$M$3:$N$14,2,0),VALUE(LEFT(C229,FIND(" ",C229)-1))))),"")</f>
        <v>28475</v>
      </c>
      <c r="J229" s="6">
        <f t="shared" si="210"/>
        <v>48</v>
      </c>
      <c r="K229" t="str">
        <f t="shared" si="211"/>
        <v>ОК</v>
      </c>
      <c r="L229" s="5">
        <f>IFERROR(IF(ISNUMBER(FIND("-",G229)),DATE(VALUE(LEFT(G229,4)),VALUE(MID(G229,6,2)),VALUE(RIGHT(G229,2))),IF(ISNUMBER(FIND(".",G229)),DATE(VALUE(RIGHT(G229,4)),VALUE(MID(G229,4,2)),VALUE(LEFT(G229,2))),DATE(VALUE(RIGHT(G229,4)),VLOOKUP(TRIM(MID(G229,FIND(" ",G229)+1,LEN(G229)-FIND(" ",G229)-5)),Справочники!$M$3:$N$14,2,0),VALUE(LEFT(G229,FIND(" ",G229)-1))))),"")</f>
        <v>46853</v>
      </c>
      <c r="M229" t="str">
        <f t="shared" si="212"/>
        <v xml:space="preserve">+7 (903) 234-56-78</v>
      </c>
      <c r="N229" t="str">
        <f t="shared" si="213"/>
        <v>kurochkina@gmail</v>
      </c>
      <c r="O229" t="str">
        <f t="shared" si="214"/>
        <v xml:space="preserve">Ошибка Email</v>
      </c>
      <c r="P229" t="str">
        <f>IFERROR(VLOOKUP(TRIM(SUBSTITUTE(SUBSTITUTE(" "&amp;F229," г "," "),"г.","")),Справочники!$J$3:$K$102,2,0),TRIM(SUBSTITUTE(SUBSTITUTE(" "&amp;F229," г "," "),"г.","")))</f>
        <v>Химки</v>
      </c>
    </row>
    <row r="230">
      <c r="A230" s="3" t="s">
        <v>2469</v>
      </c>
      <c r="B230" s="3" t="s">
        <v>4972</v>
      </c>
      <c r="C230" s="3" t="s">
        <v>4973</v>
      </c>
      <c r="D230" s="3" t="s">
        <v>4057</v>
      </c>
      <c r="E230" s="3" t="s">
        <v>4974</v>
      </c>
      <c r="F230" s="3" t="s">
        <v>4370</v>
      </c>
      <c r="G230" s="3" t="s">
        <v>4975</v>
      </c>
      <c r="H230" t="str">
        <f t="shared" si="209"/>
        <v xml:space="preserve">Печеневский Артем Валентинович</v>
      </c>
      <c r="I230" s="5">
        <f>IFERROR(IF(ISNUMBER(FIND("-",C230)),DATE(VALUE(LEFT(C230,4)),VALUE(MID(C230,6,2)),VALUE(RIGHT(C230,2))),IF(ISNUMBER(FIND(".",C230)),DATE(VALUE(RIGHT(C230,4)),VALUE(MID(C230,4,2)),VALUE(LEFT(C230,2))),DATE(VALUE(RIGHT(C230,4)),VLOOKUP(TRIM(MID(C230,FIND(" ",C230)+1,LEN(C230)-FIND(" ",C230)-5)),Справочники!$M$3:$N$14,2,0),VALUE(LEFT(C230,FIND(" ",C230)-1))))),"")</f>
        <v>30561</v>
      </c>
      <c r="J230" s="6">
        <f t="shared" si="210"/>
        <v>43</v>
      </c>
      <c r="K230" t="str">
        <f t="shared" si="211"/>
        <v>ОК</v>
      </c>
      <c r="L230" s="5">
        <f>IFERROR(IF(ISNUMBER(FIND("-",G230)),DATE(VALUE(LEFT(G230,4)),VALUE(MID(G230,6,2)),VALUE(RIGHT(G230,2))),IF(ISNUMBER(FIND(".",G230)),DATE(VALUE(RIGHT(G230,4)),VALUE(MID(G230,4,2)),VALUE(LEFT(G230,2))),DATE(VALUE(RIGHT(G230,4)),VLOOKUP(TRIM(MID(G230,FIND(" ",G230)+1,LEN(G230)-FIND(" ",G230)-5)),Справочники!$M$3:$N$14,2,0),VALUE(LEFT(G230,FIND(" ",G230)-1))))),"")</f>
        <v>46874</v>
      </c>
      <c r="M230" t="str">
        <f t="shared" si="212"/>
        <v xml:space="preserve">+7 (903) 234-56-78</v>
      </c>
      <c r="N230" t="str">
        <f t="shared" si="213"/>
        <v>pechenevsky@mail</v>
      </c>
      <c r="O230" t="str">
        <f t="shared" si="214"/>
        <v xml:space="preserve">Ошибка Email</v>
      </c>
      <c r="P230" t="str">
        <f>IFERROR(VLOOKUP(TRIM(SUBSTITUTE(SUBSTITUTE(" "&amp;F230," г "," "),"г.","")),Справочники!$J$3:$K$102,2,0),TRIM(SUBSTITUTE(SUBSTITUTE(" "&amp;F230," г "," "),"г.","")))</f>
        <v>Подольск</v>
      </c>
    </row>
    <row r="231">
      <c r="A231" s="3" t="s">
        <v>2471</v>
      </c>
      <c r="B231" s="3" t="s">
        <v>4976</v>
      </c>
      <c r="C231" s="3" t="s">
        <v>4977</v>
      </c>
      <c r="D231" s="3" t="s">
        <v>1712</v>
      </c>
      <c r="E231" s="3" t="s">
        <v>4978</v>
      </c>
      <c r="F231" s="3" t="s">
        <v>4375</v>
      </c>
      <c r="G231" s="3" t="s">
        <v>4979</v>
      </c>
      <c r="H231" t="str">
        <f t="shared" si="209"/>
        <v xml:space="preserve">Смагина Елена Юрьевна</v>
      </c>
      <c r="I231" s="5">
        <f>IFERROR(IF(ISNUMBER(FIND("-",C231)),DATE(VALUE(LEFT(C231,4)),VALUE(MID(C231,6,2)),VALUE(RIGHT(C231,2))),IF(ISNUMBER(FIND(".",C231)),DATE(VALUE(RIGHT(C231,4)),VALUE(MID(C231,4,2)),VALUE(LEFT(C231,2))),DATE(VALUE(RIGHT(C231,4)),VLOOKUP(TRIM(MID(C231,FIND(" ",C231)+1,LEN(C231)-FIND(" ",C231)-5)),Справочники!$M$3:$N$14,2,0),VALUE(LEFT(C231,FIND(" ",C231)-1))))),"")</f>
        <v>34112</v>
      </c>
      <c r="J231" s="6">
        <f t="shared" si="210"/>
        <v>33</v>
      </c>
      <c r="K231" t="str">
        <f t="shared" si="211"/>
        <v>ОК</v>
      </c>
      <c r="L231" s="5">
        <f>IFERROR(IF(ISNUMBER(FIND("-",G231)),DATE(VALUE(LEFT(G231,4)),VALUE(MID(G231,6,2)),VALUE(RIGHT(G231,2))),IF(ISNUMBER(FIND(".",G231)),DATE(VALUE(RIGHT(G231,4)),VALUE(MID(G231,4,2)),VALUE(LEFT(G231,2))),DATE(VALUE(RIGHT(G231,4)),VLOOKUP(TRIM(MID(G231,FIND(" ",G231)+1,LEN(G231)-FIND(" ",G231)-5)),Справочники!$M$3:$N$14,2,0),VALUE(LEFT(G231,FIND(" ",G231)-1))))),"")</f>
        <v>46888</v>
      </c>
      <c r="M231" t="str">
        <f t="shared" si="212"/>
        <v xml:space="preserve">+7 (903) 234-56-78</v>
      </c>
      <c r="N231" t="str">
        <f t="shared" si="213"/>
        <v>smagina@yandex</v>
      </c>
      <c r="O231" t="str">
        <f t="shared" si="214"/>
        <v xml:space="preserve">Ошибка Email</v>
      </c>
      <c r="P231" t="str">
        <f>IFERROR(VLOOKUP(TRIM(SUBSTITUTE(SUBSTITUTE(" "&amp;F231," г "," "),"г.","")),Справочники!$J$3:$K$102,2,0),TRIM(SUBSTITUTE(SUBSTITUTE(" "&amp;F231," г "," "),"г.","")))</f>
        <v>Балашиха</v>
      </c>
    </row>
    <row r="232">
      <c r="A232" s="3" t="s">
        <v>2474</v>
      </c>
      <c r="B232" s="3" t="s">
        <v>4980</v>
      </c>
      <c r="C232" s="3" t="s">
        <v>4981</v>
      </c>
      <c r="D232" s="3" t="s">
        <v>1584</v>
      </c>
      <c r="E232" s="3" t="s">
        <v>4982</v>
      </c>
      <c r="F232" s="3" t="s">
        <v>4380</v>
      </c>
      <c r="G232" s="3" t="s">
        <v>4983</v>
      </c>
      <c r="H232" t="str">
        <f t="shared" si="209"/>
        <v xml:space="preserve">Гущин Илья Николаевич</v>
      </c>
      <c r="I232" s="5">
        <f>IFERROR(IF(ISNUMBER(FIND("-",C232)),DATE(VALUE(LEFT(C232,4)),VALUE(MID(C232,6,2)),VALUE(RIGHT(C232,2))),IF(ISNUMBER(FIND(".",C232)),DATE(VALUE(RIGHT(C232,4)),VALUE(MID(C232,4,2)),VALUE(LEFT(C232,2))),DATE(VALUE(RIGHT(C232,4)),VLOOKUP(TRIM(MID(C232,FIND(" ",C232)+1,LEN(C232)-FIND(" ",C232)-5)),Справочники!$M$3:$N$14,2,0),VALUE(LEFT(C232,FIND(" ",C232)-1))))),"")</f>
        <v>26125</v>
      </c>
      <c r="J232" s="6">
        <f t="shared" si="210"/>
        <v>55</v>
      </c>
      <c r="K232" t="str">
        <f t="shared" si="211"/>
        <v>ОК</v>
      </c>
      <c r="L232" s="5">
        <f>IFERROR(IF(ISNUMBER(FIND("-",G232)),DATE(VALUE(LEFT(G232,4)),VALUE(MID(G232,6,2)),VALUE(RIGHT(G232,2))),IF(ISNUMBER(FIND(".",G232)),DATE(VALUE(RIGHT(G232,4)),VALUE(MID(G232,4,2)),VALUE(LEFT(G232,2))),DATE(VALUE(RIGHT(G232,4)),VLOOKUP(TRIM(MID(G232,FIND(" ",G232)+1,LEN(G232)-FIND(" ",G232)-5)),Справочники!$M$3:$N$14,2,0),VALUE(LEFT(G232,FIND(" ",G232)-1))))),"")</f>
        <v>46888</v>
      </c>
      <c r="M232" t="str">
        <f t="shared" si="212"/>
        <v xml:space="preserve">+7 (903) 345-67-89</v>
      </c>
      <c r="N232" t="str">
        <f t="shared" si="213"/>
        <v>guschin@gmail</v>
      </c>
      <c r="O232" t="str">
        <f t="shared" si="214"/>
        <v xml:space="preserve">Ошибка Email</v>
      </c>
      <c r="P232" t="str">
        <f>IFERROR(VLOOKUP(TRIM(SUBSTITUTE(SUBSTITUTE(" "&amp;F232," г "," "),"г.","")),Справочники!$J$3:$K$102,2,0),TRIM(SUBSTITUTE(SUBSTITUTE(" "&amp;F232," г "," "),"г.","")))</f>
        <v>Сургут</v>
      </c>
    </row>
    <row r="233">
      <c r="A233" s="3" t="s">
        <v>2476</v>
      </c>
      <c r="B233" s="3" t="s">
        <v>4984</v>
      </c>
      <c r="C233" s="3" t="s">
        <v>4985</v>
      </c>
      <c r="D233" s="3" t="s">
        <v>4073</v>
      </c>
      <c r="E233" s="3" t="s">
        <v>4986</v>
      </c>
      <c r="F233" s="3" t="s">
        <v>4385</v>
      </c>
      <c r="G233" s="3" t="s">
        <v>4987</v>
      </c>
      <c r="H233" t="str">
        <f t="shared" si="209"/>
        <v xml:space="preserve">Минаев Владислав Владимирович</v>
      </c>
      <c r="I233" s="5">
        <f>IFERROR(IF(ISNUMBER(FIND("-",C233)),DATE(VALUE(LEFT(C233,4)),VALUE(MID(C233,6,2)),VALUE(RIGHT(C233,2))),IF(ISNUMBER(FIND(".",C233)),DATE(VALUE(RIGHT(C233,4)),VALUE(MID(C233,4,2)),VALUE(LEFT(C233,2))),DATE(VALUE(RIGHT(C233,4)),VLOOKUP(TRIM(MID(C233,FIND(" ",C233)+1,LEN(C233)-FIND(" ",C233)-5)),Справочники!$M$3:$N$14,2,0),VALUE(LEFT(C233,FIND(" ",C233)-1))))),"")</f>
        <v>31441</v>
      </c>
      <c r="J233" s="6">
        <f t="shared" si="210"/>
        <v>40</v>
      </c>
      <c r="K233" t="str">
        <f t="shared" si="211"/>
        <v>ОК</v>
      </c>
      <c r="L233" s="5">
        <f>IFERROR(IF(ISNUMBER(FIND("-",G233)),DATE(VALUE(LEFT(G233,4)),VALUE(MID(G233,6,2)),VALUE(RIGHT(G233,2))),IF(ISNUMBER(FIND(".",G233)),DATE(VALUE(RIGHT(G233,4)),VALUE(MID(G233,4,2)),VALUE(LEFT(G233,2))),DATE(VALUE(RIGHT(G233,4)),VLOOKUP(TRIM(MID(G233,FIND(" ",G233)+1,LEN(G233)-FIND(" ",G233)-5)),Справочники!$M$3:$N$14,2,0),VALUE(LEFT(G233,FIND(" ",G233)-1))))),"")</f>
        <v>46905</v>
      </c>
      <c r="M233" t="str">
        <f t="shared" si="212"/>
        <v xml:space="preserve">+7 (903) 345-67-89</v>
      </c>
      <c r="N233" t="str">
        <f t="shared" si="213"/>
        <v>minaev@mail</v>
      </c>
      <c r="O233" t="str">
        <f t="shared" si="214"/>
        <v xml:space="preserve">Ошибка Email</v>
      </c>
      <c r="P233" t="str">
        <f>IFERROR(VLOOKUP(TRIM(SUBSTITUTE(SUBSTITUTE(" "&amp;F233," г "," "),"г.","")),Справочники!$J$3:$K$102,2,0),TRIM(SUBSTITUTE(SUBSTITUTE(" "&amp;F233," г "," "),"г.","")))</f>
        <v>Армавир</v>
      </c>
    </row>
    <row r="234">
      <c r="A234" s="3" t="s">
        <v>2479</v>
      </c>
      <c r="B234" s="3" t="s">
        <v>4988</v>
      </c>
      <c r="C234" s="3" t="s">
        <v>4989</v>
      </c>
      <c r="D234" s="3" t="s">
        <v>4079</v>
      </c>
      <c r="E234" s="3" t="s">
        <v>4990</v>
      </c>
      <c r="F234" s="3" t="s">
        <v>4390</v>
      </c>
      <c r="G234" s="3" t="s">
        <v>4991</v>
      </c>
      <c r="H234" t="str">
        <f t="shared" si="209"/>
        <v xml:space="preserve">Жилинская Ольга Анатольевна</v>
      </c>
      <c r="I234" s="5">
        <f>IFERROR(IF(ISNUMBER(FIND("-",C234)),DATE(VALUE(LEFT(C234,4)),VALUE(MID(C234,6,2)),VALUE(RIGHT(C234,2))),IF(ISNUMBER(FIND(".",C234)),DATE(VALUE(RIGHT(C234,4)),VALUE(MID(C234,4,2)),VALUE(LEFT(C234,2))),DATE(VALUE(RIGHT(C234,4)),VLOOKUP(TRIM(MID(C234,FIND(" ",C234)+1,LEN(C234)-FIND(" ",C234)-5)),Справочники!$M$3:$N$14,2,0),VALUE(LEFT(C234,FIND(" ",C234)-1))))),"")</f>
        <v>32798</v>
      </c>
      <c r="J234" s="6">
        <f t="shared" si="210"/>
        <v>37</v>
      </c>
      <c r="K234" t="str">
        <f t="shared" si="211"/>
        <v>ОК</v>
      </c>
      <c r="L234" s="5">
        <f>IFERROR(IF(ISNUMBER(FIND("-",G234)),DATE(VALUE(LEFT(G234,4)),VALUE(MID(G234,6,2)),VALUE(RIGHT(G234,2))),IF(ISNUMBER(FIND(".",G234)),DATE(VALUE(RIGHT(G234,4)),VALUE(MID(G234,4,2)),VALUE(LEFT(G234,2))),DATE(VALUE(RIGHT(G234,4)),VLOOKUP(TRIM(MID(G234,FIND(" ",G234)+1,LEN(G234)-FIND(" ",G234)-5)),Справочники!$M$3:$N$14,2,0),VALUE(LEFT(G234,FIND(" ",G234)-1))))),"")</f>
        <v>46914</v>
      </c>
      <c r="M234" t="str">
        <f t="shared" si="212"/>
        <v xml:space="preserve">+7 (903) 345-67-89</v>
      </c>
      <c r="N234" t="str">
        <f t="shared" si="213"/>
        <v>zhilinskaya@yandex</v>
      </c>
      <c r="O234" t="str">
        <f t="shared" si="214"/>
        <v xml:space="preserve">Ошибка Email</v>
      </c>
      <c r="P234" t="str">
        <f>IFERROR(VLOOKUP(TRIM(SUBSTITUTE(SUBSTITUTE(" "&amp;F234," г "," "),"г.","")),Справочники!$J$3:$K$102,2,0),TRIM(SUBSTITUTE(SUBSTITUTE(" "&amp;F234," г "," "),"г.","")))</f>
        <v>Волжский</v>
      </c>
    </row>
    <row r="235">
      <c r="A235" s="3" t="s">
        <v>2481</v>
      </c>
      <c r="B235" s="3" t="s">
        <v>4992</v>
      </c>
      <c r="C235" s="3" t="s">
        <v>4993</v>
      </c>
      <c r="D235" s="3" t="s">
        <v>4085</v>
      </c>
      <c r="E235" s="3" t="s">
        <v>4994</v>
      </c>
      <c r="F235" s="3" t="s">
        <v>4395</v>
      </c>
      <c r="G235" s="3" t="s">
        <v>4995</v>
      </c>
      <c r="H235" t="str">
        <f t="shared" si="209"/>
        <v xml:space="preserve">Булычев Роман Викторович</v>
      </c>
      <c r="I235" s="5">
        <f>IFERROR(IF(ISNUMBER(FIND("-",C235)),DATE(VALUE(LEFT(C235,4)),VALUE(MID(C235,6,2)),VALUE(RIGHT(C235,2))),IF(ISNUMBER(FIND(".",C235)),DATE(VALUE(RIGHT(C235,4)),VALUE(MID(C235,4,2)),VALUE(LEFT(C235,2))),DATE(VALUE(RIGHT(C235,4)),VLOOKUP(TRIM(MID(C235,FIND(" ",C235)+1,LEN(C235)-FIND(" ",C235)-5)),Справочники!$M$3:$N$14,2,0),VALUE(LEFT(C235,FIND(" ",C235)-1))))),"")</f>
        <v>27864</v>
      </c>
      <c r="J235" s="6">
        <f t="shared" si="210"/>
        <v>50</v>
      </c>
      <c r="K235" t="str">
        <f t="shared" si="211"/>
        <v>ОК</v>
      </c>
      <c r="L235" s="5">
        <f>IFERROR(IF(ISNUMBER(FIND("-",G235)),DATE(VALUE(LEFT(G235,4)),VALUE(MID(G235,6,2)),VALUE(RIGHT(G235,2))),IF(ISNUMBER(FIND(".",G235)),DATE(VALUE(RIGHT(G235,4)),VALUE(MID(G235,4,2)),VALUE(LEFT(G235,2))),DATE(VALUE(RIGHT(G235,4)),VLOOKUP(TRIM(MID(G235,FIND(" ",G235)+1,LEN(G235)-FIND(" ",G235)-5)),Справочники!$M$3:$N$14,2,0),VALUE(LEFT(G235,FIND(" ",G235)-1))))),"")</f>
        <v>46914</v>
      </c>
      <c r="M235" t="str">
        <f t="shared" si="212"/>
        <v xml:space="preserve">+7 (903) 456-78-90</v>
      </c>
      <c r="N235" t="str">
        <f t="shared" si="213"/>
        <v>bulychev@gmail</v>
      </c>
      <c r="O235" t="str">
        <f t="shared" si="214"/>
        <v xml:space="preserve">Ошибка Email</v>
      </c>
      <c r="P235" t="str">
        <f>IFERROR(VLOOKUP(TRIM(SUBSTITUTE(SUBSTITUTE(" "&amp;F235," г "," "),"г.","")),Справочники!$J$3:$K$102,2,0),TRIM(SUBSTITUTE(SUBSTITUTE(" "&amp;F235," г "," "),"г.","")))</f>
        <v>Шахты</v>
      </c>
    </row>
    <row r="236">
      <c r="A236" s="3" t="s">
        <v>2483</v>
      </c>
      <c r="B236" s="3" t="s">
        <v>4996</v>
      </c>
      <c r="C236" s="3" t="s">
        <v>4997</v>
      </c>
      <c r="D236" s="3" t="s">
        <v>1591</v>
      </c>
      <c r="E236" s="3" t="s">
        <v>4998</v>
      </c>
      <c r="F236" s="3" t="s">
        <v>4400</v>
      </c>
      <c r="G236" s="3" t="s">
        <v>4999</v>
      </c>
      <c r="H236" t="str">
        <f t="shared" si="209"/>
        <v xml:space="preserve">Дубова Марина Игоревна</v>
      </c>
      <c r="I236" s="5">
        <f>IFERROR(IF(ISNUMBER(FIND("-",C236)),DATE(VALUE(LEFT(C236,4)),VALUE(MID(C236,6,2)),VALUE(RIGHT(C236,2))),IF(ISNUMBER(FIND(".",C236)),DATE(VALUE(RIGHT(C236,4)),VALUE(MID(C236,4,2)),VALUE(LEFT(C236,2))),DATE(VALUE(RIGHT(C236,4)),VLOOKUP(TRIM(MID(C236,FIND(" ",C236)+1,LEN(C236)-FIND(" ",C236)-5)),Справочники!$M$3:$N$14,2,0),VALUE(LEFT(C236,FIND(" ",C236)-1))))),"")</f>
        <v>30293</v>
      </c>
      <c r="J236" s="6">
        <f t="shared" si="210"/>
        <v>43</v>
      </c>
      <c r="K236" t="str">
        <f t="shared" si="211"/>
        <v>ОК</v>
      </c>
      <c r="L236" s="5">
        <f>IFERROR(IF(ISNUMBER(FIND("-",G236)),DATE(VALUE(LEFT(G236,4)),VALUE(MID(G236,6,2)),VALUE(RIGHT(G236,2))),IF(ISNUMBER(FIND(".",G236)),DATE(VALUE(RIGHT(G236,4)),VALUE(MID(G236,4,2)),VALUE(LEFT(G236,2))),DATE(VALUE(RIGHT(G236,4)),VLOOKUP(TRIM(MID(G236,FIND(" ",G236)+1,LEN(G236)-FIND(" ",G236)-5)),Справочники!$M$3:$N$14,2,0),VALUE(LEFT(G236,FIND(" ",G236)-1))))),"")</f>
        <v>46935</v>
      </c>
      <c r="M236" t="str">
        <f t="shared" si="212"/>
        <v xml:space="preserve">+7 (903) 456-78-90</v>
      </c>
      <c r="N236" t="str">
        <f t="shared" si="213"/>
        <v>dubova@mail</v>
      </c>
      <c r="O236" t="str">
        <f t="shared" si="214"/>
        <v xml:space="preserve">Ошибка Email</v>
      </c>
      <c r="P236" t="str">
        <f>IFERROR(VLOOKUP(TRIM(SUBSTITUTE(SUBSTITUTE(" "&amp;F236," г "," "),"г.","")),Справочники!$J$3:$K$102,2,0),TRIM(SUBSTITUTE(SUBSTITUTE(" "&amp;F236," г "," "),"г.","")))</f>
        <v>Златоуст</v>
      </c>
    </row>
    <row r="237">
      <c r="A237" s="3" t="s">
        <v>2484</v>
      </c>
      <c r="B237" s="3" t="s">
        <v>5000</v>
      </c>
      <c r="C237" s="3" t="s">
        <v>5001</v>
      </c>
      <c r="D237" s="3" t="s">
        <v>1660</v>
      </c>
      <c r="E237" s="3" t="s">
        <v>5002</v>
      </c>
      <c r="F237" s="3" t="s">
        <v>4405</v>
      </c>
      <c r="G237" s="3" t="s">
        <v>5003</v>
      </c>
      <c r="H237" t="str">
        <f t="shared" si="209"/>
        <v xml:space="preserve">Анисимов Андрей Олегович</v>
      </c>
      <c r="I237" s="5">
        <f>IFERROR(IF(ISNUMBER(FIND("-",C237)),DATE(VALUE(LEFT(C237,4)),VALUE(MID(C237,6,2)),VALUE(RIGHT(C237,2))),IF(ISNUMBER(FIND(".",C237)),DATE(VALUE(RIGHT(C237,4)),VALUE(MID(C237,4,2)),VALUE(LEFT(C237,2))),DATE(VALUE(RIGHT(C237,4)),VLOOKUP(TRIM(MID(C237,FIND(" ",C237)+1,LEN(C237)-FIND(" ",C237)-5)),Справочники!$M$3:$N$14,2,0),VALUE(LEFT(C237,FIND(" ",C237)-1))))),"")</f>
        <v>34568</v>
      </c>
      <c r="J237" s="6">
        <f t="shared" si="210"/>
        <v>32</v>
      </c>
      <c r="K237" t="str">
        <f t="shared" si="211"/>
        <v>ОК</v>
      </c>
      <c r="L237" s="5">
        <f>IFERROR(IF(ISNUMBER(FIND("-",G237)),DATE(VALUE(LEFT(G237,4)),VALUE(MID(G237,6,2)),VALUE(RIGHT(G237,2))),IF(ISNUMBER(FIND(".",G237)),DATE(VALUE(RIGHT(G237,4)),VALUE(MID(G237,4,2)),VALUE(LEFT(G237,2))),DATE(VALUE(RIGHT(G237,4)),VLOOKUP(TRIM(MID(G237,FIND(" ",G237)+1,LEN(G237)-FIND(" ",G237)-5)),Справочники!$M$3:$N$14,2,0),VALUE(LEFT(G237,FIND(" ",G237)-1))))),"")</f>
        <v>46949</v>
      </c>
      <c r="M237" t="str">
        <f t="shared" si="212"/>
        <v xml:space="preserve">+7 (903) 456-78-90</v>
      </c>
      <c r="N237" t="str">
        <f t="shared" si="213"/>
        <v>anisimov@yandex</v>
      </c>
      <c r="O237" t="str">
        <f t="shared" si="214"/>
        <v xml:space="preserve">Ошибка Email</v>
      </c>
      <c r="P237" t="str">
        <f>IFERROR(VLOOKUP(TRIM(SUBSTITUTE(SUBSTITUTE(" "&amp;F237," г "," "),"г.","")),Справочники!$J$3:$K$102,2,0),TRIM(SUBSTITUTE(SUBSTITUTE(" "&amp;F237," г "," "),"г.","")))</f>
        <v>Ангарск</v>
      </c>
    </row>
    <row r="238">
      <c r="A238" s="3" t="s">
        <v>2486</v>
      </c>
      <c r="B238" s="3" t="s">
        <v>5004</v>
      </c>
      <c r="C238" s="3" t="s">
        <v>5005</v>
      </c>
      <c r="D238" s="3" t="s">
        <v>3984</v>
      </c>
      <c r="E238" s="3" t="s">
        <v>5006</v>
      </c>
      <c r="F238" s="3" t="s">
        <v>4410</v>
      </c>
      <c r="G238" s="3" t="s">
        <v>5007</v>
      </c>
      <c r="H238" t="str">
        <f t="shared" si="209"/>
        <v xml:space="preserve">Савицкая Оксана Николаевна</v>
      </c>
      <c r="I238" s="5">
        <f>IFERROR(IF(ISNUMBER(FIND("-",C238)),DATE(VALUE(LEFT(C238,4)),VALUE(MID(C238,6,2)),VALUE(RIGHT(C238,2))),IF(ISNUMBER(FIND(".",C238)),DATE(VALUE(RIGHT(C238,4)),VALUE(MID(C238,4,2)),VALUE(LEFT(C238,2))),DATE(VALUE(RIGHT(C238,4)),VLOOKUP(TRIM(MID(C238,FIND(" ",C238)+1,LEN(C238)-FIND(" ",C238)-5)),Справочники!$M$3:$N$14,2,0),VALUE(LEFT(C238,FIND(" ",C238)-1))))),"")</f>
        <v>29379</v>
      </c>
      <c r="J238" s="6">
        <f t="shared" si="210"/>
        <v>46</v>
      </c>
      <c r="K238" t="str">
        <f t="shared" si="211"/>
        <v>ОК</v>
      </c>
      <c r="L238" s="5">
        <f>IFERROR(IF(ISNUMBER(FIND("-",G238)),DATE(VALUE(LEFT(G238,4)),VALUE(MID(G238,6,2)),VALUE(RIGHT(G238,2))),IF(ISNUMBER(FIND(".",G238)),DATE(VALUE(RIGHT(G238,4)),VALUE(MID(G238,4,2)),VALUE(LEFT(G238,2))),DATE(VALUE(RIGHT(G238,4)),VLOOKUP(TRIM(MID(G238,FIND(" ",G238)+1,LEN(G238)-FIND(" ",G238)-5)),Справочники!$M$3:$N$14,2,0),VALUE(LEFT(G238,FIND(" ",G238)-1))))),"")</f>
        <v>46949</v>
      </c>
      <c r="M238" t="str">
        <f t="shared" si="212"/>
        <v xml:space="preserve">+7 (903) 567-89-01</v>
      </c>
      <c r="N238" t="str">
        <f t="shared" si="213"/>
        <v>savitskaya@gmail</v>
      </c>
      <c r="O238" t="str">
        <f t="shared" si="214"/>
        <v xml:space="preserve">Ошибка Email</v>
      </c>
      <c r="P238" t="str">
        <f>IFERROR(VLOOKUP(TRIM(SUBSTITUTE(SUBSTITUTE(" "&amp;F238," г "," "),"г.","")),Справочники!$J$3:$K$102,2,0),TRIM(SUBSTITUTE(SUBSTITUTE(" "&amp;F238," г "," "),"г.","")))</f>
        <v>Озёрск</v>
      </c>
    </row>
    <row r="239">
      <c r="A239" s="3" t="s">
        <v>2488</v>
      </c>
      <c r="B239" s="3" t="s">
        <v>5008</v>
      </c>
      <c r="C239" s="3" t="s">
        <v>5009</v>
      </c>
      <c r="D239" s="3" t="s">
        <v>3990</v>
      </c>
      <c r="E239" s="3" t="s">
        <v>5010</v>
      </c>
      <c r="F239" s="3" t="s">
        <v>4415</v>
      </c>
      <c r="G239" s="3" t="s">
        <v>5011</v>
      </c>
      <c r="H239" t="str">
        <f t="shared" si="209"/>
        <v xml:space="preserve">Ефанов Дмитрий Алексеевич</v>
      </c>
      <c r="I239" s="5">
        <f>IFERROR(IF(ISNUMBER(FIND("-",C239)),DATE(VALUE(LEFT(C239,4)),VALUE(MID(C239,6,2)),VALUE(RIGHT(C239,2))),IF(ISNUMBER(FIND(".",C239)),DATE(VALUE(RIGHT(C239,4)),VALUE(MID(C239,4,2)),VALUE(LEFT(C239,2))),DATE(VALUE(RIGHT(C239,4)),VLOOKUP(TRIM(MID(C239,FIND(" ",C239)+1,LEN(C239)-FIND(" ",C239)-5)),Справочники!$M$3:$N$14,2,0),VALUE(LEFT(C239,FIND(" ",C239)-1))))),"")</f>
        <v>27352</v>
      </c>
      <c r="J239" s="6">
        <f t="shared" si="210"/>
        <v>51</v>
      </c>
      <c r="K239" t="str">
        <f t="shared" si="211"/>
        <v>ОК</v>
      </c>
      <c r="L239" s="5">
        <f>IFERROR(IF(ISNUMBER(FIND("-",G239)),DATE(VALUE(LEFT(G239,4)),VALUE(MID(G239,6,2)),VALUE(RIGHT(G239,2))),IF(ISNUMBER(FIND(".",G239)),DATE(VALUE(RIGHT(G239,4)),VALUE(MID(G239,4,2)),VALUE(LEFT(G239,2))),DATE(VALUE(RIGHT(G239,4)),VLOOKUP(TRIM(MID(G239,FIND(" ",G239)+1,LEN(G239)-FIND(" ",G239)-5)),Справочники!$M$3:$N$14,2,0),VALUE(LEFT(G239,FIND(" ",G239)-1))))),"")</f>
        <v>46966</v>
      </c>
      <c r="M239" t="str">
        <f t="shared" si="212"/>
        <v xml:space="preserve">+7 (903) 567-89-01</v>
      </c>
      <c r="N239" t="str">
        <f t="shared" si="213"/>
        <v>efanov@mail</v>
      </c>
      <c r="O239" t="str">
        <f t="shared" si="214"/>
        <v xml:space="preserve">Ошибка Email</v>
      </c>
      <c r="P239" t="str">
        <f>IFERROR(VLOOKUP(TRIM(SUBSTITUTE(SUBSTITUTE(" "&amp;F239," г "," "),"г.","")),Справочники!$J$3:$K$102,2,0),TRIM(SUBSTITUTE(SUBSTITUTE(" "&amp;F239," г "," "),"г.","")))</f>
        <v>Орел</v>
      </c>
    </row>
    <row r="240">
      <c r="A240" s="3" t="s">
        <v>2491</v>
      </c>
      <c r="B240" s="3" t="s">
        <v>5012</v>
      </c>
      <c r="C240" s="3" t="s">
        <v>5013</v>
      </c>
      <c r="D240" s="3" t="s">
        <v>1598</v>
      </c>
      <c r="E240" s="3" t="s">
        <v>5014</v>
      </c>
      <c r="F240" s="3" t="s">
        <v>4184</v>
      </c>
      <c r="G240" s="3" t="s">
        <v>5015</v>
      </c>
      <c r="H240" t="str">
        <f t="shared" si="209"/>
        <v xml:space="preserve">Яблочкова Татьяна Дмитриевна</v>
      </c>
      <c r="I240" s="5">
        <f>IFERROR(IF(ISNUMBER(FIND("-",C240)),DATE(VALUE(LEFT(C240,4)),VALUE(MID(C240,6,2)),VALUE(RIGHT(C240,2))),IF(ISNUMBER(FIND(".",C240)),DATE(VALUE(RIGHT(C240,4)),VALUE(MID(C240,4,2)),VALUE(LEFT(C240,2))),DATE(VALUE(RIGHT(C240,4)),VLOOKUP(TRIM(MID(C240,FIND(" ",C240)+1,LEN(C240)-FIND(" ",C240)-5)),Справочники!$M$3:$N$14,2,0),VALUE(LEFT(C240,FIND(" ",C240)-1))))),"")</f>
        <v>31833</v>
      </c>
      <c r="J240" s="6">
        <f t="shared" si="210"/>
        <v>39</v>
      </c>
      <c r="K240" t="str">
        <f t="shared" si="211"/>
        <v>ОК</v>
      </c>
      <c r="L240" s="5">
        <f>IFERROR(IF(ISNUMBER(FIND("-",G240)),DATE(VALUE(LEFT(G240,4)),VALUE(MID(G240,6,2)),VALUE(RIGHT(G240,2))),IF(ISNUMBER(FIND(".",G240)),DATE(VALUE(RIGHT(G240,4)),VALUE(MID(G240,4,2)),VALUE(LEFT(G240,2))),DATE(VALUE(RIGHT(G240,4)),VLOOKUP(TRIM(MID(G240,FIND(" ",G240)+1,LEN(G240)-FIND(" ",G240)-5)),Справочники!$M$3:$N$14,2,0),VALUE(LEFT(G240,FIND(" ",G240)-1))))),"")</f>
        <v>46975</v>
      </c>
      <c r="M240" t="str">
        <f t="shared" si="212"/>
        <v xml:space="preserve">+7 (903) 567-89-01</v>
      </c>
      <c r="N240" t="str">
        <f t="shared" si="213"/>
        <v>yablochkova@yandex</v>
      </c>
      <c r="O240" t="str">
        <f t="shared" si="214"/>
        <v xml:space="preserve">Ошибка Email</v>
      </c>
      <c r="P240" t="str">
        <f>IFERROR(VLOOKUP(TRIM(SUBSTITUTE(SUBSTITUTE(" "&amp;F240," г "," "),"г.","")),Справочники!$J$3:$K$102,2,0),TRIM(SUBSTITUTE(SUBSTITUTE(" "&amp;F240," г "," "),"г.","")))</f>
        <v>Магнитогорск</v>
      </c>
    </row>
    <row r="241">
      <c r="A241" s="3" t="s">
        <v>2493</v>
      </c>
      <c r="B241" s="3" t="s">
        <v>5016</v>
      </c>
      <c r="C241" s="3" t="s">
        <v>4110</v>
      </c>
      <c r="D241" s="3" t="s">
        <v>4116</v>
      </c>
      <c r="E241" s="3" t="s">
        <v>5017</v>
      </c>
      <c r="F241" s="3" t="s">
        <v>4205</v>
      </c>
      <c r="G241" s="3" t="s">
        <v>5018</v>
      </c>
      <c r="H241" t="str">
        <f t="shared" si="209"/>
        <v xml:space="preserve">Блинков Сергей Петрович</v>
      </c>
      <c r="I241" s="5">
        <f>IFERROR(IF(ISNUMBER(FIND("-",C241)),DATE(VALUE(LEFT(C241,4)),VALUE(MID(C241,6,2)),VALUE(RIGHT(C241,2))),IF(ISNUMBER(FIND(".",C241)),DATE(VALUE(RIGHT(C241,4)),VALUE(MID(C241,4,2)),VALUE(LEFT(C241,2))),DATE(VALUE(RIGHT(C241,4)),VLOOKUP(TRIM(MID(C241,FIND(" ",C241)+1,LEN(C241)-FIND(" ",C241)-5)),Справочники!$M$3:$N$14,2,0),VALUE(LEFT(C241,FIND(" ",C241)-1))))),"")</f>
        <v>33484</v>
      </c>
      <c r="J241" s="6">
        <f t="shared" si="210"/>
        <v>35</v>
      </c>
      <c r="K241" t="str">
        <f t="shared" si="211"/>
        <v>ОК</v>
      </c>
      <c r="L241" s="5">
        <f>IFERROR(IF(ISNUMBER(FIND("-",G241)),DATE(VALUE(LEFT(G241,4)),VALUE(MID(G241,6,2)),VALUE(RIGHT(G241,2))),IF(ISNUMBER(FIND(".",G241)),DATE(VALUE(RIGHT(G241,4)),VALUE(MID(G241,4,2)),VALUE(LEFT(G241,2))),DATE(VALUE(RIGHT(G241,4)),VLOOKUP(TRIM(MID(G241,FIND(" ",G241)+1,LEN(G241)-FIND(" ",G241)-5)),Справочники!$M$3:$N$14,2,0),VALUE(LEFT(G241,FIND(" ",G241)-1))))),"")</f>
        <v>46975</v>
      </c>
      <c r="M241" t="str">
        <f t="shared" si="212"/>
        <v xml:space="preserve">+7 (903) 678-90-12</v>
      </c>
      <c r="N241" t="str">
        <f t="shared" si="213"/>
        <v>blinkov@gmail</v>
      </c>
      <c r="O241" t="str">
        <f t="shared" si="214"/>
        <v xml:space="preserve">Ошибка Email</v>
      </c>
      <c r="P241" t="str">
        <f>IFERROR(VLOOKUP(TRIM(SUBSTITUTE(SUBSTITUTE(" "&amp;F241," г "," "),"г.","")),Справочники!$J$3:$K$102,2,0),TRIM(SUBSTITUTE(SUBSTITUTE(" "&amp;F241," г "," "),"г.","")))</f>
        <v>Якутск</v>
      </c>
    </row>
    <row r="242">
      <c r="A242" s="3" t="s">
        <v>2496</v>
      </c>
      <c r="B242" s="3" t="s">
        <v>5019</v>
      </c>
      <c r="C242" s="3" t="s">
        <v>5020</v>
      </c>
      <c r="D242" s="3" t="s">
        <v>4122</v>
      </c>
      <c r="E242" s="3" t="s">
        <v>5021</v>
      </c>
      <c r="F242" s="3" t="s">
        <v>4152</v>
      </c>
      <c r="G242" s="3" t="s">
        <v>5022</v>
      </c>
      <c r="H242" t="str">
        <f t="shared" si="209"/>
        <v xml:space="preserve">Зубова Екатерина Сергеевна</v>
      </c>
      <c r="I242" s="5">
        <f>IFERROR(IF(ISNUMBER(FIND("-",C242)),DATE(VALUE(LEFT(C242,4)),VALUE(MID(C242,6,2)),VALUE(RIGHT(C242,2))),IF(ISNUMBER(FIND(".",C242)),DATE(VALUE(RIGHT(C242,4)),VALUE(MID(C242,4,2)),VALUE(LEFT(C242,2))),DATE(VALUE(RIGHT(C242,4)),VLOOKUP(TRIM(MID(C242,FIND(" ",C242)+1,LEN(C242)-FIND(" ",C242)-5)),Справочники!$M$3:$N$14,2,0),VALUE(LEFT(C242,FIND(" ",C242)-1))))),"")</f>
        <v>28683</v>
      </c>
      <c r="J242" s="6">
        <f t="shared" si="210"/>
        <v>48</v>
      </c>
      <c r="K242" t="str">
        <f t="shared" si="211"/>
        <v>ОК</v>
      </c>
      <c r="L242" s="5">
        <f>IFERROR(IF(ISNUMBER(FIND("-",G242)),DATE(VALUE(LEFT(G242,4)),VALUE(MID(G242,6,2)),VALUE(RIGHT(G242,2))),IF(ISNUMBER(FIND(".",G242)),DATE(VALUE(RIGHT(G242,4)),VALUE(MID(G242,4,2)),VALUE(LEFT(G242,2))),DATE(VALUE(RIGHT(G242,4)),VLOOKUP(TRIM(MID(G242,FIND(" ",G242)+1,LEN(G242)-FIND(" ",G242)-5)),Справочники!$M$3:$N$14,2,0),VALUE(LEFT(G242,FIND(" ",G242)-1))))),"")</f>
        <v>46997</v>
      </c>
      <c r="M242" t="str">
        <f t="shared" si="212"/>
        <v xml:space="preserve">+7 (903) 678-90-12</v>
      </c>
      <c r="N242" t="str">
        <f t="shared" si="213"/>
        <v>zubova@mail</v>
      </c>
      <c r="O242" t="str">
        <f t="shared" si="214"/>
        <v xml:space="preserve">Ошибка Email</v>
      </c>
      <c r="P242" t="str">
        <f>IFERROR(VLOOKUP(TRIM(SUBSTITUTE(SUBSTITUTE(" "&amp;F242," г "," "),"г.","")),Справочники!$J$3:$K$102,2,0),TRIM(SUBSTITUTE(SUBSTITUTE(" "&amp;F242," г "," "),"г.","")))</f>
        <v>Чебоксары</v>
      </c>
    </row>
    <row r="243">
      <c r="A243" s="3" t="s">
        <v>2498</v>
      </c>
      <c r="B243" s="3" t="s">
        <v>5023</v>
      </c>
      <c r="C243" s="3" t="s">
        <v>5024</v>
      </c>
      <c r="D243" s="3" t="s">
        <v>1605</v>
      </c>
      <c r="E243" s="3" t="s">
        <v>5025</v>
      </c>
      <c r="F243" s="3" t="s">
        <v>4245</v>
      </c>
      <c r="G243" s="3" t="s">
        <v>5026</v>
      </c>
      <c r="H243" t="str">
        <f t="shared" si="209"/>
        <v xml:space="preserve">Латкин Андрей Владимирович</v>
      </c>
      <c r="I243" s="5">
        <f>IFERROR(IF(ISNUMBER(FIND("-",C243)),DATE(VALUE(LEFT(C243,4)),VALUE(MID(C243,6,2)),VALUE(RIGHT(C243,2))),IF(ISNUMBER(FIND(".",C243)),DATE(VALUE(RIGHT(C243,4)),VALUE(MID(C243,4,2)),VALUE(LEFT(C243,2))),DATE(VALUE(RIGHT(C243,4)),VLOOKUP(TRIM(MID(C243,FIND(" ",C243)+1,LEN(C243)-FIND(" ",C243)-5)),Справочники!$M$3:$N$14,2,0),VALUE(LEFT(C243,FIND(" ",C243)-1))))),"")</f>
        <v>31077</v>
      </c>
      <c r="J243" s="6">
        <f t="shared" si="210"/>
        <v>41</v>
      </c>
      <c r="K243" t="str">
        <f t="shared" si="211"/>
        <v>ОК</v>
      </c>
      <c r="L243" s="5">
        <f>IFERROR(IF(ISNUMBER(FIND("-",G243)),DATE(VALUE(LEFT(G243,4)),VALUE(MID(G243,6,2)),VALUE(RIGHT(G243,2))),IF(ISNUMBER(FIND(".",G243)),DATE(VALUE(RIGHT(G243,4)),VALUE(MID(G243,4,2)),VALUE(LEFT(G243,2))),DATE(VALUE(RIGHT(G243,4)),VLOOKUP(TRIM(MID(G243,FIND(" ",G243)+1,LEN(G243)-FIND(" ",G243)-5)),Справочники!$M$3:$N$14,2,0),VALUE(LEFT(G243,FIND(" ",G243)-1))))),"")</f>
        <v>47011</v>
      </c>
      <c r="M243" t="str">
        <f t="shared" si="212"/>
        <v xml:space="preserve">+7 (903) 678-90-12</v>
      </c>
      <c r="N243" t="str">
        <f t="shared" si="213"/>
        <v>latkin@yandex</v>
      </c>
      <c r="O243" t="str">
        <f t="shared" si="214"/>
        <v xml:space="preserve">Ошибка Email</v>
      </c>
      <c r="P243" t="str">
        <f>IFERROR(VLOOKUP(TRIM(SUBSTITUTE(SUBSTITUTE(" "&amp;F243," г "," "),"г.","")),Справочники!$J$3:$K$102,2,0),TRIM(SUBSTITUTE(SUBSTITUTE(" "&amp;F243," г "," "),"г.","")))</f>
        <v>Мурманск</v>
      </c>
    </row>
    <row r="244">
      <c r="A244" s="3" t="s">
        <v>2500</v>
      </c>
      <c r="B244" s="3" t="s">
        <v>5027</v>
      </c>
      <c r="C244" s="3" t="s">
        <v>5028</v>
      </c>
      <c r="D244" s="3" t="s">
        <v>4001</v>
      </c>
      <c r="E244" s="3" t="s">
        <v>5029</v>
      </c>
      <c r="F244" s="3" t="s">
        <v>4235</v>
      </c>
      <c r="G244" s="3" t="s">
        <v>5030</v>
      </c>
      <c r="H244" t="str">
        <f t="shared" si="209"/>
        <v xml:space="preserve">Копылова Ольга Павловна</v>
      </c>
      <c r="I244" s="5">
        <f>IFERROR(IF(ISNUMBER(FIND("-",C244)),DATE(VALUE(LEFT(C244,4)),VALUE(MID(C244,6,2)),VALUE(RIGHT(C244,2))),IF(ISNUMBER(FIND(".",C244)),DATE(VALUE(RIGHT(C244,4)),VALUE(MID(C244,4,2)),VALUE(LEFT(C244,2))),DATE(VALUE(RIGHT(C244,4)),VLOOKUP(TRIM(MID(C244,FIND(" ",C244)+1,LEN(C244)-FIND(" ",C244)-5)),Справочники!$M$3:$N$14,2,0),VALUE(LEFT(C244,FIND(" ",C244)-1))))),"")</f>
        <v>33893</v>
      </c>
      <c r="J244" s="6">
        <f t="shared" si="210"/>
        <v>34</v>
      </c>
      <c r="K244" t="str">
        <f t="shared" si="211"/>
        <v>ОК</v>
      </c>
      <c r="L244" s="5">
        <f>IFERROR(IF(ISNUMBER(FIND("-",G244)),DATE(VALUE(LEFT(G244,4)),VALUE(MID(G244,6,2)),VALUE(RIGHT(G244,2))),IF(ISNUMBER(FIND(".",G244)),DATE(VALUE(RIGHT(G244,4)),VALUE(MID(G244,4,2)),VALUE(LEFT(G244,2))),DATE(VALUE(RIGHT(G244,4)),VLOOKUP(TRIM(MID(G244,FIND(" ",G244)+1,LEN(G244)-FIND(" ",G244)-5)),Справочники!$M$3:$N$14,2,0),VALUE(LEFT(G244,FIND(" ",G244)-1))))),"")</f>
        <v>47011</v>
      </c>
      <c r="M244" t="str">
        <f t="shared" si="212"/>
        <v xml:space="preserve">+7 (903) 789-01-23</v>
      </c>
      <c r="N244" t="str">
        <f t="shared" si="213"/>
        <v>kopylova@gmail</v>
      </c>
      <c r="O244" t="str">
        <f t="shared" si="214"/>
        <v xml:space="preserve">Ошибка Email</v>
      </c>
      <c r="P244" t="str">
        <f>IFERROR(VLOOKUP(TRIM(SUBSTITUTE(SUBSTITUTE(" "&amp;F244," г "," "),"г.","")),Справочники!$J$3:$K$102,2,0),TRIM(SUBSTITUTE(SUBSTITUTE(" "&amp;F244," г "," "),"г.","")))</f>
        <v>Смоленск</v>
      </c>
    </row>
    <row r="245">
      <c r="A245" s="3" t="s">
        <v>2502</v>
      </c>
      <c r="B245" s="3" t="s">
        <v>5031</v>
      </c>
      <c r="C245" s="3" t="s">
        <v>5032</v>
      </c>
      <c r="D245" s="3" t="s">
        <v>4138</v>
      </c>
      <c r="E245" s="3" t="s">
        <v>5033</v>
      </c>
      <c r="F245" s="3" t="s">
        <v>4220</v>
      </c>
      <c r="G245" s="3" t="s">
        <v>5034</v>
      </c>
      <c r="H245" t="str">
        <f t="shared" si="209"/>
        <v xml:space="preserve">Селиверстов Игорь Евгеньевич</v>
      </c>
      <c r="I245" s="5">
        <f>IFERROR(IF(ISNUMBER(FIND("-",C245)),DATE(VALUE(LEFT(C245,4)),VALUE(MID(C245,6,2)),VALUE(RIGHT(C245,2))),IF(ISNUMBER(FIND(".",C245)),DATE(VALUE(RIGHT(C245,4)),VALUE(MID(C245,4,2)),VALUE(LEFT(C245,2))),DATE(VALUE(RIGHT(C245,4)),VLOOKUP(TRIM(MID(C245,FIND(" ",C245)+1,LEN(C245)-FIND(" ",C245)-5)),Справочники!$M$3:$N$14,2,0),VALUE(LEFT(C245,FIND(" ",C245)-1))))),"")</f>
        <v>25907</v>
      </c>
      <c r="J245" s="6">
        <f t="shared" si="210"/>
        <v>55</v>
      </c>
      <c r="K245" t="str">
        <f t="shared" si="211"/>
        <v>ОК</v>
      </c>
      <c r="L245" s="5">
        <f>IFERROR(IF(ISNUMBER(FIND("-",G245)),DATE(VALUE(LEFT(G245,4)),VALUE(MID(G245,6,2)),VALUE(RIGHT(G245,2))),IF(ISNUMBER(FIND(".",G245)),DATE(VALUE(RIGHT(G245,4)),VALUE(MID(G245,4,2)),VALUE(LEFT(G245,2))),DATE(VALUE(RIGHT(G245,4)),VLOOKUP(TRIM(MID(G245,FIND(" ",G245)+1,LEN(G245)-FIND(" ",G245)-5)),Справочники!$M$3:$N$14,2,0),VALUE(LEFT(G245,FIND(" ",G245)-1))))),"")</f>
        <v>47027</v>
      </c>
      <c r="M245" t="str">
        <f t="shared" si="212"/>
        <v xml:space="preserve">+7 (903) 789-01-23</v>
      </c>
      <c r="N245" t="str">
        <f t="shared" si="213"/>
        <v>seliverstov@mail</v>
      </c>
      <c r="O245" t="str">
        <f t="shared" si="214"/>
        <v xml:space="preserve">Ошибка Email</v>
      </c>
      <c r="P245" t="str">
        <f>IFERROR(VLOOKUP(TRIM(SUBSTITUTE(SUBSTITUTE(" "&amp;F245," г "," "),"г.","")),Справочники!$J$3:$K$102,2,0),TRIM(SUBSTITUTE(SUBSTITUTE(" "&amp;F245," г "," "),"г.","")))</f>
        <v>Тула</v>
      </c>
    </row>
    <row r="246">
      <c r="A246" s="3" t="s">
        <v>2505</v>
      </c>
      <c r="B246" s="3" t="s">
        <v>5035</v>
      </c>
      <c r="C246" s="3" t="s">
        <v>5036</v>
      </c>
      <c r="D246" s="3" t="s">
        <v>4144</v>
      </c>
      <c r="E246" s="3" t="s">
        <v>5037</v>
      </c>
      <c r="F246" s="3" t="s">
        <v>4225</v>
      </c>
      <c r="G246" s="3" t="s">
        <v>5038</v>
      </c>
      <c r="H246" t="str">
        <f t="shared" si="209"/>
        <v xml:space="preserve">Гаврикова Мария Николаевна</v>
      </c>
      <c r="I246" s="5">
        <f>IFERROR(IF(ISNUMBER(FIND("-",C246)),DATE(VALUE(LEFT(C246,4)),VALUE(MID(C246,6,2)),VALUE(RIGHT(C246,2))),IF(ISNUMBER(FIND(".",C246)),DATE(VALUE(RIGHT(C246,4)),VALUE(MID(C246,4,2)),VALUE(LEFT(C246,2))),DATE(VALUE(RIGHT(C246,4)),VLOOKUP(TRIM(MID(C246,FIND(" ",C246)+1,LEN(C246)-FIND(" ",C246)-5)),Справочники!$M$3:$N$14,2,0),VALUE(LEFT(C246,FIND(" ",C246)-1))))),"")</f>
        <v>30430</v>
      </c>
      <c r="J246" s="6">
        <f t="shared" si="210"/>
        <v>43</v>
      </c>
      <c r="K246" t="str">
        <f t="shared" si="211"/>
        <v>ОК</v>
      </c>
      <c r="L246" s="5">
        <f>IFERROR(IF(ISNUMBER(FIND("-",G246)),DATE(VALUE(LEFT(G246,4)),VALUE(MID(G246,6,2)),VALUE(RIGHT(G246,2))),IF(ISNUMBER(FIND(".",G246)),DATE(VALUE(RIGHT(G246,4)),VALUE(MID(G246,4,2)),VALUE(LEFT(G246,2))),DATE(VALUE(RIGHT(G246,4)),VLOOKUP(TRIM(MID(G246,FIND(" ",G246)+1,LEN(G246)-FIND(" ",G246)-5)),Справочники!$M$3:$N$14,2,0),VALUE(LEFT(G246,FIND(" ",G246)-1))))),"")</f>
        <v>47036</v>
      </c>
      <c r="M246" t="str">
        <f t="shared" si="212"/>
        <v xml:space="preserve">+7 (903) 789-01-23</v>
      </c>
      <c r="N246" t="str">
        <f t="shared" si="213"/>
        <v>gavrikova@yandex</v>
      </c>
      <c r="O246" t="str">
        <f t="shared" si="214"/>
        <v xml:space="preserve">Ошибка Email</v>
      </c>
      <c r="P246" t="str">
        <f>IFERROR(VLOOKUP(TRIM(SUBSTITUTE(SUBSTITUTE(" "&amp;F246," г "," "),"г.","")),Справочники!$J$3:$K$102,2,0),TRIM(SUBSTITUTE(SUBSTITUTE(" "&amp;F246," г "," "),"г.","")))</f>
        <v>Калуга</v>
      </c>
    </row>
    <row r="247">
      <c r="A247" s="3" t="s">
        <v>2507</v>
      </c>
      <c r="B247" s="3" t="s">
        <v>5039</v>
      </c>
      <c r="C247" s="3" t="s">
        <v>4887</v>
      </c>
      <c r="D247" s="3" t="s">
        <v>4150</v>
      </c>
      <c r="E247" s="3" t="s">
        <v>5040</v>
      </c>
      <c r="F247" s="3" t="s">
        <v>4230</v>
      </c>
      <c r="G247" s="3" t="s">
        <v>5041</v>
      </c>
      <c r="H247" t="str">
        <f t="shared" si="209"/>
        <v xml:space="preserve">Таратухин Денис Павлович</v>
      </c>
      <c r="I247" s="5">
        <f>IFERROR(IF(ISNUMBER(FIND("-",C247)),DATE(VALUE(LEFT(C247,4)),VALUE(MID(C247,6,2)),VALUE(RIGHT(C247,2))),IF(ISNUMBER(FIND(".",C247)),DATE(VALUE(RIGHT(C247,4)),VALUE(MID(C247,4,2)),VALUE(LEFT(C247,2))),DATE(VALUE(RIGHT(C247,4)),VLOOKUP(TRIM(MID(C247,FIND(" ",C247)+1,LEN(C247)-FIND(" ",C247)-5)),Справочники!$M$3:$N$14,2,0),VALUE(LEFT(C247,FIND(" ",C247)-1))))),"")</f>
        <v>32373</v>
      </c>
      <c r="J247" s="6">
        <f t="shared" si="210"/>
        <v>38</v>
      </c>
      <c r="K247" t="str">
        <f t="shared" si="211"/>
        <v>ОК</v>
      </c>
      <c r="L247" s="5">
        <f>IFERROR(IF(ISNUMBER(FIND("-",G247)),DATE(VALUE(LEFT(G247,4)),VALUE(MID(G247,6,2)),VALUE(RIGHT(G247,2))),IF(ISNUMBER(FIND(".",G247)),DATE(VALUE(RIGHT(G247,4)),VALUE(MID(G247,4,2)),VALUE(LEFT(G247,2))),DATE(VALUE(RIGHT(G247,4)),VLOOKUP(TRIM(MID(G247,FIND(" ",G247)+1,LEN(G247)-FIND(" ",G247)-5)),Справочники!$M$3:$N$14,2,0),VALUE(LEFT(G247,FIND(" ",G247)-1))))),"")</f>
        <v>47036</v>
      </c>
      <c r="M247" t="str">
        <f t="shared" si="212"/>
        <v xml:space="preserve">+7 (903) 890-12-34</v>
      </c>
      <c r="N247" t="str">
        <f t="shared" si="213"/>
        <v>taratuhin@gmail</v>
      </c>
      <c r="O247" t="str">
        <f t="shared" si="214"/>
        <v xml:space="preserve">Ошибка Email</v>
      </c>
      <c r="P247" t="str">
        <f>IFERROR(VLOOKUP(TRIM(SUBSTITUTE(SUBSTITUTE(" "&amp;F247," г "," "),"г.","")),Справочники!$J$3:$K$102,2,0),TRIM(SUBSTITUTE(SUBSTITUTE(" "&amp;F247," г "," "),"г.","")))</f>
        <v>Владикавказ</v>
      </c>
    </row>
    <row r="248">
      <c r="A248" s="3" t="s">
        <v>2510</v>
      </c>
      <c r="B248" s="3" t="s">
        <v>5042</v>
      </c>
      <c r="C248" s="3" t="s">
        <v>5043</v>
      </c>
      <c r="D248" s="3" t="s">
        <v>4007</v>
      </c>
      <c r="E248" s="3" t="s">
        <v>5044</v>
      </c>
      <c r="F248" s="3" t="s">
        <v>4235</v>
      </c>
      <c r="G248" s="3" t="s">
        <v>5045</v>
      </c>
      <c r="H248" t="str">
        <f t="shared" si="209"/>
        <v xml:space="preserve">Киселева Ирина Степановна</v>
      </c>
      <c r="I248" s="5">
        <f>IFERROR(IF(ISNUMBER(FIND("-",C248)),DATE(VALUE(LEFT(C248,4)),VALUE(MID(C248,6,2)),VALUE(RIGHT(C248,2))),IF(ISNUMBER(FIND(".",C248)),DATE(VALUE(RIGHT(C248,4)),VALUE(MID(C248,4,2)),VALUE(LEFT(C248,2))),DATE(VALUE(RIGHT(C248,4)),VLOOKUP(TRIM(MID(C248,FIND(" ",C248)+1,LEN(C248)-FIND(" ",C248)-5)),Справочники!$M$3:$N$14,2,0),VALUE(LEFT(C248,FIND(" ",C248)-1))))),"")</f>
        <v>27912</v>
      </c>
      <c r="J248" s="6">
        <f t="shared" si="210"/>
        <v>50</v>
      </c>
      <c r="K248" t="str">
        <f t="shared" si="211"/>
        <v>ОК</v>
      </c>
      <c r="L248" s="5">
        <f>IFERROR(IF(ISNUMBER(FIND("-",G248)),DATE(VALUE(LEFT(G248,4)),VALUE(MID(G248,6,2)),VALUE(RIGHT(G248,2))),IF(ISNUMBER(FIND(".",G248)),DATE(VALUE(RIGHT(G248,4)),VALUE(MID(G248,4,2)),VALUE(LEFT(G248,2))),DATE(VALUE(RIGHT(G248,4)),VLOOKUP(TRIM(MID(G248,FIND(" ",G248)+1,LEN(G248)-FIND(" ",G248)-5)),Справочники!$M$3:$N$14,2,0),VALUE(LEFT(G248,FIND(" ",G248)-1))))),"")</f>
        <v>47058</v>
      </c>
      <c r="M248" t="str">
        <f t="shared" si="212"/>
        <v xml:space="preserve">+7 (903) 890-12-34</v>
      </c>
      <c r="N248" t="str">
        <f t="shared" si="213"/>
        <v>kiseleva@mail</v>
      </c>
      <c r="O248" t="str">
        <f t="shared" si="214"/>
        <v xml:space="preserve">Ошибка Email</v>
      </c>
      <c r="P248" t="str">
        <f>IFERROR(VLOOKUP(TRIM(SUBSTITUTE(SUBSTITUTE(" "&amp;F248," г "," "),"г.","")),Справочники!$J$3:$K$102,2,0),TRIM(SUBSTITUTE(SUBSTITUTE(" "&amp;F248," г "," "),"г.","")))</f>
        <v>Смоленск</v>
      </c>
    </row>
    <row r="249">
      <c r="A249" s="3" t="s">
        <v>2512</v>
      </c>
      <c r="B249" s="3" t="s">
        <v>5046</v>
      </c>
      <c r="C249" s="3" t="s">
        <v>4078</v>
      </c>
      <c r="D249" s="3" t="s">
        <v>1619</v>
      </c>
      <c r="E249" s="3" t="s">
        <v>5047</v>
      </c>
      <c r="F249" s="3" t="s">
        <v>4240</v>
      </c>
      <c r="G249" s="3" t="s">
        <v>5048</v>
      </c>
      <c r="H249" t="str">
        <f t="shared" si="209"/>
        <v xml:space="preserve">Хохлов Алексей Иванович</v>
      </c>
      <c r="I249" s="5">
        <f>IFERROR(IF(ISNUMBER(FIND("-",C249)),DATE(VALUE(LEFT(C249,4)),VALUE(MID(C249,6,2)),VALUE(RIGHT(C249,2))),IF(ISNUMBER(FIND(".",C249)),DATE(VALUE(RIGHT(C249,4)),VALUE(MID(C249,4,2)),VALUE(LEFT(C249,2))),DATE(VALUE(RIGHT(C249,4)),VLOOKUP(TRIM(MID(C249,FIND(" ",C249)+1,LEN(C249)-FIND(" ",C249)-5)),Справочники!$M$3:$N$14,2,0),VALUE(LEFT(C249,FIND(" ",C249)-1))))),"")</f>
        <v>31000</v>
      </c>
      <c r="J249" s="6">
        <f t="shared" si="210"/>
        <v>41</v>
      </c>
      <c r="K249" t="str">
        <f t="shared" si="211"/>
        <v>ОК</v>
      </c>
      <c r="L249" s="5">
        <f>IFERROR(IF(ISNUMBER(FIND("-",G249)),DATE(VALUE(LEFT(G249,4)),VALUE(MID(G249,6,2)),VALUE(RIGHT(G249,2))),IF(ISNUMBER(FIND(".",G249)),DATE(VALUE(RIGHT(G249,4)),VALUE(MID(G249,4,2)),VALUE(LEFT(G249,2))),DATE(VALUE(RIGHT(G249,4)),VLOOKUP(TRIM(MID(G249,FIND(" ",G249)+1,LEN(G249)-FIND(" ",G249)-5)),Справочники!$M$3:$N$14,2,0),VALUE(LEFT(G249,FIND(" ",G249)-1))))),"")</f>
        <v>47072</v>
      </c>
      <c r="M249" t="str">
        <f t="shared" si="212"/>
        <v xml:space="preserve">+7 (903) 890-12-34</v>
      </c>
      <c r="N249" t="str">
        <f t="shared" si="213"/>
        <v>hohlov@yandex</v>
      </c>
      <c r="O249" t="str">
        <f t="shared" si="214"/>
        <v xml:space="preserve">Ошибка Email</v>
      </c>
      <c r="P249" t="str">
        <f>IFERROR(VLOOKUP(TRIM(SUBSTITUTE(SUBSTITUTE(" "&amp;F249," г "," "),"г.","")),Справочники!$J$3:$K$102,2,0),TRIM(SUBSTITUTE(SUBSTITUTE(" "&amp;F249," г "," "),"г.","")))</f>
        <v>Белгород</v>
      </c>
    </row>
    <row r="250">
      <c r="A250" s="3" t="s">
        <v>2514</v>
      </c>
      <c r="B250" s="3" t="s">
        <v>5049</v>
      </c>
      <c r="C250" s="3" t="s">
        <v>5050</v>
      </c>
      <c r="D250" s="3" t="s">
        <v>4018</v>
      </c>
      <c r="E250" s="3" t="s">
        <v>5051</v>
      </c>
      <c r="F250" s="3" t="s">
        <v>4245</v>
      </c>
      <c r="G250" s="3" t="s">
        <v>5052</v>
      </c>
      <c r="H250" t="str">
        <f t="shared" si="209"/>
        <v xml:space="preserve">Мельник Елена Владимировна</v>
      </c>
      <c r="I250" s="5">
        <f>IFERROR(IF(ISNUMBER(FIND("-",C250)),DATE(VALUE(LEFT(C250,4)),VALUE(MID(C250,6,2)),VALUE(RIGHT(C250,2))),IF(ISNUMBER(FIND(".",C250)),DATE(VALUE(RIGHT(C250,4)),VALUE(MID(C250,4,2)),VALUE(LEFT(C250,2))),DATE(VALUE(RIGHT(C250,4)),VLOOKUP(TRIM(MID(C250,FIND(" ",C250)+1,LEN(C250)-FIND(" ",C250)-5)),Справочники!$M$3:$N$14,2,0),VALUE(LEFT(C250,FIND(" ",C250)-1))))),"")</f>
        <v>34221</v>
      </c>
      <c r="J250" s="6">
        <f t="shared" si="210"/>
        <v>33</v>
      </c>
      <c r="K250" t="str">
        <f t="shared" si="211"/>
        <v>ОК</v>
      </c>
      <c r="L250" s="5">
        <f>IFERROR(IF(ISNUMBER(FIND("-",G250)),DATE(VALUE(LEFT(G250,4)),VALUE(MID(G250,6,2)),VALUE(RIGHT(G250,2))),IF(ISNUMBER(FIND(".",G250)),DATE(VALUE(RIGHT(G250,4)),VALUE(MID(G250,4,2)),VALUE(LEFT(G250,2))),DATE(VALUE(RIGHT(G250,4)),VLOOKUP(TRIM(MID(G250,FIND(" ",G250)+1,LEN(G250)-FIND(" ",G250)-5)),Справочники!$M$3:$N$14,2,0),VALUE(LEFT(G250,FIND(" ",G250)-1))))),"")</f>
        <v>47072</v>
      </c>
      <c r="M250" t="str">
        <f t="shared" si="212"/>
        <v xml:space="preserve">+7 (903) 901-23-45</v>
      </c>
      <c r="N250" t="str">
        <f t="shared" si="213"/>
        <v>melnik@gmail</v>
      </c>
      <c r="O250" t="str">
        <f t="shared" si="214"/>
        <v xml:space="preserve">Ошибка Email</v>
      </c>
      <c r="P250" t="str">
        <f>IFERROR(VLOOKUP(TRIM(SUBSTITUTE(SUBSTITUTE(" "&amp;F250," г "," "),"г.","")),Справочники!$J$3:$K$102,2,0),TRIM(SUBSTITUTE(SUBSTITUTE(" "&amp;F250," г "," "),"г.","")))</f>
        <v>Мурманск</v>
      </c>
    </row>
    <row r="251">
      <c r="A251" s="3" t="s">
        <v>2515</v>
      </c>
      <c r="B251" s="3" t="s">
        <v>5053</v>
      </c>
      <c r="C251" s="3" t="s">
        <v>5054</v>
      </c>
      <c r="D251" s="3" t="s">
        <v>1626</v>
      </c>
      <c r="E251" s="3" t="s">
        <v>5055</v>
      </c>
      <c r="F251" s="3" t="s">
        <v>4250</v>
      </c>
      <c r="G251" s="3" t="s">
        <v>5056</v>
      </c>
      <c r="H251" t="str">
        <f t="shared" si="209"/>
        <v xml:space="preserve">Кашкаров Илья Алексеевич</v>
      </c>
      <c r="I251" s="5">
        <f>IFERROR(IF(ISNUMBER(FIND("-",C251)),DATE(VALUE(LEFT(C251,4)),VALUE(MID(C251,6,2)),VALUE(RIGHT(C251,2))),IF(ISNUMBER(FIND(".",C251)),DATE(VALUE(RIGHT(C251,4)),VALUE(MID(C251,4,2)),VALUE(LEFT(C251,2))),DATE(VALUE(RIGHT(C251,4)),VLOOKUP(TRIM(MID(C251,FIND(" ",C251)+1,LEN(C251)-FIND(" ",C251)-5)),Справочники!$M$3:$N$14,2,0),VALUE(LEFT(C251,FIND(" ",C251)-1))))),"")</f>
        <v>29211</v>
      </c>
      <c r="J251" s="6">
        <f t="shared" si="210"/>
        <v>46</v>
      </c>
      <c r="K251" t="str">
        <f t="shared" si="211"/>
        <v>ОК</v>
      </c>
      <c r="L251" s="5">
        <f>IFERROR(IF(ISNUMBER(FIND("-",G251)),DATE(VALUE(LEFT(G251,4)),VALUE(MID(G251,6,2)),VALUE(RIGHT(G251,2))),IF(ISNUMBER(FIND(".",G251)),DATE(VALUE(RIGHT(G251,4)),VALUE(MID(G251,4,2)),VALUE(LEFT(G251,2))),DATE(VALUE(RIGHT(G251,4)),VLOOKUP(TRIM(MID(G251,FIND(" ",G251)+1,LEN(G251)-FIND(" ",G251)-5)),Справочники!$M$3:$N$14,2,0),VALUE(LEFT(G251,FIND(" ",G251)-1))))),"")</f>
        <v>47088</v>
      </c>
      <c r="M251" t="str">
        <f t="shared" si="212"/>
        <v xml:space="preserve">+7 (903) 901-23-45</v>
      </c>
      <c r="N251" t="str">
        <f t="shared" si="213"/>
        <v>kashkarov@mail</v>
      </c>
      <c r="O251" t="str">
        <f t="shared" si="214"/>
        <v xml:space="preserve">Ошибка Email</v>
      </c>
      <c r="P251" t="str">
        <f>IFERROR(VLOOKUP(TRIM(SUBSTITUTE(SUBSTITUTE(" "&amp;F251," г "," "),"г.","")),Справочники!$J$3:$K$102,2,0),TRIM(SUBSTITUTE(SUBSTITUTE(" "&amp;F251," г "," "),"г.","")))</f>
        <v>Ставрополь</v>
      </c>
    </row>
    <row r="252">
      <c r="A252" s="3" t="s">
        <v>2518</v>
      </c>
      <c r="B252" s="3" t="s">
        <v>5057</v>
      </c>
      <c r="C252" s="3" t="s">
        <v>5058</v>
      </c>
      <c r="D252" s="3" t="s">
        <v>4176</v>
      </c>
      <c r="E252" s="3" t="s">
        <v>5059</v>
      </c>
      <c r="F252" s="3" t="s">
        <v>4255</v>
      </c>
      <c r="G252" s="3" t="s">
        <v>5060</v>
      </c>
      <c r="H252" t="str">
        <f t="shared" si="209"/>
        <v xml:space="preserve">Любимова Анна Петровна</v>
      </c>
      <c r="I252" s="5">
        <f>IFERROR(IF(ISNUMBER(FIND("-",C252)),DATE(VALUE(LEFT(C252,4)),VALUE(MID(C252,6,2)),VALUE(RIGHT(C252,2))),IF(ISNUMBER(FIND(".",C252)),DATE(VALUE(RIGHT(C252,4)),VALUE(MID(C252,4,2)),VALUE(LEFT(C252,2))),DATE(VALUE(RIGHT(C252,4)),VLOOKUP(TRIM(MID(C252,FIND(" ",C252)+1,LEN(C252)-FIND(" ",C252)-5)),Справочники!$M$3:$N$14,2,0),VALUE(LEFT(C252,FIND(" ",C252)-1))))),"")</f>
        <v>31497</v>
      </c>
      <c r="J252" s="6">
        <f t="shared" si="210"/>
        <v>40</v>
      </c>
      <c r="K252" t="str">
        <f t="shared" si="211"/>
        <v>ОК</v>
      </c>
      <c r="L252" s="5">
        <f>IFERROR(IF(ISNUMBER(FIND("-",G252)),DATE(VALUE(LEFT(G252,4)),VALUE(MID(G252,6,2)),VALUE(RIGHT(G252,2))),IF(ISNUMBER(FIND(".",G252)),DATE(VALUE(RIGHT(G252,4)),VALUE(MID(G252,4,2)),VALUE(LEFT(G252,2))),DATE(VALUE(RIGHT(G252,4)),VLOOKUP(TRIM(MID(G252,FIND(" ",G252)+1,LEN(G252)-FIND(" ",G252)-5)),Справочники!$M$3:$N$14,2,0),VALUE(LEFT(G252,FIND(" ",G252)-1))))),"")</f>
        <v>47097</v>
      </c>
      <c r="M252" t="str">
        <f t="shared" si="212"/>
        <v xml:space="preserve">+7 (903) 901-23-45</v>
      </c>
      <c r="N252" t="str">
        <f t="shared" si="213"/>
        <v>lyubimova@yandex</v>
      </c>
      <c r="O252" t="str">
        <f t="shared" si="214"/>
        <v xml:space="preserve">Ошибка Email</v>
      </c>
      <c r="P252" t="str">
        <f>IFERROR(VLOOKUP(TRIM(SUBSTITUTE(SUBSTITUTE(" "&amp;F252," г "," "),"г.","")),Справочники!$J$3:$K$102,2,0),TRIM(SUBSTITUTE(SUBSTITUTE(" "&amp;F252," г "," "),"г.","")))</f>
        <v>Севастополь</v>
      </c>
    </row>
    <row r="253">
      <c r="A253" s="3" t="s">
        <v>2520</v>
      </c>
      <c r="B253" s="3" t="s">
        <v>5061</v>
      </c>
      <c r="C253" s="3" t="s">
        <v>5062</v>
      </c>
      <c r="D253" s="3" t="s">
        <v>4182</v>
      </c>
      <c r="E253" s="3" t="s">
        <v>5063</v>
      </c>
      <c r="F253" s="3" t="s">
        <v>4260</v>
      </c>
      <c r="G253" s="3" t="s">
        <v>5064</v>
      </c>
      <c r="H253" t="str">
        <f t="shared" si="209"/>
        <v xml:space="preserve">Грачев Александр Сергеевич</v>
      </c>
      <c r="I253" s="5">
        <f>IFERROR(IF(ISNUMBER(FIND("-",C253)),DATE(VALUE(LEFT(C253,4)),VALUE(MID(C253,6,2)),VALUE(RIGHT(C253,2))),IF(ISNUMBER(FIND(".",C253)),DATE(VALUE(RIGHT(C253,4)),VALUE(MID(C253,4,2)),VALUE(LEFT(C253,2))),DATE(VALUE(RIGHT(C253,4)),VLOOKUP(TRIM(MID(C253,FIND(" ",C253)+1,LEN(C253)-FIND(" ",C253)-5)),Справочники!$M$3:$N$14,2,0),VALUE(LEFT(C253,FIND(" ",C253)-1))))),"")</f>
        <v>33069</v>
      </c>
      <c r="J253" s="6">
        <f t="shared" si="210"/>
        <v>36</v>
      </c>
      <c r="K253" t="str">
        <f t="shared" si="211"/>
        <v>ОК</v>
      </c>
      <c r="L253" s="5">
        <f>IFERROR(IF(ISNUMBER(FIND("-",G253)),DATE(VALUE(LEFT(G253,4)),VALUE(MID(G253,6,2)),VALUE(RIGHT(G253,2))),IF(ISNUMBER(FIND(".",G253)),DATE(VALUE(RIGHT(G253,4)),VALUE(MID(G253,4,2)),VALUE(LEFT(G253,2))),DATE(VALUE(RIGHT(G253,4)),VLOOKUP(TRIM(MID(G253,FIND(" ",G253)+1,LEN(G253)-FIND(" ",G253)-5)),Справочники!$M$3:$N$14,2,0),VALUE(LEFT(G253,FIND(" ",G253)-1))))),"")</f>
        <v>47097</v>
      </c>
      <c r="M253" t="str">
        <f t="shared" si="212"/>
        <v xml:space="preserve">+7 (903) 012-34-56</v>
      </c>
      <c r="N253" t="str">
        <f t="shared" si="213"/>
        <v>grachev@gmail</v>
      </c>
      <c r="O253" t="str">
        <f t="shared" si="214"/>
        <v xml:space="preserve">Ошибка Email</v>
      </c>
      <c r="P253" t="str">
        <f>IFERROR(VLOOKUP(TRIM(SUBSTITUTE(SUBSTITUTE(" "&amp;F253," г "," "),"г.","")),Справочники!$J$3:$K$102,2,0),TRIM(SUBSTITUTE(SUBSTITUTE(" "&amp;F253," г "," "),"г.","")))</f>
        <v>Сочи</v>
      </c>
    </row>
    <row r="254">
      <c r="A254" s="3" t="s">
        <v>2522</v>
      </c>
      <c r="B254" s="3" t="s">
        <v>5065</v>
      </c>
      <c r="C254" s="3" t="s">
        <v>5066</v>
      </c>
      <c r="D254" s="3" t="s">
        <v>4188</v>
      </c>
      <c r="E254" s="3" t="s">
        <v>5067</v>
      </c>
      <c r="F254" s="3" t="s">
        <v>4265</v>
      </c>
      <c r="G254" s="3" t="s">
        <v>5068</v>
      </c>
      <c r="H254" t="str">
        <f t="shared" si="209"/>
        <v xml:space="preserve">Корнилов Владимир Олегович</v>
      </c>
      <c r="I254" s="5">
        <f>IFERROR(IF(ISNUMBER(FIND("-",C254)),DATE(VALUE(LEFT(C254,4)),VALUE(MID(C254,6,2)),VALUE(RIGHT(C254,2))),IF(ISNUMBER(FIND(".",C254)),DATE(VALUE(RIGHT(C254,4)),VALUE(MID(C254,4,2)),VALUE(LEFT(C254,2))),DATE(VALUE(RIGHT(C254,4)),VLOOKUP(TRIM(MID(C254,FIND(" ",C254)+1,LEN(C254)-FIND(" ",C254)-5)),Справочники!$M$3:$N$14,2,0),VALUE(LEFT(C254,FIND(" ",C254)-1))))),"")</f>
        <v>27644</v>
      </c>
      <c r="J254" s="6">
        <f t="shared" si="210"/>
        <v>51</v>
      </c>
      <c r="K254" t="str">
        <f t="shared" si="211"/>
        <v>ОК</v>
      </c>
      <c r="L254" s="5">
        <f>IFERROR(IF(ISNUMBER(FIND("-",G254)),DATE(VALUE(LEFT(G254,4)),VALUE(MID(G254,6,2)),VALUE(RIGHT(G254,2))),IF(ISNUMBER(FIND(".",G254)),DATE(VALUE(RIGHT(G254,4)),VALUE(MID(G254,4,2)),VALUE(LEFT(G254,2))),DATE(VALUE(RIGHT(G254,4)),VLOOKUP(TRIM(MID(G254,FIND(" ",G254)+1,LEN(G254)-FIND(" ",G254)-5)),Справочники!$M$3:$N$14,2,0),VALUE(LEFT(G254,FIND(" ",G254)-1))))),"")</f>
        <v>47119</v>
      </c>
      <c r="M254" t="str">
        <f t="shared" si="212"/>
        <v xml:space="preserve">+7 (903) 012-34-56</v>
      </c>
      <c r="N254" t="str">
        <f t="shared" si="213"/>
        <v>kornilov@mail</v>
      </c>
      <c r="O254" t="str">
        <f t="shared" si="214"/>
        <v xml:space="preserve">Ошибка Email</v>
      </c>
      <c r="P254" t="str">
        <f>IFERROR(VLOOKUP(TRIM(SUBSTITUTE(SUBSTITUTE(" "&amp;F254," г "," "),"г.","")),Справочники!$J$3:$K$102,2,0),TRIM(SUBSTITUTE(SUBSTITUTE(" "&amp;F254," г "," "),"г.","")))</f>
        <v>Симферополь</v>
      </c>
    </row>
    <row r="255">
      <c r="A255" s="3" t="s">
        <v>2524</v>
      </c>
      <c r="B255" s="3" t="s">
        <v>5069</v>
      </c>
      <c r="C255" s="3" t="s">
        <v>5070</v>
      </c>
      <c r="D255" s="3" t="s">
        <v>1633</v>
      </c>
      <c r="E255" s="3" t="s">
        <v>5071</v>
      </c>
      <c r="F255" s="3" t="s">
        <v>4270</v>
      </c>
      <c r="G255" s="3" t="s">
        <v>5072</v>
      </c>
      <c r="H255" t="str">
        <f t="shared" si="209"/>
        <v xml:space="preserve">Филатова Наталья Игоревна</v>
      </c>
      <c r="I255" s="5">
        <f>IFERROR(IF(ISNUMBER(FIND("-",C255)),DATE(VALUE(LEFT(C255,4)),VALUE(MID(C255,6,2)),VALUE(RIGHT(C255,2))),IF(ISNUMBER(FIND(".",C255)),DATE(VALUE(RIGHT(C255,4)),VALUE(MID(C255,4,2)),VALUE(LEFT(C255,2))),DATE(VALUE(RIGHT(C255,4)),VLOOKUP(TRIM(MID(C255,FIND(" ",C255)+1,LEN(C255)-FIND(" ",C255)-5)),Справочники!$M$3:$N$14,2,0),VALUE(LEFT(C255,FIND(" ",C255)-1))))),"")</f>
        <v>30059</v>
      </c>
      <c r="J255" s="6">
        <f t="shared" si="210"/>
        <v>44</v>
      </c>
      <c r="K255" t="str">
        <f t="shared" si="211"/>
        <v>ОК</v>
      </c>
      <c r="L255" s="5">
        <f>IFERROR(IF(ISNUMBER(FIND("-",G255)),DATE(VALUE(LEFT(G255,4)),VALUE(MID(G255,6,2)),VALUE(RIGHT(G255,2))),IF(ISNUMBER(FIND(".",G255)),DATE(VALUE(RIGHT(G255,4)),VALUE(MID(G255,4,2)),VALUE(LEFT(G255,2))),DATE(VALUE(RIGHT(G255,4)),VLOOKUP(TRIM(MID(G255,FIND(" ",G255)+1,LEN(G255)-FIND(" ",G255)-5)),Справочники!$M$3:$N$14,2,0),VALUE(LEFT(G255,FIND(" ",G255)-1))))),"")</f>
        <v>47133</v>
      </c>
      <c r="M255" t="str">
        <f t="shared" si="212"/>
        <v xml:space="preserve">+7 (903) 012-34-56</v>
      </c>
      <c r="N255" t="str">
        <f t="shared" si="213"/>
        <v>filatova@yandex</v>
      </c>
      <c r="O255" t="str">
        <f t="shared" si="214"/>
        <v xml:space="preserve">Ошибка Email</v>
      </c>
      <c r="P255" t="str">
        <f>IFERROR(VLOOKUP(TRIM(SUBSTITUTE(SUBSTITUTE(" "&amp;F255," г "," "),"г.","")),Справочники!$J$3:$K$102,2,0),TRIM(SUBSTITUTE(SUBSTITUTE(" "&amp;F255," г "," "),"г.","")))</f>
        <v>Брянск</v>
      </c>
    </row>
    <row r="256">
      <c r="A256" s="3" t="s">
        <v>2527</v>
      </c>
      <c r="B256" s="3" t="s">
        <v>5073</v>
      </c>
      <c r="C256" s="3" t="s">
        <v>5074</v>
      </c>
      <c r="D256" s="3" t="s">
        <v>4034</v>
      </c>
      <c r="E256" s="3" t="s">
        <v>5075</v>
      </c>
      <c r="F256" s="3" t="s">
        <v>4275</v>
      </c>
      <c r="G256" s="3" t="s">
        <v>5076</v>
      </c>
      <c r="H256" t="str">
        <f t="shared" si="209"/>
        <v xml:space="preserve">Бердникова Мария Владимировна</v>
      </c>
      <c r="I256" s="5">
        <f>IFERROR(IF(ISNUMBER(FIND("-",C256)),DATE(VALUE(LEFT(C256,4)),VALUE(MID(C256,6,2)),VALUE(RIGHT(C256,2))),IF(ISNUMBER(FIND(".",C256)),DATE(VALUE(RIGHT(C256,4)),VALUE(MID(C256,4,2)),VALUE(LEFT(C256,2))),DATE(VALUE(RIGHT(C256,4)),VLOOKUP(TRIM(MID(C256,FIND(" ",C256)+1,LEN(C256)-FIND(" ",C256)-5)),Справочники!$M$3:$N$14,2,0),VALUE(LEFT(C256,FIND(" ",C256)-1))))),"")</f>
        <v>33542</v>
      </c>
      <c r="J256" s="6">
        <f t="shared" si="210"/>
        <v>34</v>
      </c>
      <c r="K256" t="str">
        <f t="shared" si="211"/>
        <v>ОК</v>
      </c>
      <c r="L256" s="5">
        <f>IFERROR(IF(ISNUMBER(FIND("-",G256)),DATE(VALUE(LEFT(G256,4)),VALUE(MID(G256,6,2)),VALUE(RIGHT(G256,2))),IF(ISNUMBER(FIND(".",G256)),DATE(VALUE(RIGHT(G256,4)),VALUE(MID(G256,4,2)),VALUE(LEFT(G256,2))),DATE(VALUE(RIGHT(G256,4)),VLOOKUP(TRIM(MID(G256,FIND(" ",G256)+1,LEN(G256)-FIND(" ",G256)-5)),Справочники!$M$3:$N$14,2,0),VALUE(LEFT(G256,FIND(" ",G256)-1))))),"")</f>
        <v>47133</v>
      </c>
      <c r="M256" t="str">
        <f t="shared" si="212"/>
        <v xml:space="preserve">+7 (903) 123-45-67</v>
      </c>
      <c r="N256" t="str">
        <f t="shared" si="213"/>
        <v>berdnikova@gmail</v>
      </c>
      <c r="O256" t="str">
        <f t="shared" si="214"/>
        <v xml:space="preserve">Ошибка Email</v>
      </c>
      <c r="P256" t="str">
        <f>IFERROR(VLOOKUP(TRIM(SUBSTITUTE(SUBSTITUTE(" "&amp;F256," г "," "),"г.","")),Справочники!$J$3:$K$102,2,0),TRIM(SUBSTITUTE(SUBSTITUTE(" "&amp;F256," г "," "),"г.","")))</f>
        <v>Абакан</v>
      </c>
    </row>
    <row r="257">
      <c r="A257" s="3" t="s">
        <v>2529</v>
      </c>
      <c r="B257" s="3" t="s">
        <v>5077</v>
      </c>
      <c r="C257" s="3" t="s">
        <v>5078</v>
      </c>
      <c r="D257" s="3" t="s">
        <v>4040</v>
      </c>
      <c r="E257" s="3" t="s">
        <v>5079</v>
      </c>
      <c r="F257" s="3" t="s">
        <v>4280</v>
      </c>
      <c r="G257" s="3" t="s">
        <v>5080</v>
      </c>
      <c r="H257" t="str">
        <f t="shared" si="209"/>
        <v xml:space="preserve">Мельниченко Андрей Павлович</v>
      </c>
      <c r="I257" s="5">
        <f>IFERROR(IF(ISNUMBER(FIND("-",C257)),DATE(VALUE(LEFT(C257,4)),VALUE(MID(C257,6,2)),VALUE(RIGHT(C257,2))),IF(ISNUMBER(FIND(".",C257)),DATE(VALUE(RIGHT(C257,4)),VALUE(MID(C257,4,2)),VALUE(LEFT(C257,2))),DATE(VALUE(RIGHT(C257,4)),VLOOKUP(TRIM(MID(C257,FIND(" ",C257)+1,LEN(C257)-FIND(" ",C257)-5)),Справочники!$M$3:$N$14,2,0),VALUE(LEFT(C257,FIND(" ",C257)-1))))),"")</f>
        <v>28169</v>
      </c>
      <c r="J257" s="6">
        <f t="shared" si="210"/>
        <v>49</v>
      </c>
      <c r="K257" t="str">
        <f t="shared" si="211"/>
        <v>ОК</v>
      </c>
      <c r="L257" s="5">
        <f>IFERROR(IF(ISNUMBER(FIND("-",G257)),DATE(VALUE(LEFT(G257,4)),VALUE(MID(G257,6,2)),VALUE(RIGHT(G257,2))),IF(ISNUMBER(FIND(".",G257)),DATE(VALUE(RIGHT(G257,4)),VALUE(MID(G257,4,2)),VALUE(LEFT(G257,2))),DATE(VALUE(RIGHT(G257,4)),VLOOKUP(TRIM(MID(G257,FIND(" ",G257)+1,LEN(G257)-FIND(" ",G257)-5)),Справочники!$M$3:$N$14,2,0),VALUE(LEFT(G257,FIND(" ",G257)-1))))),"")</f>
        <v>47150</v>
      </c>
      <c r="M257" t="str">
        <f t="shared" si="212"/>
        <v xml:space="preserve">+7 (903) 123-45-67</v>
      </c>
      <c r="N257" t="str">
        <f t="shared" si="213"/>
        <v>melnichenko@mail</v>
      </c>
      <c r="O257" t="str">
        <f t="shared" si="214"/>
        <v xml:space="preserve">Ошибка Email</v>
      </c>
      <c r="P257" t="str">
        <f>IFERROR(VLOOKUP(TRIM(SUBSTITUTE(SUBSTITUTE(" "&amp;F257," г "," "),"г.","")),Справочники!$J$3:$K$102,2,0),TRIM(SUBSTITUTE(SUBSTITUTE(" "&amp;F257," г "," "),"г.","")))</f>
        <v>Грозный</v>
      </c>
    </row>
    <row r="258">
      <c r="A258" s="3" t="s">
        <v>2531</v>
      </c>
      <c r="B258" s="3" t="s">
        <v>5081</v>
      </c>
      <c r="C258" s="3" t="s">
        <v>5082</v>
      </c>
      <c r="D258" s="3" t="s">
        <v>1570</v>
      </c>
      <c r="E258" s="3" t="s">
        <v>5083</v>
      </c>
      <c r="F258" s="3" t="s">
        <v>4285</v>
      </c>
      <c r="G258" s="3" t="s">
        <v>5084</v>
      </c>
      <c r="H258" t="str">
        <f t="shared" si="209"/>
        <v xml:space="preserve">Воронина Ольга Владиславовна</v>
      </c>
      <c r="I258" s="5">
        <f>IFERROR(IF(ISNUMBER(FIND("-",C258)),DATE(VALUE(LEFT(C258,4)),VALUE(MID(C258,6,2)),VALUE(RIGHT(C258,2))),IF(ISNUMBER(FIND(".",C258)),DATE(VALUE(RIGHT(C258,4)),VALUE(MID(C258,4,2)),VALUE(LEFT(C258,2))),DATE(VALUE(RIGHT(C258,4)),VLOOKUP(TRIM(MID(C258,FIND(" ",C258)+1,LEN(C258)-FIND(" ",C258)-5)),Справочники!$M$3:$N$14,2,0),VALUE(LEFT(C258,FIND(" ",C258)-1))))),"")</f>
        <v>31220</v>
      </c>
      <c r="J258" s="6">
        <f t="shared" si="210"/>
        <v>41</v>
      </c>
      <c r="K258" t="str">
        <f t="shared" si="211"/>
        <v>ОК</v>
      </c>
      <c r="L258" s="5">
        <f>IFERROR(IF(ISNUMBER(FIND("-",G258)),DATE(VALUE(LEFT(G258,4)),VALUE(MID(G258,6,2)),VALUE(RIGHT(G258,2))),IF(ISNUMBER(FIND(".",G258)),DATE(VALUE(RIGHT(G258,4)),VALUE(MID(G258,4,2)),VALUE(LEFT(G258,2))),DATE(VALUE(RIGHT(G258,4)),VLOOKUP(TRIM(MID(G258,FIND(" ",G258)+1,LEN(G258)-FIND(" ",G258)-5)),Справочники!$M$3:$N$14,2,0),VALUE(LEFT(G258,FIND(" ",G258)-1))))),"")</f>
        <v>47159</v>
      </c>
      <c r="M258" t="str">
        <f t="shared" si="212"/>
        <v xml:space="preserve">+7 (903) 123-45-67</v>
      </c>
      <c r="N258" t="str">
        <f t="shared" si="213"/>
        <v>voronina@yandex</v>
      </c>
      <c r="O258" t="str">
        <f t="shared" si="214"/>
        <v xml:space="preserve">Ошибка Email</v>
      </c>
      <c r="P258" t="str">
        <f>IFERROR(VLOOKUP(TRIM(SUBSTITUTE(SUBSTITUTE(" "&amp;F258," г "," "),"г.","")),Справочники!$J$3:$K$102,2,0),TRIM(SUBSTITUTE(SUBSTITUTE(" "&amp;F258," г "," "),"г.","")))</f>
        <v>Бийск</v>
      </c>
    </row>
    <row r="259">
      <c r="A259" s="3" t="s">
        <v>2533</v>
      </c>
      <c r="B259" s="3" t="s">
        <v>5085</v>
      </c>
      <c r="C259" s="3" t="s">
        <v>5086</v>
      </c>
      <c r="D259" s="3" t="s">
        <v>4051</v>
      </c>
      <c r="E259" s="3" t="s">
        <v>5087</v>
      </c>
      <c r="F259" s="3" t="s">
        <v>4290</v>
      </c>
      <c r="G259" s="3" t="s">
        <v>5088</v>
      </c>
      <c r="H259" t="str">
        <f t="shared" si="209"/>
        <v xml:space="preserve">Зеленов Кирилл Валерьевич</v>
      </c>
      <c r="I259" s="5">
        <f>IFERROR(IF(ISNUMBER(FIND("-",C259)),DATE(VALUE(LEFT(C259,4)),VALUE(MID(C259,6,2)),VALUE(RIGHT(C259,2))),IF(ISNUMBER(FIND(".",C259)),DATE(VALUE(RIGHT(C259,4)),VALUE(MID(C259,4,2)),VALUE(LEFT(C259,2))),DATE(VALUE(RIGHT(C259,4)),VLOOKUP(TRIM(MID(C259,FIND(" ",C259)+1,LEN(C259)-FIND(" ",C259)-5)),Справочники!$M$3:$N$14,2,0),VALUE(LEFT(C259,FIND(" ",C259)-1))))),"")</f>
        <v>34676</v>
      </c>
      <c r="J259" s="6">
        <f t="shared" si="210"/>
        <v>31</v>
      </c>
      <c r="K259" t="str">
        <f t="shared" si="211"/>
        <v>ОК</v>
      </c>
      <c r="L259" s="5">
        <f>IFERROR(IF(ISNUMBER(FIND("-",G259)),DATE(VALUE(LEFT(G259,4)),VALUE(MID(G259,6,2)),VALUE(RIGHT(G259,2))),IF(ISNUMBER(FIND(".",G259)),DATE(VALUE(RIGHT(G259,4)),VALUE(MID(G259,4,2)),VALUE(LEFT(G259,2))),DATE(VALUE(RIGHT(G259,4)),VLOOKUP(TRIM(MID(G259,FIND(" ",G259)+1,LEN(G259)-FIND(" ",G259)-5)),Справочники!$M$3:$N$14,2,0),VALUE(LEFT(G259,FIND(" ",G259)-1))))),"")</f>
        <v>47159</v>
      </c>
      <c r="M259" t="str">
        <f t="shared" si="212"/>
        <v xml:space="preserve">+7 (903) 234-56-78</v>
      </c>
      <c r="N259" t="str">
        <f t="shared" si="213"/>
        <v>zelenov@gmail</v>
      </c>
      <c r="O259" t="str">
        <f t="shared" si="214"/>
        <v xml:space="preserve">Ошибка Email</v>
      </c>
      <c r="P259" t="str">
        <f>IFERROR(VLOOKUP(TRIM(SUBSTITUTE(SUBSTITUTE(" "&amp;F259," г "," "),"г.","")),Справочники!$J$3:$K$102,2,0),TRIM(SUBSTITUTE(SUBSTITUTE(" "&amp;F259," г "," "),"г.","")))</f>
        <v>Йошкар-Ола</v>
      </c>
    </row>
    <row r="260">
      <c r="A260" s="3" t="s">
        <v>2536</v>
      </c>
      <c r="B260" s="3" t="s">
        <v>5089</v>
      </c>
      <c r="C260" s="3" t="s">
        <v>5090</v>
      </c>
      <c r="D260" s="3" t="s">
        <v>4057</v>
      </c>
      <c r="E260" s="3" t="s">
        <v>5091</v>
      </c>
      <c r="F260" s="3" t="s">
        <v>4295</v>
      </c>
      <c r="G260" s="3" t="s">
        <v>5092</v>
      </c>
      <c r="H260" t="str">
        <f t="shared" si="209"/>
        <v xml:space="preserve">Стручкова Екатерина Алексеевна</v>
      </c>
      <c r="I260" s="5">
        <f>IFERROR(IF(ISNUMBER(FIND("-",C260)),DATE(VALUE(LEFT(C260,4)),VALUE(MID(C260,6,2)),VALUE(RIGHT(C260,2))),IF(ISNUMBER(FIND(".",C260)),DATE(VALUE(RIGHT(C260,4)),VALUE(MID(C260,4,2)),VALUE(LEFT(C260,2))),DATE(VALUE(RIGHT(C260,4)),VLOOKUP(TRIM(MID(C260,FIND(" ",C260)+1,LEN(C260)-FIND(" ",C260)-5)),Справочники!$M$3:$N$14,2,0),VALUE(LEFT(C260,FIND(" ",C260)-1))))),"")</f>
        <v>26893</v>
      </c>
      <c r="J260" s="6">
        <f t="shared" si="210"/>
        <v>53</v>
      </c>
      <c r="K260" t="str">
        <f t="shared" si="211"/>
        <v>ОК</v>
      </c>
      <c r="L260" s="5">
        <f>IFERROR(IF(ISNUMBER(FIND("-",G260)),DATE(VALUE(LEFT(G260,4)),VALUE(MID(G260,6,2)),VALUE(RIGHT(G260,2))),IF(ISNUMBER(FIND(".",G260)),DATE(VALUE(RIGHT(G260,4)),VALUE(MID(G260,4,2)),VALUE(LEFT(G260,2))),DATE(VALUE(RIGHT(G260,4)),VLOOKUP(TRIM(MID(G260,FIND(" ",G260)+1,LEN(G260)-FIND(" ",G260)-5)),Справочники!$M$3:$N$14,2,0),VALUE(LEFT(G260,FIND(" ",G260)-1))))),"")</f>
        <v>47178</v>
      </c>
      <c r="M260" t="str">
        <f t="shared" si="212"/>
        <v xml:space="preserve">+7 (903) 234-56-78</v>
      </c>
      <c r="N260" t="str">
        <f t="shared" si="213"/>
        <v>struchkova@mail</v>
      </c>
      <c r="O260" t="str">
        <f t="shared" si="214"/>
        <v xml:space="preserve">Ошибка Email</v>
      </c>
      <c r="P260" t="str">
        <f>IFERROR(VLOOKUP(TRIM(SUBSTITUTE(SUBSTITUTE(" "&amp;F260," г "," "),"г.","")),Справочники!$J$3:$K$102,2,0),TRIM(SUBSTITUTE(SUBSTITUTE(" "&amp;F260," г "," "),"г.","")))</f>
        <v>Курган</v>
      </c>
    </row>
    <row r="261">
      <c r="A261" s="3" t="s">
        <v>2538</v>
      </c>
      <c r="B261" s="3" t="s">
        <v>5093</v>
      </c>
      <c r="C261" s="3" t="s">
        <v>4799</v>
      </c>
      <c r="D261" s="3" t="s">
        <v>1712</v>
      </c>
      <c r="E261" s="3" t="s">
        <v>5094</v>
      </c>
      <c r="F261" s="3" t="s">
        <v>4300</v>
      </c>
      <c r="G261" s="3" t="s">
        <v>5095</v>
      </c>
      <c r="H261" t="str">
        <f t="shared" si="209"/>
        <v xml:space="preserve">Шаламов Олег Игоревич</v>
      </c>
      <c r="I261" s="5">
        <f>IFERROR(IF(ISNUMBER(FIND("-",C261)),DATE(VALUE(LEFT(C261,4)),VALUE(MID(C261,6,2)),VALUE(RIGHT(C261,2))),IF(ISNUMBER(FIND(".",C261)),DATE(VALUE(RIGHT(C261,4)),VALUE(MID(C261,4,2)),VALUE(LEFT(C261,2))),DATE(VALUE(RIGHT(C261,4)),VLOOKUP(TRIM(MID(C261,FIND(" ",C261)+1,LEN(C261)-FIND(" ",C261)-5)),Справочники!$M$3:$N$14,2,0),VALUE(LEFT(C261,FIND(" ",C261)-1))))),"")</f>
        <v>32221</v>
      </c>
      <c r="J261" s="6">
        <f t="shared" si="210"/>
        <v>38</v>
      </c>
      <c r="K261" t="str">
        <f t="shared" si="211"/>
        <v>ОК</v>
      </c>
      <c r="L261" s="5">
        <f>IFERROR(IF(ISNUMBER(FIND("-",G261)),DATE(VALUE(LEFT(G261,4)),VALUE(MID(G261,6,2)),VALUE(RIGHT(G261,2))),IF(ISNUMBER(FIND(".",G261)),DATE(VALUE(RIGHT(G261,4)),VALUE(MID(G261,4,2)),VALUE(LEFT(G261,2))),DATE(VALUE(RIGHT(G261,4)),VLOOKUP(TRIM(MID(G261,FIND(" ",G261)+1,LEN(G261)-FIND(" ",G261)-5)),Справочники!$M$3:$N$14,2,0),VALUE(LEFT(G261,FIND(" ",G261)-1))))),"")</f>
        <v>47192</v>
      </c>
      <c r="M261" t="str">
        <f t="shared" si="212"/>
        <v xml:space="preserve">+7 (903) 234-56-78</v>
      </c>
      <c r="N261" t="str">
        <f t="shared" si="213"/>
        <v>shalamov@yandex</v>
      </c>
      <c r="O261" t="str">
        <f t="shared" si="214"/>
        <v xml:space="preserve">Ошибка Email</v>
      </c>
      <c r="P261" t="str">
        <f>IFERROR(VLOOKUP(TRIM(SUBSTITUTE(SUBSTITUTE(" "&amp;F261," г "," "),"г.","")),Справочники!$J$3:$K$102,2,0),TRIM(SUBSTITUTE(SUBSTITUTE(" "&amp;F261," г "," "),"г.","")))</f>
        <v>Архангельск</v>
      </c>
    </row>
    <row r="262">
      <c r="A262" s="3" t="s">
        <v>2541</v>
      </c>
      <c r="B262" s="3" t="s">
        <v>5096</v>
      </c>
      <c r="C262" s="3" t="s">
        <v>5097</v>
      </c>
      <c r="D262" s="3" t="s">
        <v>1584</v>
      </c>
      <c r="E262" s="3" t="s">
        <v>5098</v>
      </c>
      <c r="F262" s="3" t="s">
        <v>4305</v>
      </c>
      <c r="G262" s="3" t="s">
        <v>5099</v>
      </c>
      <c r="H262" t="str">
        <f t="shared" si="209"/>
        <v xml:space="preserve">Алексеев Дмитрий Петрович</v>
      </c>
      <c r="I262" s="5">
        <f>IFERROR(IF(ISNUMBER(FIND("-",C262)),DATE(VALUE(LEFT(C262,4)),VALUE(MID(C262,6,2)),VALUE(RIGHT(C262,2))),IF(ISNUMBER(FIND(".",C262)),DATE(VALUE(RIGHT(C262,4)),VALUE(MID(C262,4,2)),VALUE(LEFT(C262,2))),DATE(VALUE(RIGHT(C262,4)),VLOOKUP(TRIM(MID(C262,FIND(" ",C262)+1,LEN(C262)-FIND(" ",C262)-5)),Справочники!$M$3:$N$14,2,0),VALUE(LEFT(C262,FIND(" ",C262)-1))))),"")</f>
        <v>29901</v>
      </c>
      <c r="J262" s="6">
        <f t="shared" si="210"/>
        <v>44</v>
      </c>
      <c r="K262" t="str">
        <f t="shared" si="211"/>
        <v>ОК</v>
      </c>
      <c r="L262" s="5">
        <f>IFERROR(IF(ISNUMBER(FIND("-",G262)),DATE(VALUE(LEFT(G262,4)),VALUE(MID(G262,6,2)),VALUE(RIGHT(G262,2))),IF(ISNUMBER(FIND(".",G262)),DATE(VALUE(RIGHT(G262,4)),VALUE(MID(G262,4,2)),VALUE(LEFT(G262,2))),DATE(VALUE(RIGHT(G262,4)),VLOOKUP(TRIM(MID(G262,FIND(" ",G262)+1,LEN(G262)-FIND(" ",G262)-5)),Справочники!$M$3:$N$14,2,0),VALUE(LEFT(G262,FIND(" ",G262)-1))))),"")</f>
        <v>47192</v>
      </c>
      <c r="M262" t="str">
        <f t="shared" si="212"/>
        <v xml:space="preserve">+7 (903) 345-67-89</v>
      </c>
      <c r="N262" t="str">
        <f t="shared" si="213"/>
        <v>alekseev@gmail</v>
      </c>
      <c r="O262" t="str">
        <f t="shared" si="214"/>
        <v xml:space="preserve">Ошибка Email</v>
      </c>
      <c r="P262" t="str">
        <f>IFERROR(VLOOKUP(TRIM(SUBSTITUTE(SUBSTITUTE(" "&amp;F262," г "," "),"г.","")),Справочники!$J$3:$K$102,2,0),TRIM(SUBSTITUTE(SUBSTITUTE(" "&amp;F262," г "," "),"г.","")))</f>
        <v>Благовещенск</v>
      </c>
    </row>
    <row r="263">
      <c r="A263" s="3" t="s">
        <v>2542</v>
      </c>
      <c r="B263" s="3" t="s">
        <v>5100</v>
      </c>
      <c r="C263" s="3" t="s">
        <v>5101</v>
      </c>
      <c r="D263" s="3" t="s">
        <v>4073</v>
      </c>
      <c r="E263" s="3" t="s">
        <v>5102</v>
      </c>
      <c r="F263" s="3" t="s">
        <v>4310</v>
      </c>
      <c r="G263" s="3" t="s">
        <v>5103</v>
      </c>
      <c r="H263" t="str">
        <f t="shared" si="209"/>
        <v xml:space="preserve">Сорокина Татьяна Борисовна</v>
      </c>
      <c r="I263" s="5">
        <f>IFERROR(IF(ISNUMBER(FIND("-",C263)),DATE(VALUE(LEFT(C263,4)),VALUE(MID(C263,6,2)),VALUE(RIGHT(C263,2))),IF(ISNUMBER(FIND(".",C263)),DATE(VALUE(RIGHT(C263,4)),VALUE(MID(C263,4,2)),VALUE(LEFT(C263,2))),DATE(VALUE(RIGHT(C263,4)),VLOOKUP(TRIM(MID(C263,FIND(" ",C263)+1,LEN(C263)-FIND(" ",C263)-5)),Справочники!$M$3:$N$14,2,0),VALUE(LEFT(C263,FIND(" ",C263)-1))))),"")</f>
        <v>27946</v>
      </c>
      <c r="J263" s="6">
        <f t="shared" si="210"/>
        <v>50</v>
      </c>
      <c r="K263" t="str">
        <f t="shared" si="211"/>
        <v>ОК</v>
      </c>
      <c r="L263" s="5">
        <f>IFERROR(IF(ISNUMBER(FIND("-",G263)),DATE(VALUE(LEFT(G263,4)),VALUE(MID(G263,6,2)),VALUE(RIGHT(G263,2))),IF(ISNUMBER(FIND(".",G263)),DATE(VALUE(RIGHT(G263,4)),VALUE(MID(G263,4,2)),VALUE(LEFT(G263,2))),DATE(VALUE(RIGHT(G263,4)),VLOOKUP(TRIM(MID(G263,FIND(" ",G263)+1,LEN(G263)-FIND(" ",G263)-5)),Справочники!$M$3:$N$14,2,0),VALUE(LEFT(G263,FIND(" ",G263)-1))))),"")</f>
        <v>47209</v>
      </c>
      <c r="M263" t="str">
        <f t="shared" si="212"/>
        <v xml:space="preserve">+7 (903) 345-67-89</v>
      </c>
      <c r="N263" t="str">
        <f t="shared" si="213"/>
        <v>sorokina@mail</v>
      </c>
      <c r="O263" t="str">
        <f t="shared" si="214"/>
        <v xml:space="preserve">Ошибка Email</v>
      </c>
      <c r="P263" t="str">
        <f>IFERROR(VLOOKUP(TRIM(SUBSTITUTE(SUBSTITUTE(" "&amp;F263," г "," "),"г.","")),Справочники!$J$3:$K$102,2,0),TRIM(SUBSTITUTE(SUBSTITUTE(" "&amp;F263," г "," "),"г.","")))</f>
        <v>Майкоп</v>
      </c>
    </row>
    <row r="264">
      <c r="A264" s="3" t="s">
        <v>2545</v>
      </c>
      <c r="B264" s="3" t="s">
        <v>5104</v>
      </c>
      <c r="C264" s="3" t="s">
        <v>5105</v>
      </c>
      <c r="D264" s="3" t="s">
        <v>4079</v>
      </c>
      <c r="E264" s="3" t="s">
        <v>5106</v>
      </c>
      <c r="F264" s="3" t="s">
        <v>4315</v>
      </c>
      <c r="G264" s="3" t="s">
        <v>5107</v>
      </c>
      <c r="H264" t="str">
        <f t="shared" si="209"/>
        <v xml:space="preserve">Пономарёв Сергей Александрович</v>
      </c>
      <c r="I264" s="5">
        <f>IFERROR(IF(ISNUMBER(FIND("-",C264)),DATE(VALUE(LEFT(C264,4)),VALUE(MID(C264,6,2)),VALUE(RIGHT(C264,2))),IF(ISNUMBER(FIND(".",C264)),DATE(VALUE(RIGHT(C264,4)),VALUE(MID(C264,4,2)),VALUE(LEFT(C264,2))),DATE(VALUE(RIGHT(C264,4)),VLOOKUP(TRIM(MID(C264,FIND(" ",C264)+1,LEN(C264)-FIND(" ",C264)-5)),Справочники!$M$3:$N$14,2,0),VALUE(LEFT(C264,FIND(" ",C264)-1))))),"")</f>
        <v>33871</v>
      </c>
      <c r="J264" s="6">
        <f t="shared" si="210"/>
        <v>34</v>
      </c>
      <c r="K264" t="str">
        <f t="shared" si="211"/>
        <v>ОК</v>
      </c>
      <c r="L264" s="5">
        <f>IFERROR(IF(ISNUMBER(FIND("-",G264)),DATE(VALUE(LEFT(G264,4)),VALUE(MID(G264,6,2)),VALUE(RIGHT(G264,2))),IF(ISNUMBER(FIND(".",G264)),DATE(VALUE(RIGHT(G264,4)),VALUE(MID(G264,4,2)),VALUE(LEFT(G264,2))),DATE(VALUE(RIGHT(G264,4)),VLOOKUP(TRIM(MID(G264,FIND(" ",G264)+1,LEN(G264)-FIND(" ",G264)-5)),Справочники!$M$3:$N$14,2,0),VALUE(LEFT(G264,FIND(" ",G264)-1))))),"")</f>
        <v>47218</v>
      </c>
      <c r="M264" t="str">
        <f t="shared" si="212"/>
        <v xml:space="preserve">+7 (903) 345-67-89</v>
      </c>
      <c r="N264" t="str">
        <f t="shared" si="213"/>
        <v>ponomarev@yandex</v>
      </c>
      <c r="O264" t="str">
        <f t="shared" si="214"/>
        <v xml:space="preserve">Ошибка Email</v>
      </c>
      <c r="P264" t="str">
        <f>IFERROR(VLOOKUP(TRIM(SUBSTITUTE(SUBSTITUTE(" "&amp;F264," г "," "),"г.","")),Справочники!$J$3:$K$102,2,0),TRIM(SUBSTITUTE(SUBSTITUTE(" "&amp;F264," г "," "),"г.","")))</f>
        <v>Уссурийск</v>
      </c>
    </row>
    <row r="265">
      <c r="A265" s="3" t="s">
        <v>2546</v>
      </c>
      <c r="B265" s="3" t="s">
        <v>5108</v>
      </c>
      <c r="C265" s="3" t="s">
        <v>5109</v>
      </c>
      <c r="D265" s="3" t="s">
        <v>4085</v>
      </c>
      <c r="E265" s="3" t="s">
        <v>5110</v>
      </c>
      <c r="F265" s="3" t="s">
        <v>4320</v>
      </c>
      <c r="G265" s="3" t="s">
        <v>5111</v>
      </c>
      <c r="H265" t="str">
        <f t="shared" si="209"/>
        <v xml:space="preserve">Репин Илья Васильевич</v>
      </c>
      <c r="I265" s="5">
        <f>IFERROR(IF(ISNUMBER(FIND("-",C265)),DATE(VALUE(LEFT(C265,4)),VALUE(MID(C265,6,2)),VALUE(RIGHT(C265,2))),IF(ISNUMBER(FIND(".",C265)),DATE(VALUE(RIGHT(C265,4)),VALUE(MID(C265,4,2)),VALUE(LEFT(C265,2))),DATE(VALUE(RIGHT(C265,4)),VLOOKUP(TRIM(MID(C265,FIND(" ",C265)+1,LEN(C265)-FIND(" ",C265)-5)),Справочники!$M$3:$N$14,2,0),VALUE(LEFT(C265,FIND(" ",C265)-1))))),"")</f>
        <v>30818</v>
      </c>
      <c r="J265" s="6">
        <f t="shared" si="210"/>
        <v>42</v>
      </c>
      <c r="K265" t="str">
        <f t="shared" si="211"/>
        <v>ОК</v>
      </c>
      <c r="L265" s="5">
        <f>IFERROR(IF(ISNUMBER(FIND("-",G265)),DATE(VALUE(LEFT(G265,4)),VALUE(MID(G265,6,2)),VALUE(RIGHT(G265,2))),IF(ISNUMBER(FIND(".",G265)),DATE(VALUE(RIGHT(G265,4)),VALUE(MID(G265,4,2)),VALUE(LEFT(G265,2))),DATE(VALUE(RIGHT(G265,4)),VLOOKUP(TRIM(MID(G265,FIND(" ",G265)+1,LEN(G265)-FIND(" ",G265)-5)),Справочники!$M$3:$N$14,2,0),VALUE(LEFT(G265,FIND(" ",G265)-1))))),"")</f>
        <v>47218</v>
      </c>
      <c r="M265" t="str">
        <f t="shared" si="212"/>
        <v xml:space="preserve">+7 (903) 456-78-90</v>
      </c>
      <c r="N265" t="str">
        <f t="shared" si="213"/>
        <v>repin@gmail</v>
      </c>
      <c r="O265" t="str">
        <f t="shared" si="214"/>
        <v xml:space="preserve">Ошибка Email</v>
      </c>
      <c r="P265" t="str">
        <f>IFERROR(VLOOKUP(TRIM(SUBSTITUTE(SUBSTITUTE(" "&amp;F265," г "," "),"г.","")),Справочники!$J$3:$K$102,2,0),TRIM(SUBSTITUTE(SUBSTITUTE(" "&amp;F265," г "," "),"г.","")))</f>
        <v>Миасс</v>
      </c>
    </row>
    <row r="266">
      <c r="A266" s="3" t="s">
        <v>2548</v>
      </c>
      <c r="B266" s="3" t="s">
        <v>5112</v>
      </c>
      <c r="C266" s="3" t="s">
        <v>5113</v>
      </c>
      <c r="D266" s="3" t="s">
        <v>1591</v>
      </c>
      <c r="E266" s="3" t="s">
        <v>5114</v>
      </c>
      <c r="F266" s="3" t="s">
        <v>4325</v>
      </c>
      <c r="G266" s="3" t="s">
        <v>5115</v>
      </c>
      <c r="H266" t="str">
        <f t="shared" si="209"/>
        <v xml:space="preserve">Кудрявцева Оксана Юрьевна</v>
      </c>
      <c r="I266" s="5">
        <f>IFERROR(IF(ISNUMBER(FIND("-",C266)),DATE(VALUE(LEFT(C266,4)),VALUE(MID(C266,6,2)),VALUE(RIGHT(C266,2))),IF(ISNUMBER(FIND(".",C266)),DATE(VALUE(RIGHT(C266,4)),VALUE(MID(C266,4,2)),VALUE(LEFT(C266,2))),DATE(VALUE(RIGHT(C266,4)),VLOOKUP(TRIM(MID(C266,FIND(" ",C266)+1,LEN(C266)-FIND(" ",C266)-5)),Справочники!$M$3:$N$14,2,0),VALUE(LEFT(C266,FIND(" ",C266)-1))))),"")</f>
        <v>29158</v>
      </c>
      <c r="J266" s="6">
        <f t="shared" si="210"/>
        <v>46</v>
      </c>
      <c r="K266" t="str">
        <f t="shared" si="211"/>
        <v>ОК</v>
      </c>
      <c r="L266" s="5">
        <f>IFERROR(IF(ISNUMBER(FIND("-",G266)),DATE(VALUE(LEFT(G266,4)),VALUE(MID(G266,6,2)),VALUE(RIGHT(G266,2))),IF(ISNUMBER(FIND(".",G266)),DATE(VALUE(RIGHT(G266,4)),VALUE(MID(G266,4,2)),VALUE(LEFT(G266,2))),DATE(VALUE(RIGHT(G266,4)),VLOOKUP(TRIM(MID(G266,FIND(" ",G266)+1,LEN(G266)-FIND(" ",G266)-5)),Справочники!$M$3:$N$14,2,0),VALUE(LEFT(G266,FIND(" ",G266)-1))))),"")</f>
        <v>47239</v>
      </c>
      <c r="M266" t="str">
        <f t="shared" si="212"/>
        <v xml:space="preserve">+7 (903) 456-78-90</v>
      </c>
      <c r="N266" t="str">
        <f t="shared" si="213"/>
        <v>kudryavtseva@mail</v>
      </c>
      <c r="O266" t="str">
        <f t="shared" si="214"/>
        <v xml:space="preserve">Ошибка Email</v>
      </c>
      <c r="P266" t="str">
        <f>IFERROR(VLOOKUP(TRIM(SUBSTITUTE(SUBSTITUTE(" "&amp;F266," г "," "),"г.","")),Справочники!$J$3:$K$102,2,0),TRIM(SUBSTITUTE(SUBSTITUTE(" "&amp;F266," г "," "),"г.","")))</f>
        <v>Кызыл</v>
      </c>
    </row>
    <row r="267">
      <c r="A267" s="3" t="s">
        <v>2549</v>
      </c>
      <c r="B267" s="3" t="s">
        <v>5116</v>
      </c>
      <c r="C267" s="3" t="s">
        <v>5117</v>
      </c>
      <c r="D267" s="3" t="s">
        <v>1660</v>
      </c>
      <c r="E267" s="3" t="s">
        <v>5118</v>
      </c>
      <c r="F267" s="3" t="s">
        <v>4330</v>
      </c>
      <c r="G267" s="3" t="s">
        <v>5119</v>
      </c>
      <c r="H267" t="str">
        <f t="shared" si="209"/>
        <v xml:space="preserve">Лыков Алексей Павлович</v>
      </c>
      <c r="I267" s="5">
        <f>IFERROR(IF(ISNUMBER(FIND("-",C267)),DATE(VALUE(LEFT(C267,4)),VALUE(MID(C267,6,2)),VALUE(RIGHT(C267,2))),IF(ISNUMBER(FIND(".",C267)),DATE(VALUE(RIGHT(C267,4)),VALUE(MID(C267,4,2)),VALUE(LEFT(C267,2))),DATE(VALUE(RIGHT(C267,4)),VLOOKUP(TRIM(MID(C267,FIND(" ",C267)+1,LEN(C267)-FIND(" ",C267)-5)),Справочники!$M$3:$N$14,2,0),VALUE(LEFT(C267,FIND(" ",C267)-1))))),"")</f>
        <v>31791</v>
      </c>
      <c r="J267" s="6">
        <f t="shared" si="210"/>
        <v>39</v>
      </c>
      <c r="K267" t="str">
        <f t="shared" si="211"/>
        <v>ОК</v>
      </c>
      <c r="L267" s="5">
        <f>IFERROR(IF(ISNUMBER(FIND("-",G267)),DATE(VALUE(LEFT(G267,4)),VALUE(MID(G267,6,2)),VALUE(RIGHT(G267,2))),IF(ISNUMBER(FIND(".",G267)),DATE(VALUE(RIGHT(G267,4)),VALUE(MID(G267,4,2)),VALUE(LEFT(G267,2))),DATE(VALUE(RIGHT(G267,4)),VLOOKUP(TRIM(MID(G267,FIND(" ",G267)+1,LEN(G267)-FIND(" ",G267)-5)),Справочники!$M$3:$N$14,2,0),VALUE(LEFT(G267,FIND(" ",G267)-1))))),"")</f>
        <v>47253</v>
      </c>
      <c r="M267" t="str">
        <f t="shared" si="212"/>
        <v xml:space="preserve">+7 (903) 456-78-90</v>
      </c>
      <c r="N267" t="str">
        <f t="shared" si="213"/>
        <v>lykov@yandex</v>
      </c>
      <c r="O267" t="str">
        <f t="shared" si="214"/>
        <v xml:space="preserve">Ошибка Email</v>
      </c>
      <c r="P267" t="str">
        <f>IFERROR(VLOOKUP(TRIM(SUBSTITUTE(SUBSTITUTE(" "&amp;F267," г "," "),"г.","")),Справочники!$J$3:$K$102,2,0),TRIM(SUBSTITUTE(SUBSTITUTE(" "&amp;F267," г "," "),"г.","")))</f>
        <v>Калининград</v>
      </c>
    </row>
    <row r="268">
      <c r="A268" s="3" t="s">
        <v>2552</v>
      </c>
      <c r="B268" s="3" t="s">
        <v>5120</v>
      </c>
      <c r="C268" s="3" t="s">
        <v>5121</v>
      </c>
      <c r="D268" s="3" t="s">
        <v>3984</v>
      </c>
      <c r="E268" s="3" t="s">
        <v>5122</v>
      </c>
      <c r="F268" s="3" t="s">
        <v>4335</v>
      </c>
      <c r="G268" s="3" t="s">
        <v>5123</v>
      </c>
      <c r="H268" t="str">
        <f t="shared" si="209"/>
        <v xml:space="preserve">Туманова Наталья Владимировна</v>
      </c>
      <c r="I268" s="5">
        <f>IFERROR(IF(ISNUMBER(FIND("-",C268)),DATE(VALUE(LEFT(C268,4)),VALUE(MID(C268,6,2)),VALUE(RIGHT(C268,2))),IF(ISNUMBER(FIND(".",C268)),DATE(VALUE(RIGHT(C268,4)),VALUE(MID(C268,4,2)),VALUE(LEFT(C268,2))),DATE(VALUE(RIGHT(C268,4)),VLOOKUP(TRIM(MID(C268,FIND(" ",C268)+1,LEN(C268)-FIND(" ",C268)-5)),Справочники!$M$3:$N$14,2,0),VALUE(LEFT(C268,FIND(" ",C268)-1))))),"")</f>
        <v>34061</v>
      </c>
      <c r="J268" s="6">
        <f t="shared" si="210"/>
        <v>33</v>
      </c>
      <c r="K268" t="str">
        <f t="shared" si="211"/>
        <v>ОК</v>
      </c>
      <c r="L268" s="5">
        <f>IFERROR(IF(ISNUMBER(FIND("-",G268)),DATE(VALUE(LEFT(G268,4)),VALUE(MID(G268,6,2)),VALUE(RIGHT(G268,2))),IF(ISNUMBER(FIND(".",G268)),DATE(VALUE(RIGHT(G268,4)),VALUE(MID(G268,4,2)),VALUE(LEFT(G268,2))),DATE(VALUE(RIGHT(G268,4)),VLOOKUP(TRIM(MID(G268,FIND(" ",G268)+1,LEN(G268)-FIND(" ",G268)-5)),Справочники!$M$3:$N$14,2,0),VALUE(LEFT(G268,FIND(" ",G268)-1))))),"")</f>
        <v>47253</v>
      </c>
      <c r="M268" t="str">
        <f t="shared" si="212"/>
        <v xml:space="preserve">+7 (903) 567-89-01</v>
      </c>
      <c r="N268" t="str">
        <f t="shared" si="213"/>
        <v>tumanova@gmail</v>
      </c>
      <c r="O268" t="str">
        <f t="shared" si="214"/>
        <v xml:space="preserve">Ошибка Email</v>
      </c>
      <c r="P268" t="str">
        <f>IFERROR(VLOOKUP(TRIM(SUBSTITUTE(SUBSTITUTE(" "&amp;F268," г "," "),"г.","")),Справочники!$J$3:$K$102,2,0),TRIM(SUBSTITUTE(SUBSTITUTE(" "&amp;F268," г "," "),"г.","")))</f>
        <v>Петрозаводск</v>
      </c>
    </row>
    <row r="269">
      <c r="A269" s="3" t="s">
        <v>2553</v>
      </c>
      <c r="B269" s="3" t="s">
        <v>5124</v>
      </c>
      <c r="C269" s="3" t="s">
        <v>5125</v>
      </c>
      <c r="D269" s="3" t="s">
        <v>3990</v>
      </c>
      <c r="E269" s="3" t="s">
        <v>5126</v>
      </c>
      <c r="F269" s="3" t="s">
        <v>4340</v>
      </c>
      <c r="G269" s="3" t="s">
        <v>5127</v>
      </c>
      <c r="H269" t="str">
        <f t="shared" si="209"/>
        <v xml:space="preserve">Сапожников Владислав Евгеньевич</v>
      </c>
      <c r="I269" s="5">
        <f>IFERROR(IF(ISNUMBER(FIND("-",C269)),DATE(VALUE(LEFT(C269,4)),VALUE(MID(C269,6,2)),VALUE(RIGHT(C269,2))),IF(ISNUMBER(FIND(".",C269)),DATE(VALUE(RIGHT(C269,4)),VALUE(MID(C269,4,2)),VALUE(LEFT(C269,2))),DATE(VALUE(RIGHT(C269,4)),VLOOKUP(TRIM(MID(C269,FIND(" ",C269)+1,LEN(C269)-FIND(" ",C269)-5)),Справочники!$M$3:$N$14,2,0),VALUE(LEFT(C269,FIND(" ",C269)-1))))),"")</f>
        <v>26135</v>
      </c>
      <c r="J269" s="6">
        <f t="shared" si="210"/>
        <v>55</v>
      </c>
      <c r="K269" t="str">
        <f t="shared" si="211"/>
        <v>ОК</v>
      </c>
      <c r="L269" s="5">
        <f>IFERROR(IF(ISNUMBER(FIND("-",G269)),DATE(VALUE(LEFT(G269,4)),VALUE(MID(G269,6,2)),VALUE(RIGHT(G269,2))),IF(ISNUMBER(FIND(".",G269)),DATE(VALUE(RIGHT(G269,4)),VALUE(MID(G269,4,2)),VALUE(LEFT(G269,2))),DATE(VALUE(RIGHT(G269,4)),VLOOKUP(TRIM(MID(G269,FIND(" ",G269)+1,LEN(G269)-FIND(" ",G269)-5)),Справочники!$M$3:$N$14,2,0),VALUE(LEFT(G269,FIND(" ",G269)-1))))),"")</f>
        <v>47270</v>
      </c>
      <c r="M269" t="str">
        <f t="shared" si="212"/>
        <v xml:space="preserve">+7 (903) 567-89-01</v>
      </c>
      <c r="N269" t="str">
        <f t="shared" si="213"/>
        <v>sapozhnikov@mail</v>
      </c>
      <c r="O269" t="str">
        <f t="shared" si="214"/>
        <v xml:space="preserve">Ошибка Email</v>
      </c>
      <c r="P269" t="str">
        <f>IFERROR(VLOOKUP(TRIM(SUBSTITUTE(SUBSTITUTE(" "&amp;F269," г "," "),"г.","")),Справочники!$J$3:$K$102,2,0),TRIM(SUBSTITUTE(SUBSTITUTE(" "&amp;F269," г "," "),"г.","")))</f>
        <v>Рубцовск</v>
      </c>
    </row>
    <row r="270">
      <c r="A270" s="3" t="s">
        <v>2556</v>
      </c>
      <c r="B270" s="3" t="s">
        <v>5128</v>
      </c>
      <c r="C270" s="3" t="s">
        <v>5129</v>
      </c>
      <c r="D270" s="3" t="s">
        <v>1598</v>
      </c>
      <c r="E270" s="3" t="s">
        <v>5130</v>
      </c>
      <c r="F270" s="3" t="s">
        <v>4345</v>
      </c>
      <c r="G270" s="3" t="s">
        <v>5131</v>
      </c>
      <c r="H270" t="str">
        <f t="shared" si="209"/>
        <v xml:space="preserve">Куницына Елена Алексеевна</v>
      </c>
      <c r="I270" s="5">
        <f>IFERROR(IF(ISNUMBER(FIND("-",C270)),DATE(VALUE(LEFT(C270,4)),VALUE(MID(C270,6,2)),VALUE(RIGHT(C270,2))),IF(ISNUMBER(FIND(".",C270)),DATE(VALUE(RIGHT(C270,4)),VALUE(MID(C270,4,2)),VALUE(LEFT(C270,2))),DATE(VALUE(RIGHT(C270,4)),VLOOKUP(TRIM(MID(C270,FIND(" ",C270)+1,LEN(C270)-FIND(" ",C270)-5)),Справочники!$M$3:$N$14,2,0),VALUE(LEFT(C270,FIND(" ",C270)-1))))),"")</f>
        <v>30298</v>
      </c>
      <c r="J270" s="6">
        <f t="shared" si="210"/>
        <v>43</v>
      </c>
      <c r="K270" t="str">
        <f t="shared" si="211"/>
        <v>ОК</v>
      </c>
      <c r="L270" s="5">
        <f>IFERROR(IF(ISNUMBER(FIND("-",G270)),DATE(VALUE(LEFT(G270,4)),VALUE(MID(G270,6,2)),VALUE(RIGHT(G270,2))),IF(ISNUMBER(FIND(".",G270)),DATE(VALUE(RIGHT(G270,4)),VALUE(MID(G270,4,2)),VALUE(LEFT(G270,2))),DATE(VALUE(RIGHT(G270,4)),VLOOKUP(TRIM(MID(G270,FIND(" ",G270)+1,LEN(G270)-FIND(" ",G270)-5)),Справочники!$M$3:$N$14,2,0),VALUE(LEFT(G270,FIND(" ",G270)-1))))),"")</f>
        <v>47279</v>
      </c>
      <c r="M270" t="str">
        <f t="shared" si="212"/>
        <v xml:space="preserve">+7 (903) 567-89-01</v>
      </c>
      <c r="N270" t="str">
        <f t="shared" si="213"/>
        <v>kunitsyna@yandex</v>
      </c>
      <c r="O270" t="str">
        <f t="shared" si="214"/>
        <v xml:space="preserve">Ошибка Email</v>
      </c>
      <c r="P270" t="str">
        <f>IFERROR(VLOOKUP(TRIM(SUBSTITUTE(SUBSTITUTE(" "&amp;F270," г "," "),"г.","")),Справочники!$J$3:$K$102,2,0),TRIM(SUBSTITUTE(SUBSTITUTE(" "&amp;F270," г "," "),"г.","")))</f>
        <v>Элиста</v>
      </c>
    </row>
    <row r="271">
      <c r="A271" s="3" t="s">
        <v>2558</v>
      </c>
      <c r="B271" s="3" t="s">
        <v>5132</v>
      </c>
      <c r="C271" s="3" t="s">
        <v>5133</v>
      </c>
      <c r="D271" s="3" t="s">
        <v>4116</v>
      </c>
      <c r="E271" s="3" t="s">
        <v>5134</v>
      </c>
      <c r="F271" s="3" t="s">
        <v>4350</v>
      </c>
      <c r="G271" s="3" t="s">
        <v>5135</v>
      </c>
      <c r="H271" t="str">
        <f t="shared" si="209"/>
        <v xml:space="preserve">Кондратьев Михаил Олегович</v>
      </c>
      <c r="I271" s="5">
        <f>IFERROR(IF(ISNUMBER(FIND("-",C271)),DATE(VALUE(LEFT(C271,4)),VALUE(MID(C271,6,2)),VALUE(RIGHT(C271,2))),IF(ISNUMBER(FIND(".",C271)),DATE(VALUE(RIGHT(C271,4)),VALUE(MID(C271,4,2)),VALUE(LEFT(C271,2))),DATE(VALUE(RIGHT(C271,4)),VLOOKUP(TRIM(MID(C271,FIND(" ",C271)+1,LEN(C271)-FIND(" ",C271)-5)),Справочники!$M$3:$N$14,2,0),VALUE(LEFT(C271,FIND(" ",C271)-1))))),"")</f>
        <v>33112</v>
      </c>
      <c r="J271" s="6">
        <f t="shared" si="210"/>
        <v>36</v>
      </c>
      <c r="K271" t="str">
        <f t="shared" si="211"/>
        <v>ОК</v>
      </c>
      <c r="L271" s="5">
        <f>IFERROR(IF(ISNUMBER(FIND("-",G271)),DATE(VALUE(LEFT(G271,4)),VALUE(MID(G271,6,2)),VALUE(RIGHT(G271,2))),IF(ISNUMBER(FIND(".",G271)),DATE(VALUE(RIGHT(G271,4)),VALUE(MID(G271,4,2)),VALUE(LEFT(G271,2))),DATE(VALUE(RIGHT(G271,4)),VLOOKUP(TRIM(MID(G271,FIND(" ",G271)+1,LEN(G271)-FIND(" ",G271)-5)),Справочники!$M$3:$N$14,2,0),VALUE(LEFT(G271,FIND(" ",G271)-1))))),"")</f>
        <v>47279</v>
      </c>
      <c r="M271" t="str">
        <f t="shared" si="212"/>
        <v xml:space="preserve">+7 (903) 678-90-12</v>
      </c>
      <c r="N271" t="str">
        <f t="shared" si="213"/>
        <v>kondratiev@gmail</v>
      </c>
      <c r="O271" t="str">
        <f t="shared" si="214"/>
        <v xml:space="preserve">Ошибка Email</v>
      </c>
      <c r="P271" t="str">
        <f>IFERROR(VLOOKUP(TRIM(SUBSTITUTE(SUBSTITUTE(" "&amp;F271," г "," "),"г.","")),Справочники!$J$3:$K$102,2,0),TRIM(SUBSTITUTE(SUBSTITUTE(" "&amp;F271," г "," "),"г.","")))</f>
        <v>Орск</v>
      </c>
    </row>
    <row r="272">
      <c r="A272" s="3" t="s">
        <v>2560</v>
      </c>
      <c r="B272" s="3" t="s">
        <v>5136</v>
      </c>
      <c r="C272" s="3" t="s">
        <v>5137</v>
      </c>
      <c r="D272" s="3" t="s">
        <v>4122</v>
      </c>
      <c r="E272" s="3" t="s">
        <v>5138</v>
      </c>
      <c r="F272" s="3" t="s">
        <v>4355</v>
      </c>
      <c r="G272" s="3" t="s">
        <v>5139</v>
      </c>
      <c r="H272" t="str">
        <f t="shared" si="209"/>
        <v xml:space="preserve">Горшкова Инна Сергеевна</v>
      </c>
      <c r="I272" s="5">
        <f>IFERROR(IF(ISNUMBER(FIND("-",C272)),DATE(VALUE(LEFT(C272,4)),VALUE(MID(C272,6,2)),VALUE(RIGHT(C272,2))),IF(ISNUMBER(FIND(".",C272)),DATE(VALUE(RIGHT(C272,4)),VALUE(MID(C272,4,2)),VALUE(LEFT(C272,2))),DATE(VALUE(RIGHT(C272,4)),VLOOKUP(TRIM(MID(C272,FIND(" ",C272)+1,LEN(C272)-FIND(" ",C272)-5)),Справочники!$M$3:$N$14,2,0),VALUE(LEFT(C272,FIND(" ",C272)-1))))),"")</f>
        <v>28647</v>
      </c>
      <c r="J272" s="6">
        <f t="shared" si="210"/>
        <v>48</v>
      </c>
      <c r="K272" t="str">
        <f t="shared" si="211"/>
        <v>ОК</v>
      </c>
      <c r="L272" s="5">
        <f>IFERROR(IF(ISNUMBER(FIND("-",G272)),DATE(VALUE(LEFT(G272,4)),VALUE(MID(G272,6,2)),VALUE(RIGHT(G272,2))),IF(ISNUMBER(FIND(".",G272)),DATE(VALUE(RIGHT(G272,4)),VALUE(MID(G272,4,2)),VALUE(LEFT(G272,2))),DATE(VALUE(RIGHT(G272,4)),VLOOKUP(TRIM(MID(G272,FIND(" ",G272)+1,LEN(G272)-FIND(" ",G272)-5)),Справочники!$M$3:$N$14,2,0),VALUE(LEFT(G272,FIND(" ",G272)-1))))),"")</f>
        <v>47300</v>
      </c>
      <c r="M272" t="str">
        <f t="shared" si="212"/>
        <v xml:space="preserve">+7 (903) 678-90-12</v>
      </c>
      <c r="N272" t="str">
        <f t="shared" si="213"/>
        <v>gorshkova@mail</v>
      </c>
      <c r="O272" t="str">
        <f t="shared" si="214"/>
        <v xml:space="preserve">Ошибка Email</v>
      </c>
      <c r="P272" t="str">
        <f>IFERROR(VLOOKUP(TRIM(SUBSTITUTE(SUBSTITUTE(" "&amp;F272," г "," "),"г.","")),Справочники!$J$3:$K$102,2,0),TRIM(SUBSTITUTE(SUBSTITUTE(" "&amp;F272," г "," "),"г.","")))</f>
        <v>Нижневартовск</v>
      </c>
    </row>
    <row r="273">
      <c r="A273" s="3" t="s">
        <v>2562</v>
      </c>
      <c r="B273" s="3" t="s">
        <v>5140</v>
      </c>
      <c r="C273" s="3" t="s">
        <v>5141</v>
      </c>
      <c r="D273" s="3" t="s">
        <v>1605</v>
      </c>
      <c r="E273" s="3" t="s">
        <v>5142</v>
      </c>
      <c r="F273" s="3" t="s">
        <v>4360</v>
      </c>
      <c r="G273" s="3" t="s">
        <v>5143</v>
      </c>
      <c r="H273" t="str">
        <f t="shared" si="209"/>
        <v xml:space="preserve">Якушев Андрей Николаевич</v>
      </c>
      <c r="I273" s="5">
        <f>IFERROR(IF(ISNUMBER(FIND("-",C273)),DATE(VALUE(LEFT(C273,4)),VALUE(MID(C273,6,2)),VALUE(RIGHT(C273,2))),IF(ISNUMBER(FIND(".",C273)),DATE(VALUE(RIGHT(C273,4)),VALUE(MID(C273,4,2)),VALUE(LEFT(C273,2))),DATE(VALUE(RIGHT(C273,4)),VLOOKUP(TRIM(MID(C273,FIND(" ",C273)+1,LEN(C273)-FIND(" ",C273)-5)),Справочники!$M$3:$N$14,2,0),VALUE(LEFT(C273,FIND(" ",C273)-1))))),"")</f>
        <v>31369</v>
      </c>
      <c r="J273" s="6">
        <f t="shared" si="210"/>
        <v>40</v>
      </c>
      <c r="K273" t="str">
        <f t="shared" si="211"/>
        <v>ОК</v>
      </c>
      <c r="L273" s="5">
        <f>IFERROR(IF(ISNUMBER(FIND("-",G273)),DATE(VALUE(LEFT(G273,4)),VALUE(MID(G273,6,2)),VALUE(RIGHT(G273,2))),IF(ISNUMBER(FIND(".",G273)),DATE(VALUE(RIGHT(G273,4)),VALUE(MID(G273,4,2)),VALUE(LEFT(G273,2))),DATE(VALUE(RIGHT(G273,4)),VLOOKUP(TRIM(MID(G273,FIND(" ",G273)+1,LEN(G273)-FIND(" ",G273)-5)),Справочники!$M$3:$N$14,2,0),VALUE(LEFT(G273,FIND(" ",G273)-1))))),"")</f>
        <v>47314</v>
      </c>
      <c r="M273" t="str">
        <f t="shared" si="212"/>
        <v xml:space="preserve">+7 (903) 678-90-12</v>
      </c>
      <c r="N273" t="str">
        <f t="shared" si="213"/>
        <v>yakushev@yandex</v>
      </c>
      <c r="O273" t="str">
        <f t="shared" si="214"/>
        <v xml:space="preserve">Ошибка Email</v>
      </c>
      <c r="P273" t="str">
        <f>IFERROR(VLOOKUP(TRIM(SUBSTITUTE(SUBSTITUTE(" "&amp;F273," г "," "),"г.","")),Справочники!$J$3:$K$102,2,0),TRIM(SUBSTITUTE(SUBSTITUTE(" "&amp;F273," г "," "),"г.","")))</f>
        <v>Новороссийск</v>
      </c>
    </row>
    <row r="274">
      <c r="A274" s="3" t="s">
        <v>2565</v>
      </c>
      <c r="B274" s="3" t="s">
        <v>5144</v>
      </c>
      <c r="C274" s="3" t="s">
        <v>5145</v>
      </c>
      <c r="D274" s="3" t="s">
        <v>4001</v>
      </c>
      <c r="E274" s="3" t="s">
        <v>5146</v>
      </c>
      <c r="F274" s="3" t="s">
        <v>4365</v>
      </c>
      <c r="G274" s="3" t="s">
        <v>5147</v>
      </c>
      <c r="H274" t="str">
        <f t="shared" si="209"/>
        <v xml:space="preserve">Ермилова Ольга Викторовна</v>
      </c>
      <c r="I274" s="5">
        <f>IFERROR(IF(ISNUMBER(FIND("-",C274)),DATE(VALUE(LEFT(C274,4)),VALUE(MID(C274,6,2)),VALUE(RIGHT(C274,2))),IF(ISNUMBER(FIND(".",C274)),DATE(VALUE(RIGHT(C274,4)),VALUE(MID(C274,4,2)),VALUE(LEFT(C274,2))),DATE(VALUE(RIGHT(C274,4)),VLOOKUP(TRIM(MID(C274,FIND(" ",C274)+1,LEN(C274)-FIND(" ",C274)-5)),Справочники!$M$3:$N$14,2,0),VALUE(LEFT(C274,FIND(" ",C274)-1))))),"")</f>
        <v>29493</v>
      </c>
      <c r="J274" s="6">
        <f t="shared" si="210"/>
        <v>46</v>
      </c>
      <c r="K274" t="str">
        <f t="shared" si="211"/>
        <v>ОК</v>
      </c>
      <c r="L274" s="5">
        <f>IFERROR(IF(ISNUMBER(FIND("-",G274)),DATE(VALUE(LEFT(G274,4)),VALUE(MID(G274,6,2)),VALUE(RIGHT(G274,2))),IF(ISNUMBER(FIND(".",G274)),DATE(VALUE(RIGHT(G274,4)),VALUE(MID(G274,4,2)),VALUE(LEFT(G274,2))),DATE(VALUE(RIGHT(G274,4)),VLOOKUP(TRIM(MID(G274,FIND(" ",G274)+1,LEN(G274)-FIND(" ",G274)-5)),Справочники!$M$3:$N$14,2,0),VALUE(LEFT(G274,FIND(" ",G274)-1))))),"")</f>
        <v>47314</v>
      </c>
      <c r="M274" t="str">
        <f t="shared" si="212"/>
        <v xml:space="preserve">+7 (903) 789-01-23</v>
      </c>
      <c r="N274" t="str">
        <f t="shared" si="213"/>
        <v>ermilova@gmail</v>
      </c>
      <c r="O274" t="str">
        <f t="shared" si="214"/>
        <v xml:space="preserve">Ошибка Email</v>
      </c>
      <c r="P274" t="str">
        <f>IFERROR(VLOOKUP(TRIM(SUBSTITUTE(SUBSTITUTE(" "&amp;F274," г "," "),"г.","")),Справочники!$J$3:$K$102,2,0),TRIM(SUBSTITUTE(SUBSTITUTE(" "&amp;F274," г "," "),"г.","")))</f>
        <v>Химки</v>
      </c>
    </row>
    <row r="275">
      <c r="A275" s="3" t="s">
        <v>2567</v>
      </c>
      <c r="B275" s="3" t="s">
        <v>5148</v>
      </c>
      <c r="C275" s="3" t="s">
        <v>5149</v>
      </c>
      <c r="D275" s="3" t="s">
        <v>4138</v>
      </c>
      <c r="E275" s="3" t="s">
        <v>5150</v>
      </c>
      <c r="F275" s="3" t="s">
        <v>4370</v>
      </c>
      <c r="G275" s="3" t="s">
        <v>5151</v>
      </c>
      <c r="H275" t="str">
        <f t="shared" si="209"/>
        <v xml:space="preserve">Шестопалов Евгений Сергеевич</v>
      </c>
      <c r="I275" s="5">
        <f>IFERROR(IF(ISNUMBER(FIND("-",C275)),DATE(VALUE(LEFT(C275,4)),VALUE(MID(C275,6,2)),VALUE(RIGHT(C275,2))),IF(ISNUMBER(FIND(".",C275)),DATE(VALUE(RIGHT(C275,4)),VALUE(MID(C275,4,2)),VALUE(LEFT(C275,2))),DATE(VALUE(RIGHT(C275,4)),VLOOKUP(TRIM(MID(C275,FIND(" ",C275)+1,LEN(C275)-FIND(" ",C275)-5)),Справочники!$M$3:$N$14,2,0),VALUE(LEFT(C275,FIND(" ",C275)-1))))),"")</f>
        <v>27131</v>
      </c>
      <c r="J275" s="6">
        <f t="shared" si="210"/>
        <v>52</v>
      </c>
      <c r="K275" t="str">
        <f t="shared" si="211"/>
        <v>ОК</v>
      </c>
      <c r="L275" s="5">
        <f>IFERROR(IF(ISNUMBER(FIND("-",G275)),DATE(VALUE(LEFT(G275,4)),VALUE(MID(G275,6,2)),VALUE(RIGHT(G275,2))),IF(ISNUMBER(FIND(".",G275)),DATE(VALUE(RIGHT(G275,4)),VALUE(MID(G275,4,2)),VALUE(LEFT(G275,2))),DATE(VALUE(RIGHT(G275,4)),VLOOKUP(TRIM(MID(G275,FIND(" ",G275)+1,LEN(G275)-FIND(" ",G275)-5)),Справочники!$M$3:$N$14,2,0),VALUE(LEFT(G275,FIND(" ",G275)-1))))),"")</f>
        <v>47331</v>
      </c>
      <c r="M275" t="str">
        <f t="shared" si="212"/>
        <v xml:space="preserve">+7 (903) 789-01-23</v>
      </c>
      <c r="N275" t="str">
        <f t="shared" si="213"/>
        <v>shestopalov@mail</v>
      </c>
      <c r="O275" t="str">
        <f t="shared" si="214"/>
        <v xml:space="preserve">Ошибка Email</v>
      </c>
      <c r="P275" t="str">
        <f>IFERROR(VLOOKUP(TRIM(SUBSTITUTE(SUBSTITUTE(" "&amp;F275," г "," "),"г.","")),Справочники!$J$3:$K$102,2,0),TRIM(SUBSTITUTE(SUBSTITUTE(" "&amp;F275," г "," "),"г.","")))</f>
        <v>Подольск</v>
      </c>
    </row>
    <row r="276">
      <c r="A276" s="3" t="s">
        <v>2570</v>
      </c>
      <c r="B276" s="3" t="s">
        <v>5152</v>
      </c>
      <c r="C276" s="3" t="s">
        <v>5153</v>
      </c>
      <c r="D276" s="3" t="s">
        <v>4144</v>
      </c>
      <c r="E276" s="3" t="s">
        <v>5154</v>
      </c>
      <c r="F276" s="3" t="s">
        <v>4375</v>
      </c>
      <c r="G276" s="3" t="s">
        <v>5155</v>
      </c>
      <c r="H276" t="str">
        <f t="shared" si="209"/>
        <v xml:space="preserve">Ванюшина Мария Игоревна</v>
      </c>
      <c r="I276" s="5">
        <f>IFERROR(IF(ISNUMBER(FIND("-",C276)),DATE(VALUE(LEFT(C276,4)),VALUE(MID(C276,6,2)),VALUE(RIGHT(C276,2))),IF(ISNUMBER(FIND(".",C276)),DATE(VALUE(RIGHT(C276,4)),VALUE(MID(C276,4,2)),VALUE(LEFT(C276,2))),DATE(VALUE(RIGHT(C276,4)),VLOOKUP(TRIM(MID(C276,FIND(" ",C276)+1,LEN(C276)-FIND(" ",C276)-5)),Справочники!$M$3:$N$14,2,0),VALUE(LEFT(C276,FIND(" ",C276)-1))))),"")</f>
        <v>32544</v>
      </c>
      <c r="J276" s="6">
        <f t="shared" si="210"/>
        <v>37</v>
      </c>
      <c r="K276" t="str">
        <f t="shared" si="211"/>
        <v>ОК</v>
      </c>
      <c r="L276" s="5">
        <f>IFERROR(IF(ISNUMBER(FIND("-",G276)),DATE(VALUE(LEFT(G276,4)),VALUE(MID(G276,6,2)),VALUE(RIGHT(G276,2))),IF(ISNUMBER(FIND(".",G276)),DATE(VALUE(RIGHT(G276,4)),VALUE(MID(G276,4,2)),VALUE(LEFT(G276,2))),DATE(VALUE(RIGHT(G276,4)),VLOOKUP(TRIM(MID(G276,FIND(" ",G276)+1,LEN(G276)-FIND(" ",G276)-5)),Справочники!$M$3:$N$14,2,0),VALUE(LEFT(G276,FIND(" ",G276)-1))))),"")</f>
        <v>47340</v>
      </c>
      <c r="M276" t="str">
        <f t="shared" si="212"/>
        <v xml:space="preserve">+7 (903) 789-01-23</v>
      </c>
      <c r="N276" t="str">
        <f t="shared" si="213"/>
        <v>vanyushina@yandex</v>
      </c>
      <c r="O276" t="str">
        <f t="shared" si="214"/>
        <v xml:space="preserve">Ошибка Email</v>
      </c>
      <c r="P276" t="str">
        <f>IFERROR(VLOOKUP(TRIM(SUBSTITUTE(SUBSTITUTE(" "&amp;F276," г "," "),"г.","")),Справочники!$J$3:$K$102,2,0),TRIM(SUBSTITUTE(SUBSTITUTE(" "&amp;F276," г "," "),"г.","")))</f>
        <v>Балашиха</v>
      </c>
    </row>
    <row r="277">
      <c r="A277" s="3" t="s">
        <v>2571</v>
      </c>
      <c r="B277" s="3" t="s">
        <v>5156</v>
      </c>
      <c r="C277" s="3" t="s">
        <v>5157</v>
      </c>
      <c r="D277" s="3" t="s">
        <v>4150</v>
      </c>
      <c r="E277" s="3" t="s">
        <v>5158</v>
      </c>
      <c r="F277" s="3" t="s">
        <v>4380</v>
      </c>
      <c r="G277" s="3" t="s">
        <v>5159</v>
      </c>
      <c r="H277" t="str">
        <f t="shared" si="209"/>
        <v xml:space="preserve">Краснов Денис Александрович</v>
      </c>
      <c r="I277" s="5">
        <f>IFERROR(IF(ISNUMBER(FIND("-",C277)),DATE(VALUE(LEFT(C277,4)),VALUE(MID(C277,6,2)),VALUE(RIGHT(C277,2))),IF(ISNUMBER(FIND(".",C277)),DATE(VALUE(RIGHT(C277,4)),VALUE(MID(C277,4,2)),VALUE(LEFT(C277,2))),DATE(VALUE(RIGHT(C277,4)),VLOOKUP(TRIM(MID(C277,FIND(" ",C277)+1,LEN(C277)-FIND(" ",C277)-5)),Справочники!$M$3:$N$14,2,0),VALUE(LEFT(C277,FIND(" ",C277)-1))))),"")</f>
        <v>34541</v>
      </c>
      <c r="J277" s="6">
        <f t="shared" si="210"/>
        <v>32</v>
      </c>
      <c r="K277" t="str">
        <f t="shared" si="211"/>
        <v>ОК</v>
      </c>
      <c r="L277" s="5">
        <f>IFERROR(IF(ISNUMBER(FIND("-",G277)),DATE(VALUE(LEFT(G277,4)),VALUE(MID(G277,6,2)),VALUE(RIGHT(G277,2))),IF(ISNUMBER(FIND(".",G277)),DATE(VALUE(RIGHT(G277,4)),VALUE(MID(G277,4,2)),VALUE(LEFT(G277,2))),DATE(VALUE(RIGHT(G277,4)),VLOOKUP(TRIM(MID(G277,FIND(" ",G277)+1,LEN(G277)-FIND(" ",G277)-5)),Справочники!$M$3:$N$14,2,0),VALUE(LEFT(G277,FIND(" ",G277)-1))))),"")</f>
        <v>47340</v>
      </c>
      <c r="M277" t="str">
        <f t="shared" si="212"/>
        <v xml:space="preserve">+7 (903) 890-12-34</v>
      </c>
      <c r="N277" t="str">
        <f t="shared" si="213"/>
        <v>krasnov@gmail</v>
      </c>
      <c r="O277" t="str">
        <f t="shared" si="214"/>
        <v xml:space="preserve">Ошибка Email</v>
      </c>
      <c r="P277" t="str">
        <f>IFERROR(VLOOKUP(TRIM(SUBSTITUTE(SUBSTITUTE(" "&amp;F277," г "," "),"г.","")),Справочники!$J$3:$K$102,2,0),TRIM(SUBSTITUTE(SUBSTITUTE(" "&amp;F277," г "," "),"г.","")))</f>
        <v>Сургут</v>
      </c>
    </row>
    <row r="278">
      <c r="A278" s="3" t="s">
        <v>2574</v>
      </c>
      <c r="B278" s="3" t="s">
        <v>5160</v>
      </c>
      <c r="C278" s="3" t="s">
        <v>5161</v>
      </c>
      <c r="D278" s="3" t="s">
        <v>4007</v>
      </c>
      <c r="E278" s="3" t="s">
        <v>5162</v>
      </c>
      <c r="F278" s="3" t="s">
        <v>4385</v>
      </c>
      <c r="G278" s="3" t="s">
        <v>5163</v>
      </c>
      <c r="H278" t="str">
        <f t="shared" si="209"/>
        <v xml:space="preserve">Мухина Татьяна Павловна</v>
      </c>
      <c r="I278" s="5">
        <f>IFERROR(IF(ISNUMBER(FIND("-",C278)),DATE(VALUE(LEFT(C278,4)),VALUE(MID(C278,6,2)),VALUE(RIGHT(C278,2))),IF(ISNUMBER(FIND(".",C278)),DATE(VALUE(RIGHT(C278,4)),VALUE(MID(C278,4,2)),VALUE(LEFT(C278,2))),DATE(VALUE(RIGHT(C278,4)),VLOOKUP(TRIM(MID(C278,FIND(" ",C278)+1,LEN(C278)-FIND(" ",C278)-5)),Справочники!$M$3:$N$14,2,0),VALUE(LEFT(C278,FIND(" ",C278)-1))))),"")</f>
        <v>27682</v>
      </c>
      <c r="J278" s="6">
        <f t="shared" si="210"/>
        <v>51</v>
      </c>
      <c r="K278" t="str">
        <f t="shared" si="211"/>
        <v>ОК</v>
      </c>
      <c r="L278" s="5">
        <f>IFERROR(IF(ISNUMBER(FIND("-",G278)),DATE(VALUE(LEFT(G278,4)),VALUE(MID(G278,6,2)),VALUE(RIGHT(G278,2))),IF(ISNUMBER(FIND(".",G278)),DATE(VALUE(RIGHT(G278,4)),VALUE(MID(G278,4,2)),VALUE(LEFT(G278,2))),DATE(VALUE(RIGHT(G278,4)),VLOOKUP(TRIM(MID(G278,FIND(" ",G278)+1,LEN(G278)-FIND(" ",G278)-5)),Справочники!$M$3:$N$14,2,0),VALUE(LEFT(G278,FIND(" ",G278)-1))))),"")</f>
        <v>47362</v>
      </c>
      <c r="M278" t="str">
        <f t="shared" si="212"/>
        <v xml:space="preserve">+7 (903) 890-12-34</v>
      </c>
      <c r="N278" t="str">
        <f t="shared" si="213"/>
        <v>muhina@mail</v>
      </c>
      <c r="O278" t="str">
        <f t="shared" si="214"/>
        <v xml:space="preserve">Ошибка Email</v>
      </c>
      <c r="P278" t="str">
        <f>IFERROR(VLOOKUP(TRIM(SUBSTITUTE(SUBSTITUTE(" "&amp;F278," г "," "),"г.","")),Справочники!$J$3:$K$102,2,0),TRIM(SUBSTITUTE(SUBSTITUTE(" "&amp;F278," г "," "),"г.","")))</f>
        <v>Армавир</v>
      </c>
    </row>
    <row r="279">
      <c r="A279" s="3" t="s">
        <v>2575</v>
      </c>
      <c r="B279" s="3" t="s">
        <v>5164</v>
      </c>
      <c r="C279" s="3" t="s">
        <v>5165</v>
      </c>
      <c r="D279" s="3" t="s">
        <v>1619</v>
      </c>
      <c r="E279" s="3" t="s">
        <v>5166</v>
      </c>
      <c r="F279" s="3" t="s">
        <v>4390</v>
      </c>
      <c r="G279" s="3" t="s">
        <v>5167</v>
      </c>
      <c r="H279" t="str">
        <f t="shared" si="209"/>
        <v xml:space="preserve">Вакуленко Андрей Олегович</v>
      </c>
      <c r="I279" s="5">
        <f>IFERROR(IF(ISNUMBER(FIND("-",C279)),DATE(VALUE(LEFT(C279,4)),VALUE(MID(C279,6,2)),VALUE(RIGHT(C279,2))),IF(ISNUMBER(FIND(".",C279)),DATE(VALUE(RIGHT(C279,4)),VALUE(MID(C279,4,2)),VALUE(LEFT(C279,2))),DATE(VALUE(RIGHT(C279,4)),VLOOKUP(TRIM(MID(C279,FIND(" ",C279)+1,LEN(C279)-FIND(" ",C279)-5)),Справочники!$M$3:$N$14,2,0),VALUE(LEFT(C279,FIND(" ",C279)-1))))),"")</f>
        <v>30669</v>
      </c>
      <c r="J279" s="6">
        <f t="shared" si="210"/>
        <v>42</v>
      </c>
      <c r="K279" t="str">
        <f t="shared" si="211"/>
        <v>ОК</v>
      </c>
      <c r="L279" s="5">
        <f>IFERROR(IF(ISNUMBER(FIND("-",G279)),DATE(VALUE(LEFT(G279,4)),VALUE(MID(G279,6,2)),VALUE(RIGHT(G279,2))),IF(ISNUMBER(FIND(".",G279)),DATE(VALUE(RIGHT(G279,4)),VALUE(MID(G279,4,2)),VALUE(LEFT(G279,2))),DATE(VALUE(RIGHT(G279,4)),VLOOKUP(TRIM(MID(G279,FIND(" ",G279)+1,LEN(G279)-FIND(" ",G279)-5)),Справочники!$M$3:$N$14,2,0),VALUE(LEFT(G279,FIND(" ",G279)-1))))),"")</f>
        <v>47376</v>
      </c>
      <c r="M279" t="str">
        <f t="shared" si="212"/>
        <v xml:space="preserve">+7 (903) 890-12-34</v>
      </c>
      <c r="N279" t="str">
        <f t="shared" si="213"/>
        <v>vakulenko@yandex</v>
      </c>
      <c r="O279" t="str">
        <f t="shared" si="214"/>
        <v xml:space="preserve">Ошибка Email</v>
      </c>
      <c r="P279" t="str">
        <f>IFERROR(VLOOKUP(TRIM(SUBSTITUTE(SUBSTITUTE(" "&amp;F279," г "," "),"г.","")),Справочники!$J$3:$K$102,2,0),TRIM(SUBSTITUTE(SUBSTITUTE(" "&amp;F279," г "," "),"г.","")))</f>
        <v>Волжский</v>
      </c>
    </row>
    <row r="280">
      <c r="A280" s="3" t="s">
        <v>2578</v>
      </c>
      <c r="B280" s="3" t="s">
        <v>5168</v>
      </c>
      <c r="C280" s="3" t="s">
        <v>5169</v>
      </c>
      <c r="D280" s="3" t="s">
        <v>4018</v>
      </c>
      <c r="E280" s="3" t="s">
        <v>5170</v>
      </c>
      <c r="F280" s="3" t="s">
        <v>4395</v>
      </c>
      <c r="G280" s="3" t="s">
        <v>5171</v>
      </c>
      <c r="H280" t="str">
        <f t="shared" si="209"/>
        <v xml:space="preserve">Терехова Светлана Николаевна</v>
      </c>
      <c r="I280" s="5">
        <f>IFERROR(IF(ISNUMBER(FIND("-",C280)),DATE(VALUE(LEFT(C280,4)),VALUE(MID(C280,6,2)),VALUE(RIGHT(C280,2))),IF(ISNUMBER(FIND(".",C280)),DATE(VALUE(RIGHT(C280,4)),VALUE(MID(C280,4,2)),VALUE(LEFT(C280,2))),DATE(VALUE(RIGHT(C280,4)),VLOOKUP(TRIM(MID(C280,FIND(" ",C280)+1,LEN(C280)-FIND(" ",C280)-5)),Справочники!$M$3:$N$14,2,0),VALUE(LEFT(C280,FIND(" ",C280)-1))))),"")</f>
        <v>33392</v>
      </c>
      <c r="J280" s="6">
        <f t="shared" si="210"/>
        <v>35</v>
      </c>
      <c r="K280" t="str">
        <f t="shared" si="211"/>
        <v>ОК</v>
      </c>
      <c r="L280" s="5">
        <f>IFERROR(IF(ISNUMBER(FIND("-",G280)),DATE(VALUE(LEFT(G280,4)),VALUE(MID(G280,6,2)),VALUE(RIGHT(G280,2))),IF(ISNUMBER(FIND(".",G280)),DATE(VALUE(RIGHT(G280,4)),VALUE(MID(G280,4,2)),VALUE(LEFT(G280,2))),DATE(VALUE(RIGHT(G280,4)),VLOOKUP(TRIM(MID(G280,FIND(" ",G280)+1,LEN(G280)-FIND(" ",G280)-5)),Справочники!$M$3:$N$14,2,0),VALUE(LEFT(G280,FIND(" ",G280)-1))))),"")</f>
        <v>47376</v>
      </c>
      <c r="M280" t="str">
        <f t="shared" si="212"/>
        <v xml:space="preserve">+7 (903) 901-23-45</v>
      </c>
      <c r="N280" t="str">
        <f t="shared" si="213"/>
        <v>terehova@gmail</v>
      </c>
      <c r="O280" t="str">
        <f t="shared" si="214"/>
        <v xml:space="preserve">Ошибка Email</v>
      </c>
      <c r="P280" t="str">
        <f>IFERROR(VLOOKUP(TRIM(SUBSTITUTE(SUBSTITUTE(" "&amp;F280," г "," "),"г.","")),Справочники!$J$3:$K$102,2,0),TRIM(SUBSTITUTE(SUBSTITUTE(" "&amp;F280," г "," "),"г.","")))</f>
        <v>Шахты</v>
      </c>
    </row>
    <row r="281">
      <c r="A281" s="3" t="s">
        <v>2580</v>
      </c>
      <c r="B281" s="3" t="s">
        <v>5172</v>
      </c>
      <c r="C281" s="3" t="s">
        <v>5173</v>
      </c>
      <c r="D281" s="3" t="s">
        <v>1626</v>
      </c>
      <c r="E281" s="3" t="s">
        <v>5174</v>
      </c>
      <c r="F281" s="3" t="s">
        <v>4400</v>
      </c>
      <c r="G281" s="3" t="s">
        <v>5175</v>
      </c>
      <c r="H281" t="str">
        <f t="shared" si="209"/>
        <v xml:space="preserve">Бобков Илья Алексеевич</v>
      </c>
      <c r="I281" s="5">
        <f>IFERROR(IF(ISNUMBER(FIND("-",C281)),DATE(VALUE(LEFT(C281,4)),VALUE(MID(C281,6,2)),VALUE(RIGHT(C281,2))),IF(ISNUMBER(FIND(".",C281)),DATE(VALUE(RIGHT(C281,4)),VALUE(MID(C281,4,2)),VALUE(LEFT(C281,2))),DATE(VALUE(RIGHT(C281,4)),VLOOKUP(TRIM(MID(C281,FIND(" ",C281)+1,LEN(C281)-FIND(" ",C281)-5)),Справочники!$M$3:$N$14,2,0),VALUE(LEFT(C281,FIND(" ",C281)-1))))),"")</f>
        <v>26533</v>
      </c>
      <c r="J281" s="6">
        <f t="shared" si="210"/>
        <v>54</v>
      </c>
      <c r="K281" t="str">
        <f t="shared" si="211"/>
        <v>ОК</v>
      </c>
      <c r="L281" s="5">
        <f>IFERROR(IF(ISNUMBER(FIND("-",G281)),DATE(VALUE(LEFT(G281,4)),VALUE(MID(G281,6,2)),VALUE(RIGHT(G281,2))),IF(ISNUMBER(FIND(".",G281)),DATE(VALUE(RIGHT(G281,4)),VALUE(MID(G281,4,2)),VALUE(LEFT(G281,2))),DATE(VALUE(RIGHT(G281,4)),VLOOKUP(TRIM(MID(G281,FIND(" ",G281)+1,LEN(G281)-FIND(" ",G281)-5)),Справочники!$M$3:$N$14,2,0),VALUE(LEFT(G281,FIND(" ",G281)-1))))),"")</f>
        <v>47392</v>
      </c>
      <c r="M281" t="str">
        <f t="shared" si="212"/>
        <v xml:space="preserve">+7 (903) 901-23-45</v>
      </c>
      <c r="N281" t="str">
        <f t="shared" si="213"/>
        <v>bobkov@mail</v>
      </c>
      <c r="O281" t="str">
        <f t="shared" si="214"/>
        <v xml:space="preserve">Ошибка Email</v>
      </c>
      <c r="P281" t="str">
        <f>IFERROR(VLOOKUP(TRIM(SUBSTITUTE(SUBSTITUTE(" "&amp;F281," г "," "),"г.","")),Справочники!$J$3:$K$102,2,0),TRIM(SUBSTITUTE(SUBSTITUTE(" "&amp;F281," г "," "),"г.","")))</f>
        <v>Златоуст</v>
      </c>
    </row>
    <row r="282">
      <c r="A282" s="3" t="s">
        <v>2582</v>
      </c>
      <c r="B282" s="3" t="s">
        <v>5176</v>
      </c>
      <c r="C282" s="3" t="s">
        <v>5177</v>
      </c>
      <c r="D282" s="3" t="s">
        <v>4176</v>
      </c>
      <c r="E282" s="3" t="s">
        <v>5178</v>
      </c>
      <c r="F282" s="3" t="s">
        <v>4405</v>
      </c>
      <c r="G282" s="3" t="s">
        <v>5179</v>
      </c>
      <c r="H282" t="str">
        <f t="shared" si="209"/>
        <v xml:space="preserve">Ильина Анна Владимировна</v>
      </c>
      <c r="I282" s="5">
        <f>IFERROR(IF(ISNUMBER(FIND("-",C282)),DATE(VALUE(LEFT(C282,4)),VALUE(MID(C282,6,2)),VALUE(RIGHT(C282,2))),IF(ISNUMBER(FIND(".",C282)),DATE(VALUE(RIGHT(C282,4)),VALUE(MID(C282,4,2)),VALUE(LEFT(C282,2))),DATE(VALUE(RIGHT(C282,4)),VLOOKUP(TRIM(MID(C282,FIND(" ",C282)+1,LEN(C282)-FIND(" ",C282)-5)),Справочники!$M$3:$N$14,2,0),VALUE(LEFT(C282,FIND(" ",C282)-1))))),"")</f>
        <v>31726</v>
      </c>
      <c r="J282" s="6">
        <f t="shared" si="210"/>
        <v>39</v>
      </c>
      <c r="K282" t="str">
        <f t="shared" si="211"/>
        <v>ОК</v>
      </c>
      <c r="L282" s="5">
        <f>IFERROR(IF(ISNUMBER(FIND("-",G282)),DATE(VALUE(LEFT(G282,4)),VALUE(MID(G282,6,2)),VALUE(RIGHT(G282,2))),IF(ISNUMBER(FIND(".",G282)),DATE(VALUE(RIGHT(G282,4)),VALUE(MID(G282,4,2)),VALUE(LEFT(G282,2))),DATE(VALUE(RIGHT(G282,4)),VLOOKUP(TRIM(MID(G282,FIND(" ",G282)+1,LEN(G282)-FIND(" ",G282)-5)),Справочники!$M$3:$N$14,2,0),VALUE(LEFT(G282,FIND(" ",G282)-1))))),"")</f>
        <v>47401</v>
      </c>
      <c r="M282" t="str">
        <f t="shared" si="212"/>
        <v xml:space="preserve">+7 (903) 901-23-45</v>
      </c>
      <c r="N282" t="str">
        <f t="shared" si="213"/>
        <v>ilina@yandex</v>
      </c>
      <c r="O282" t="str">
        <f t="shared" si="214"/>
        <v xml:space="preserve">Ошибка Email</v>
      </c>
      <c r="P282" t="str">
        <f>IFERROR(VLOOKUP(TRIM(SUBSTITUTE(SUBSTITUTE(" "&amp;F282," г "," "),"г.","")),Справочники!$J$3:$K$102,2,0),TRIM(SUBSTITUTE(SUBSTITUTE(" "&amp;F282," г "," "),"г.","")))</f>
        <v>Ангарск</v>
      </c>
    </row>
    <row r="283">
      <c r="A283" s="3" t="s">
        <v>2584</v>
      </c>
      <c r="B283" s="3" t="s">
        <v>5180</v>
      </c>
      <c r="C283" s="3" t="s">
        <v>5181</v>
      </c>
      <c r="D283" s="3" t="s">
        <v>4182</v>
      </c>
      <c r="E283" s="3" t="s">
        <v>5182</v>
      </c>
      <c r="F283" s="3" t="s">
        <v>4410</v>
      </c>
      <c r="G283" s="3" t="s">
        <v>5183</v>
      </c>
      <c r="H283" t="str">
        <f t="shared" si="209"/>
        <v xml:space="preserve">Силин Олег Валериевич</v>
      </c>
      <c r="I283" s="5">
        <f>IFERROR(IF(ISNUMBER(FIND("-",C283)),DATE(VALUE(LEFT(C283,4)),VALUE(MID(C283,6,2)),VALUE(RIGHT(C283,2))),IF(ISNUMBER(FIND(".",C283)),DATE(VALUE(RIGHT(C283,4)),VALUE(MID(C283,4,2)),VALUE(LEFT(C283,2))),DATE(VALUE(RIGHT(C283,4)),VLOOKUP(TRIM(MID(C283,FIND(" ",C283)+1,LEN(C283)-FIND(" ",C283)-5)),Справочники!$M$3:$N$14,2,0),VALUE(LEFT(C283,FIND(" ",C283)-1))))),"")</f>
        <v>30038</v>
      </c>
      <c r="J283" s="6">
        <f t="shared" si="210"/>
        <v>44</v>
      </c>
      <c r="K283" t="str">
        <f t="shared" si="211"/>
        <v>ОК</v>
      </c>
      <c r="L283" s="5">
        <f>IFERROR(IF(ISNUMBER(FIND("-",G283)),DATE(VALUE(LEFT(G283,4)),VALUE(MID(G283,6,2)),VALUE(RIGHT(G283,2))),IF(ISNUMBER(FIND(".",G283)),DATE(VALUE(RIGHT(G283,4)),VALUE(MID(G283,4,2)),VALUE(LEFT(G283,2))),DATE(VALUE(RIGHT(G283,4)),VLOOKUP(TRIM(MID(G283,FIND(" ",G283)+1,LEN(G283)-FIND(" ",G283)-5)),Справочники!$M$3:$N$14,2,0),VALUE(LEFT(G283,FIND(" ",G283)-1))))),"")</f>
        <v>47401</v>
      </c>
      <c r="M283" t="str">
        <f t="shared" si="212"/>
        <v xml:space="preserve">+7 (903) 012-34-56</v>
      </c>
      <c r="N283" t="str">
        <f t="shared" si="213"/>
        <v>silin@gmail</v>
      </c>
      <c r="O283" t="str">
        <f t="shared" si="214"/>
        <v xml:space="preserve">Ошибка Email</v>
      </c>
      <c r="P283" t="str">
        <f>IFERROR(VLOOKUP(TRIM(SUBSTITUTE(SUBSTITUTE(" "&amp;F283," г "," "),"г.","")),Справочники!$J$3:$K$102,2,0),TRIM(SUBSTITUTE(SUBSTITUTE(" "&amp;F283," г "," "),"г.","")))</f>
        <v>Озёрск</v>
      </c>
    </row>
    <row r="284">
      <c r="A284" s="3" t="s">
        <v>2586</v>
      </c>
      <c r="B284" s="3" t="s">
        <v>5184</v>
      </c>
      <c r="C284" s="3" t="s">
        <v>5185</v>
      </c>
      <c r="D284" s="3" t="s">
        <v>4188</v>
      </c>
      <c r="E284" s="3" t="s">
        <v>5186</v>
      </c>
      <c r="F284" s="3" t="s">
        <v>4415</v>
      </c>
      <c r="G284" s="3" t="s">
        <v>5187</v>
      </c>
      <c r="H284" t="str">
        <f t="shared" si="209"/>
        <v xml:space="preserve">Лобова Екатерина Петровна</v>
      </c>
      <c r="I284" s="5">
        <f>IFERROR(IF(ISNUMBER(FIND("-",C284)),DATE(VALUE(LEFT(C284,4)),VALUE(MID(C284,6,2)),VALUE(RIGHT(C284,2))),IF(ISNUMBER(FIND(".",C284)),DATE(VALUE(RIGHT(C284,4)),VALUE(MID(C284,4,2)),VALUE(LEFT(C284,2))),DATE(VALUE(RIGHT(C284,4)),VLOOKUP(TRIM(MID(C284,FIND(" ",C284)+1,LEN(C284)-FIND(" ",C284)-5)),Справочники!$M$3:$N$14,2,0),VALUE(LEFT(C284,FIND(" ",C284)-1))))),"")</f>
        <v>28320</v>
      </c>
      <c r="J284" s="6">
        <f t="shared" si="210"/>
        <v>49</v>
      </c>
      <c r="K284" t="str">
        <f t="shared" si="211"/>
        <v>ОК</v>
      </c>
      <c r="L284" s="5">
        <f>IFERROR(IF(ISNUMBER(FIND("-",G284)),DATE(VALUE(LEFT(G284,4)),VALUE(MID(G284,6,2)),VALUE(RIGHT(G284,2))),IF(ISNUMBER(FIND(".",G284)),DATE(VALUE(RIGHT(G284,4)),VALUE(MID(G284,4,2)),VALUE(LEFT(G284,2))),DATE(VALUE(RIGHT(G284,4)),VLOOKUP(TRIM(MID(G284,FIND(" ",G284)+1,LEN(G284)-FIND(" ",G284)-5)),Справочники!$M$3:$N$14,2,0),VALUE(LEFT(G284,FIND(" ",G284)-1))))),"")</f>
        <v>47423</v>
      </c>
      <c r="M284" t="str">
        <f t="shared" si="212"/>
        <v xml:space="preserve">+7 (903) 012-34-56</v>
      </c>
      <c r="N284" t="str">
        <f t="shared" si="213"/>
        <v>lobova@mail</v>
      </c>
      <c r="O284" t="str">
        <f t="shared" si="214"/>
        <v xml:space="preserve">Ошибка Email</v>
      </c>
      <c r="P284" t="str">
        <f>IFERROR(VLOOKUP(TRIM(SUBSTITUTE(SUBSTITUTE(" "&amp;F284," г "," "),"г.","")),Справочники!$J$3:$K$102,2,0),TRIM(SUBSTITUTE(SUBSTITUTE(" "&amp;F284," г "," "),"г.","")))</f>
        <v>Орел</v>
      </c>
    </row>
    <row r="285">
      <c r="A285" s="3" t="s">
        <v>2588</v>
      </c>
      <c r="B285" s="3" t="s">
        <v>5188</v>
      </c>
      <c r="C285" s="3" t="s">
        <v>5189</v>
      </c>
      <c r="D285" s="3" t="s">
        <v>1633</v>
      </c>
      <c r="E285" s="3" t="s">
        <v>5190</v>
      </c>
      <c r="F285" s="3" t="s">
        <v>4205</v>
      </c>
      <c r="G285" s="3" t="s">
        <v>5191</v>
      </c>
      <c r="H285" t="str">
        <f t="shared" si="209"/>
        <v xml:space="preserve">Дубровин Вячеслав Николаевич</v>
      </c>
      <c r="I285" s="5">
        <f>IFERROR(IF(ISNUMBER(FIND("-",C285)),DATE(VALUE(LEFT(C285,4)),VALUE(MID(C285,6,2)),VALUE(RIGHT(C285,2))),IF(ISNUMBER(FIND(".",C285)),DATE(VALUE(RIGHT(C285,4)),VALUE(MID(C285,4,2)),VALUE(LEFT(C285,2))),DATE(VALUE(RIGHT(C285,4)),VLOOKUP(TRIM(MID(C285,FIND(" ",C285)+1,LEN(C285)-FIND(" ",C285)-5)),Справочники!$M$3:$N$14,2,0),VALUE(LEFT(C285,FIND(" ",C285)-1))))),"")</f>
        <v>30686</v>
      </c>
      <c r="J285" s="6">
        <f t="shared" si="210"/>
        <v>42</v>
      </c>
      <c r="K285" t="str">
        <f t="shared" si="211"/>
        <v>ОК</v>
      </c>
      <c r="L285" s="5">
        <f>IFERROR(IF(ISNUMBER(FIND("-",G285)),DATE(VALUE(LEFT(G285,4)),VALUE(MID(G285,6,2)),VALUE(RIGHT(G285,2))),IF(ISNUMBER(FIND(".",G285)),DATE(VALUE(RIGHT(G285,4)),VALUE(MID(G285,4,2)),VALUE(LEFT(G285,2))),DATE(VALUE(RIGHT(G285,4)),VLOOKUP(TRIM(MID(G285,FIND(" ",G285)+1,LEN(G285)-FIND(" ",G285)-5)),Справочники!$M$3:$N$14,2,0),VALUE(LEFT(G285,FIND(" ",G285)-1))))),"")</f>
        <v>47437</v>
      </c>
      <c r="M285" t="str">
        <f t="shared" si="212"/>
        <v xml:space="preserve">+7 (903) 012-34-56</v>
      </c>
      <c r="N285" t="str">
        <f t="shared" si="213"/>
        <v>dubrovin@yandex</v>
      </c>
      <c r="O285" t="str">
        <f t="shared" si="214"/>
        <v xml:space="preserve">Ошибка Email</v>
      </c>
      <c r="P285" t="str">
        <f>IFERROR(VLOOKUP(TRIM(SUBSTITUTE(SUBSTITUTE(" "&amp;F285," г "," "),"г.","")),Справочники!$J$3:$K$102,2,0),TRIM(SUBSTITUTE(SUBSTITUTE(" "&amp;F285," г "," "),"г.","")))</f>
        <v>Якутск</v>
      </c>
    </row>
    <row r="286">
      <c r="A286" s="3" t="s">
        <v>2591</v>
      </c>
      <c r="B286" s="3" t="s">
        <v>5192</v>
      </c>
      <c r="C286" s="3" t="s">
        <v>5193</v>
      </c>
      <c r="D286" s="3" t="s">
        <v>4034</v>
      </c>
      <c r="E286" s="3" t="s">
        <v>5194</v>
      </c>
      <c r="F286" s="3" t="s">
        <v>4152</v>
      </c>
      <c r="G286" s="3" t="s">
        <v>5195</v>
      </c>
      <c r="H286" t="str">
        <f t="shared" si="209"/>
        <v xml:space="preserve">Паршина Ольга Сергеевна</v>
      </c>
      <c r="I286" s="5">
        <f>IFERROR(IF(ISNUMBER(FIND("-",C286)),DATE(VALUE(LEFT(C286,4)),VALUE(MID(C286,6,2)),VALUE(RIGHT(C286,2))),IF(ISNUMBER(FIND(".",C286)),DATE(VALUE(RIGHT(C286,4)),VALUE(MID(C286,4,2)),VALUE(LEFT(C286,2))),DATE(VALUE(RIGHT(C286,4)),VLOOKUP(TRIM(MID(C286,FIND(" ",C286)+1,LEN(C286)-FIND(" ",C286)-5)),Справочники!$M$3:$N$14,2,0),VALUE(LEFT(C286,FIND(" ",C286)-1))))),"")</f>
        <v>32768</v>
      </c>
      <c r="J286" s="6">
        <f t="shared" si="210"/>
        <v>37</v>
      </c>
      <c r="K286" t="str">
        <f t="shared" si="211"/>
        <v>ОК</v>
      </c>
      <c r="L286" s="5">
        <f>IFERROR(IF(ISNUMBER(FIND("-",G286)),DATE(VALUE(LEFT(G286,4)),VALUE(MID(G286,6,2)),VALUE(RIGHT(G286,2))),IF(ISNUMBER(FIND(".",G286)),DATE(VALUE(RIGHT(G286,4)),VALUE(MID(G286,4,2)),VALUE(LEFT(G286,2))),DATE(VALUE(RIGHT(G286,4)),VLOOKUP(TRIM(MID(G286,FIND(" ",G286)+1,LEN(G286)-FIND(" ",G286)-5)),Справочники!$M$3:$N$14,2,0),VALUE(LEFT(G286,FIND(" ",G286)-1))))),"")</f>
        <v>47437</v>
      </c>
      <c r="M286" t="str">
        <f t="shared" si="212"/>
        <v xml:space="preserve">+7 (903) 123-45-67</v>
      </c>
      <c r="N286" t="str">
        <f t="shared" si="213"/>
        <v>parshina@gmail</v>
      </c>
      <c r="O286" t="str">
        <f t="shared" si="214"/>
        <v xml:space="preserve">Ошибка Email</v>
      </c>
      <c r="P286" t="str">
        <f>IFERROR(VLOOKUP(TRIM(SUBSTITUTE(SUBSTITUTE(" "&amp;F286," г "," "),"г.","")),Справочники!$J$3:$K$102,2,0),TRIM(SUBSTITUTE(SUBSTITUTE(" "&amp;F286," г "," "),"г.","")))</f>
        <v>Чебоксары</v>
      </c>
    </row>
    <row r="287">
      <c r="A287" s="3" t="s">
        <v>2593</v>
      </c>
      <c r="B287" s="3" t="s">
        <v>5196</v>
      </c>
      <c r="C287" s="3" t="s">
        <v>5197</v>
      </c>
      <c r="D287" s="3" t="s">
        <v>4040</v>
      </c>
      <c r="E287" s="3" t="s">
        <v>5198</v>
      </c>
      <c r="F287" s="3" t="s">
        <v>4245</v>
      </c>
      <c r="G287" s="3" t="s">
        <v>5199</v>
      </c>
      <c r="H287" t="str">
        <f t="shared" si="209"/>
        <v xml:space="preserve">Липатова Наталья Игоревна</v>
      </c>
      <c r="I287" s="5">
        <f>IFERROR(IF(ISNUMBER(FIND("-",C287)),DATE(VALUE(LEFT(C287,4)),VALUE(MID(C287,6,2)),VALUE(RIGHT(C287,2))),IF(ISNUMBER(FIND(".",C287)),DATE(VALUE(RIGHT(C287,4)),VALUE(MID(C287,4,2)),VALUE(LEFT(C287,2))),DATE(VALUE(RIGHT(C287,4)),VLOOKUP(TRIM(MID(C287,FIND(" ",C287)+1,LEN(C287)-FIND(" ",C287)-5)),Справочники!$M$3:$N$14,2,0),VALUE(LEFT(C287,FIND(" ",C287)-1))))),"")</f>
        <v>25932</v>
      </c>
      <c r="J287" s="6">
        <f t="shared" si="210"/>
        <v>55</v>
      </c>
      <c r="K287" t="str">
        <f t="shared" si="211"/>
        <v>ОК</v>
      </c>
      <c r="L287" s="5">
        <f>IFERROR(IF(ISNUMBER(FIND("-",G287)),DATE(VALUE(LEFT(G287,4)),VALUE(MID(G287,6,2)),VALUE(RIGHT(G287,2))),IF(ISNUMBER(FIND(".",G287)),DATE(VALUE(RIGHT(G287,4)),VALUE(MID(G287,4,2)),VALUE(LEFT(G287,2))),DATE(VALUE(RIGHT(G287,4)),VLOOKUP(TRIM(MID(G287,FIND(" ",G287)+1,LEN(G287)-FIND(" ",G287)-5)),Справочники!$M$3:$N$14,2,0),VALUE(LEFT(G287,FIND(" ",G287)-1))))),"")</f>
        <v>47453</v>
      </c>
      <c r="M287" t="str">
        <f t="shared" si="212"/>
        <v xml:space="preserve">+7 (903) 123-45-67</v>
      </c>
      <c r="N287" t="str">
        <f t="shared" si="213"/>
        <v>lipatova@mail</v>
      </c>
      <c r="O287" t="str">
        <f t="shared" si="214"/>
        <v xml:space="preserve">Ошибка Email</v>
      </c>
      <c r="P287" t="str">
        <f>IFERROR(VLOOKUP(TRIM(SUBSTITUTE(SUBSTITUTE(" "&amp;F287," г "," "),"г.","")),Справочники!$J$3:$K$102,2,0),TRIM(SUBSTITUTE(SUBSTITUTE(" "&amp;F287," г "," "),"г.","")))</f>
        <v>Мурманск</v>
      </c>
    </row>
    <row r="288">
      <c r="A288" s="3" t="s">
        <v>2595</v>
      </c>
      <c r="B288" s="3" t="s">
        <v>5200</v>
      </c>
      <c r="C288" s="3" t="s">
        <v>5201</v>
      </c>
      <c r="D288" s="3" t="s">
        <v>1570</v>
      </c>
      <c r="E288" s="3" t="s">
        <v>5202</v>
      </c>
      <c r="F288" s="3" t="s">
        <v>4235</v>
      </c>
      <c r="G288" s="3" t="s">
        <v>5203</v>
      </c>
      <c r="H288" t="str">
        <f t="shared" si="209"/>
        <v xml:space="preserve">Губанов Андрей Викторович</v>
      </c>
      <c r="I288" s="5">
        <f>IFERROR(IF(ISNUMBER(FIND("-",C288)),DATE(VALUE(LEFT(C288,4)),VALUE(MID(C288,6,2)),VALUE(RIGHT(C288,2))),IF(ISNUMBER(FIND(".",C288)),DATE(VALUE(RIGHT(C288,4)),VALUE(MID(C288,4,2)),VALUE(LEFT(C288,2))),DATE(VALUE(RIGHT(C288,4)),VLOOKUP(TRIM(MID(C288,FIND(" ",C288)+1,LEN(C288)-FIND(" ",C288)-5)),Справочники!$M$3:$N$14,2,0),VALUE(LEFT(C288,FIND(" ",C288)-1))))),"")</f>
        <v>31936</v>
      </c>
      <c r="J288" s="6">
        <f t="shared" si="210"/>
        <v>39</v>
      </c>
      <c r="K288" t="str">
        <f t="shared" si="211"/>
        <v>ОК</v>
      </c>
      <c r="L288" s="5">
        <f>IFERROR(IF(ISNUMBER(FIND("-",G288)),DATE(VALUE(LEFT(G288,4)),VALUE(MID(G288,6,2)),VALUE(RIGHT(G288,2))),IF(ISNUMBER(FIND(".",G288)),DATE(VALUE(RIGHT(G288,4)),VALUE(MID(G288,4,2)),VALUE(LEFT(G288,2))),DATE(VALUE(RIGHT(G288,4)),VLOOKUP(TRIM(MID(G288,FIND(" ",G288)+1,LEN(G288)-FIND(" ",G288)-5)),Справочники!$M$3:$N$14,2,0),VALUE(LEFT(G288,FIND(" ",G288)-1))))),"")</f>
        <v>47462</v>
      </c>
      <c r="M288" t="str">
        <f t="shared" si="212"/>
        <v xml:space="preserve">+7 (903) 123-45-67</v>
      </c>
      <c r="N288" t="str">
        <f t="shared" si="213"/>
        <v>gubanov@yandex</v>
      </c>
      <c r="O288" t="str">
        <f t="shared" si="214"/>
        <v xml:space="preserve">Ошибка Email</v>
      </c>
      <c r="P288" t="str">
        <f>IFERROR(VLOOKUP(TRIM(SUBSTITUTE(SUBSTITUTE(" "&amp;F288," г "," "),"г.","")),Справочники!$J$3:$K$102,2,0),TRIM(SUBSTITUTE(SUBSTITUTE(" "&amp;F288," г "," "),"г.","")))</f>
        <v>Смоленск</v>
      </c>
    </row>
    <row r="289">
      <c r="A289" s="3" t="s">
        <v>2596</v>
      </c>
      <c r="B289" s="3" t="s">
        <v>5204</v>
      </c>
      <c r="C289" s="3" t="s">
        <v>5205</v>
      </c>
      <c r="D289" s="3" t="s">
        <v>4051</v>
      </c>
      <c r="E289" s="3" t="s">
        <v>5206</v>
      </c>
      <c r="F289" s="3" t="s">
        <v>4220</v>
      </c>
      <c r="G289" s="3" t="s">
        <v>5207</v>
      </c>
      <c r="H289" t="str">
        <f t="shared" si="209"/>
        <v xml:space="preserve">Богомолова Мария Александровна</v>
      </c>
      <c r="I289" s="5">
        <f>IFERROR(IF(ISNUMBER(FIND("-",C289)),DATE(VALUE(LEFT(C289,4)),VALUE(MID(C289,6,2)),VALUE(RIGHT(C289,2))),IF(ISNUMBER(FIND(".",C289)),DATE(VALUE(RIGHT(C289,4)),VALUE(MID(C289,4,2)),VALUE(LEFT(C289,2))),DATE(VALUE(RIGHT(C289,4)),VLOOKUP(TRIM(MID(C289,FIND(" ",C289)+1,LEN(C289)-FIND(" ",C289)-5)),Справочники!$M$3:$N$14,2,0),VALUE(LEFT(C289,FIND(" ",C289)-1))))),"")</f>
        <v>28054</v>
      </c>
      <c r="J289" s="6">
        <f t="shared" si="210"/>
        <v>50</v>
      </c>
      <c r="K289" t="str">
        <f t="shared" si="211"/>
        <v>ОК</v>
      </c>
      <c r="L289" s="5">
        <f>IFERROR(IF(ISNUMBER(FIND("-",G289)),DATE(VALUE(LEFT(G289,4)),VALUE(MID(G289,6,2)),VALUE(RIGHT(G289,2))),IF(ISNUMBER(FIND(".",G289)),DATE(VALUE(RIGHT(G289,4)),VALUE(MID(G289,4,2)),VALUE(LEFT(G289,2))),DATE(VALUE(RIGHT(G289,4)),VLOOKUP(TRIM(MID(G289,FIND(" ",G289)+1,LEN(G289)-FIND(" ",G289)-5)),Справочники!$M$3:$N$14,2,0),VALUE(LEFT(G289,FIND(" ",G289)-1))))),"")</f>
        <v>47462</v>
      </c>
      <c r="M289" t="str">
        <f t="shared" si="212"/>
        <v xml:space="preserve">+7 (903) 234-56-78</v>
      </c>
      <c r="N289" t="str">
        <f t="shared" si="213"/>
        <v>bogomolova@gmail</v>
      </c>
      <c r="O289" t="str">
        <f t="shared" si="214"/>
        <v xml:space="preserve">Ошибка Email</v>
      </c>
      <c r="P289" t="str">
        <f>IFERROR(VLOOKUP(TRIM(SUBSTITUTE(SUBSTITUTE(" "&amp;F289," г "," "),"г.","")),Справочники!$J$3:$K$102,2,0),TRIM(SUBSTITUTE(SUBSTITUTE(" "&amp;F289," г "," "),"г.","")))</f>
        <v>Тула</v>
      </c>
    </row>
    <row r="290">
      <c r="A290" s="3" t="s">
        <v>2599</v>
      </c>
      <c r="B290" s="3" t="s">
        <v>5208</v>
      </c>
      <c r="C290" s="3" t="s">
        <v>5209</v>
      </c>
      <c r="D290" s="3" t="s">
        <v>4057</v>
      </c>
      <c r="E290" s="3" t="s">
        <v>5210</v>
      </c>
      <c r="F290" s="3" t="s">
        <v>4225</v>
      </c>
      <c r="G290" s="3" t="s">
        <v>5211</v>
      </c>
      <c r="H290" t="str">
        <f t="shared" si="209"/>
        <v xml:space="preserve">Харитонов Алексей Павлович</v>
      </c>
      <c r="I290" s="5">
        <f>IFERROR(IF(ISNUMBER(FIND("-",C290)),DATE(VALUE(LEFT(C290,4)),VALUE(MID(C290,6,2)),VALUE(RIGHT(C290,2))),IF(ISNUMBER(FIND(".",C290)),DATE(VALUE(RIGHT(C290,4)),VALUE(MID(C290,4,2)),VALUE(LEFT(C290,2))),DATE(VALUE(RIGHT(C290,4)),VLOOKUP(TRIM(MID(C290,FIND(" ",C290)+1,LEN(C290)-FIND(" ",C290)-5)),Справочники!$M$3:$N$14,2,0),VALUE(LEFT(C290,FIND(" ",C290)-1))))),"")</f>
        <v>33698</v>
      </c>
      <c r="J290" s="6">
        <f t="shared" si="210"/>
        <v>34</v>
      </c>
      <c r="K290" t="str">
        <f t="shared" si="211"/>
        <v>ОК</v>
      </c>
      <c r="L290" s="5">
        <f>IFERROR(IF(ISNUMBER(FIND("-",G290)),DATE(VALUE(LEFT(G290,4)),VALUE(MID(G290,6,2)),VALUE(RIGHT(G290,2))),IF(ISNUMBER(FIND(".",G290)),DATE(VALUE(RIGHT(G290,4)),VALUE(MID(G290,4,2)),VALUE(LEFT(G290,2))),DATE(VALUE(RIGHT(G290,4)),VLOOKUP(TRIM(MID(G290,FIND(" ",G290)+1,LEN(G290)-FIND(" ",G290)-5)),Справочники!$M$3:$N$14,2,0),VALUE(LEFT(G290,FIND(" ",G290)-1))))),"")</f>
        <v>47484</v>
      </c>
      <c r="M290" t="str">
        <f t="shared" si="212"/>
        <v xml:space="preserve">+7 (903) 234-56-78</v>
      </c>
      <c r="N290" t="str">
        <f t="shared" si="213"/>
        <v>haritonov@mail</v>
      </c>
      <c r="O290" t="str">
        <f t="shared" si="214"/>
        <v xml:space="preserve">Ошибка Email</v>
      </c>
      <c r="P290" t="str">
        <f>IFERROR(VLOOKUP(TRIM(SUBSTITUTE(SUBSTITUTE(" "&amp;F290," г "," "),"г.","")),Справочники!$J$3:$K$102,2,0),TRIM(SUBSTITUTE(SUBSTITUTE(" "&amp;F290," г "," "),"г.","")))</f>
        <v>Калуга</v>
      </c>
    </row>
    <row r="291">
      <c r="A291" s="3" t="s">
        <v>2601</v>
      </c>
      <c r="B291" s="3" t="s">
        <v>5212</v>
      </c>
      <c r="C291" s="3" t="s">
        <v>5213</v>
      </c>
      <c r="D291" s="3" t="s">
        <v>1712</v>
      </c>
      <c r="E291" s="3" t="s">
        <v>5214</v>
      </c>
      <c r="F291" s="3" t="s">
        <v>4230</v>
      </c>
      <c r="G291" s="3" t="s">
        <v>5215</v>
      </c>
      <c r="H291" t="str">
        <f t="shared" si="209"/>
        <v xml:space="preserve">Ким Олег Иванович</v>
      </c>
      <c r="I291" s="5">
        <f>IFERROR(IF(ISNUMBER(FIND("-",C291)),DATE(VALUE(LEFT(C291,4)),VALUE(MID(C291,6,2)),VALUE(RIGHT(C291,2))),IF(ISNUMBER(FIND(".",C291)),DATE(VALUE(RIGHT(C291,4)),VALUE(MID(C291,4,2)),VALUE(LEFT(C291,2))),DATE(VALUE(RIGHT(C291,4)),VLOOKUP(TRIM(MID(C291,FIND(" ",C291)+1,LEN(C291)-FIND(" ",C291)-5)),Справочники!$M$3:$N$14,2,0),VALUE(LEFT(C291,FIND(" ",C291)-1))))),"")</f>
        <v>29947</v>
      </c>
      <c r="J291" s="6">
        <f t="shared" si="210"/>
        <v>44</v>
      </c>
      <c r="K291" t="str">
        <f t="shared" si="211"/>
        <v>ОК</v>
      </c>
      <c r="L291" s="5">
        <f>IFERROR(IF(ISNUMBER(FIND("-",G291)),DATE(VALUE(LEFT(G291,4)),VALUE(MID(G291,6,2)),VALUE(RIGHT(G291,2))),IF(ISNUMBER(FIND(".",G291)),DATE(VALUE(RIGHT(G291,4)),VALUE(MID(G291,4,2)),VALUE(LEFT(G291,2))),DATE(VALUE(RIGHT(G291,4)),VLOOKUP(TRIM(MID(G291,FIND(" ",G291)+1,LEN(G291)-FIND(" ",G291)-5)),Справочники!$M$3:$N$14,2,0),VALUE(LEFT(G291,FIND(" ",G291)-1))))),"")</f>
        <v>47498</v>
      </c>
      <c r="M291" t="str">
        <f t="shared" si="212"/>
        <v xml:space="preserve">+7 (903) 234-56-78</v>
      </c>
      <c r="N291" t="str">
        <f t="shared" si="213"/>
        <v>kim@yandex</v>
      </c>
      <c r="O291" t="str">
        <f t="shared" si="214"/>
        <v xml:space="preserve">Ошибка Email</v>
      </c>
      <c r="P291" t="str">
        <f>IFERROR(VLOOKUP(TRIM(SUBSTITUTE(SUBSTITUTE(" "&amp;F291," г "," "),"г.","")),Справочники!$J$3:$K$102,2,0),TRIM(SUBSTITUTE(SUBSTITUTE(" "&amp;F291," г "," "),"г.","")))</f>
        <v>Владикавказ</v>
      </c>
    </row>
    <row r="292">
      <c r="A292" s="3" t="s">
        <v>2604</v>
      </c>
      <c r="B292" s="3" t="s">
        <v>5216</v>
      </c>
      <c r="C292" s="3" t="s">
        <v>5217</v>
      </c>
      <c r="D292" s="3" t="s">
        <v>1584</v>
      </c>
      <c r="E292" s="3" t="s">
        <v>5218</v>
      </c>
      <c r="F292" s="3" t="s">
        <v>4235</v>
      </c>
      <c r="G292" s="3" t="s">
        <v>5219</v>
      </c>
      <c r="H292" t="str">
        <f t="shared" ref="H292:H355" si="215">PROPER(TRIM(B292))</f>
        <v xml:space="preserve">Лаврова Елена Викторовна</v>
      </c>
      <c r="I292" s="5">
        <f>IFERROR(IF(ISNUMBER(FIND("-",C292)),DATE(VALUE(LEFT(C292,4)),VALUE(MID(C292,6,2)),VALUE(RIGHT(C292,2))),IF(ISNUMBER(FIND(".",C292)),DATE(VALUE(RIGHT(C292,4)),VALUE(MID(C292,4,2)),VALUE(LEFT(C292,2))),DATE(VALUE(RIGHT(C292,4)),VLOOKUP(TRIM(MID(C292,FIND(" ",C292)+1,LEN(C292)-FIND(" ",C292)-5)),Справочники!$M$3:$N$14,2,0),VALUE(LEFT(C292,FIND(" ",C292)-1))))),"")</f>
        <v>27621</v>
      </c>
      <c r="J292" s="6">
        <f t="shared" ref="J292:J355" si="216">IF(I292="","",DATEDIF(I292,TODAY(),"Y"))</f>
        <v>51</v>
      </c>
      <c r="K292" t="str">
        <f t="shared" ref="K292:K355" si="217">IF(OR(I292="",J292&lt;18,J292&gt;120),"Ошибка даты рождения","ОК")</f>
        <v>ОК</v>
      </c>
      <c r="L292" s="5">
        <f>IFERROR(IF(ISNUMBER(FIND("-",G292)),DATE(VALUE(LEFT(G292,4)),VALUE(MID(G292,6,2)),VALUE(RIGHT(G292,2))),IF(ISNUMBER(FIND(".",G292)),DATE(VALUE(RIGHT(G292,4)),VALUE(MID(G292,4,2)),VALUE(LEFT(G292,2))),DATE(VALUE(RIGHT(G292,4)),VLOOKUP(TRIM(MID(G292,FIND(" ",G292)+1,LEN(G292)-FIND(" ",G292)-5)),Справочники!$M$3:$N$14,2,0),VALUE(LEFT(G292,FIND(" ",G292)-1))))),"")</f>
        <v>47498</v>
      </c>
      <c r="M292" t="str">
        <f t="shared" ref="M292:M355" si="218">IF(LEN(SUBSTITUTE(SUBSTITUTE(SUBSTITUTE(SUBSTITUTE(SUBSTITUTE(D292,"+",""),"-","")," ",""),"(",""),")",""))&lt;10,"Ошибка телефона","+7 ("&amp;MID(RIGHT(SUBSTITUTE(SUBSTITUTE(SUBSTITUTE(SUBSTITUTE(SUBSTITUTE(D292,"+",""),"-","")," ",""),"(",""),")",""),10),1,3)&amp;") "&amp;MID(RIGHT(SUBSTITUTE(SUBSTITUTE(SUBSTITUTE(SUBSTITUTE(SUBSTITUTE(D292,"+",""),"-","")," ",""),"(",""),")",""),10),4,3)&amp;"-"&amp;MID(RIGHT(SUBSTITUTE(SUBSTITUTE(SUBSTITUTE(SUBSTITUTE(SUBSTITUTE(D292,"+",""),"-","")," ",""),"(",""),")",""),10),7,2)&amp;"-"&amp;RIGHT(SUBSTITUTE(SUBSTITUTE(SUBSTITUTE(SUBSTITUTE(SUBSTITUTE(D292,"+",""),"-","")," ",""),"(",""),")",""),2))</f>
        <v xml:space="preserve">+7 (903) 345-67-89</v>
      </c>
      <c r="N292" t="str">
        <f t="shared" ref="N292:N355" si="219">LOWER(SUBSTITUTE(TRIM(E292)," ",""))</f>
        <v>lavrova@gmail</v>
      </c>
      <c r="O292" t="str">
        <f t="shared" ref="O292:O355" si="220">IF(AND(ISNUMBER(FIND("@",N292)),ISNUMBER(FIND(".",N292,FIND("@",N292)+2))),"ОК","Ошибка Email")</f>
        <v xml:space="preserve">Ошибка Email</v>
      </c>
      <c r="P292" t="str">
        <f>IFERROR(VLOOKUP(TRIM(SUBSTITUTE(SUBSTITUTE(" "&amp;F292," г "," "),"г.","")),Справочники!$J$3:$K$102,2,0),TRIM(SUBSTITUTE(SUBSTITUTE(" "&amp;F292," г "," "),"г.","")))</f>
        <v>Смоленск</v>
      </c>
    </row>
    <row r="293">
      <c r="A293" s="3" t="s">
        <v>2605</v>
      </c>
      <c r="B293" s="3" t="s">
        <v>5220</v>
      </c>
      <c r="C293" s="3" t="s">
        <v>5221</v>
      </c>
      <c r="D293" s="3" t="s">
        <v>4073</v>
      </c>
      <c r="E293" s="3" t="s">
        <v>5222</v>
      </c>
      <c r="F293" s="3" t="s">
        <v>4240</v>
      </c>
      <c r="G293" s="3" t="s">
        <v>5223</v>
      </c>
      <c r="H293" t="str">
        <f t="shared" si="215"/>
        <v xml:space="preserve">Завьялов Владимир Сергеевич</v>
      </c>
      <c r="I293" s="5">
        <f>IFERROR(IF(ISNUMBER(FIND("-",C293)),DATE(VALUE(LEFT(C293,4)),VALUE(MID(C293,6,2)),VALUE(RIGHT(C293,2))),IF(ISNUMBER(FIND(".",C293)),DATE(VALUE(RIGHT(C293,4)),VALUE(MID(C293,4,2)),VALUE(LEFT(C293,2))),DATE(VALUE(RIGHT(C293,4)),VLOOKUP(TRIM(MID(C293,FIND(" ",C293)+1,LEN(C293)-FIND(" ",C293)-5)),Справочники!$M$3:$N$14,2,0),VALUE(LEFT(C293,FIND(" ",C293)-1))))),"")</f>
        <v>30388</v>
      </c>
      <c r="J293" s="6">
        <f t="shared" si="216"/>
        <v>43</v>
      </c>
      <c r="K293" t="str">
        <f t="shared" si="217"/>
        <v>ОК</v>
      </c>
      <c r="L293" s="5">
        <f>IFERROR(IF(ISNUMBER(FIND("-",G293)),DATE(VALUE(LEFT(G293,4)),VALUE(MID(G293,6,2)),VALUE(RIGHT(G293,2))),IF(ISNUMBER(FIND(".",G293)),DATE(VALUE(RIGHT(G293,4)),VALUE(MID(G293,4,2)),VALUE(LEFT(G293,2))),DATE(VALUE(RIGHT(G293,4)),VLOOKUP(TRIM(MID(G293,FIND(" ",G293)+1,LEN(G293)-FIND(" ",G293)-5)),Справочники!$M$3:$N$14,2,0),VALUE(LEFT(G293,FIND(" ",G293)-1))))),"")</f>
        <v>47515</v>
      </c>
      <c r="M293" t="str">
        <f t="shared" si="218"/>
        <v xml:space="preserve">+7 (903) 345-67-89</v>
      </c>
      <c r="N293" t="str">
        <f t="shared" si="219"/>
        <v>zavyalov@mail</v>
      </c>
      <c r="O293" t="str">
        <f t="shared" si="220"/>
        <v xml:space="preserve">Ошибка Email</v>
      </c>
      <c r="P293" t="str">
        <f>IFERROR(VLOOKUP(TRIM(SUBSTITUTE(SUBSTITUTE(" "&amp;F293," г "," "),"г.","")),Справочники!$J$3:$K$102,2,0),TRIM(SUBSTITUTE(SUBSTITUTE(" "&amp;F293," г "," "),"г.","")))</f>
        <v>Белгород</v>
      </c>
    </row>
    <row r="294">
      <c r="A294" s="3" t="s">
        <v>2607</v>
      </c>
      <c r="B294" s="3" t="s">
        <v>5224</v>
      </c>
      <c r="C294" s="3" t="s">
        <v>5225</v>
      </c>
      <c r="D294" s="3" t="s">
        <v>4079</v>
      </c>
      <c r="E294" s="3" t="s">
        <v>5226</v>
      </c>
      <c r="F294" s="3" t="s">
        <v>4245</v>
      </c>
      <c r="G294" s="3" t="s">
        <v>5227</v>
      </c>
      <c r="H294" t="str">
        <f t="shared" si="215"/>
        <v xml:space="preserve">Костин Денис Алексеевич</v>
      </c>
      <c r="I294" s="5">
        <f>IFERROR(IF(ISNUMBER(FIND("-",C294)),DATE(VALUE(LEFT(C294,4)),VALUE(MID(C294,6,2)),VALUE(RIGHT(C294,2))),IF(ISNUMBER(FIND(".",C294)),DATE(VALUE(RIGHT(C294,4)),VALUE(MID(C294,4,2)),VALUE(LEFT(C294,2))),DATE(VALUE(RIGHT(C294,4)),VLOOKUP(TRIM(MID(C294,FIND(" ",C294)+1,LEN(C294)-FIND(" ",C294)-5)),Справочники!$M$3:$N$14,2,0),VALUE(LEFT(C294,FIND(" ",C294)-1))))),"")</f>
        <v>33183</v>
      </c>
      <c r="J294" s="6">
        <f t="shared" si="216"/>
        <v>35</v>
      </c>
      <c r="K294" t="str">
        <f t="shared" si="217"/>
        <v>ОК</v>
      </c>
      <c r="L294" s="5">
        <f>IFERROR(IF(ISNUMBER(FIND("-",G294)),DATE(VALUE(LEFT(G294,4)),VALUE(MID(G294,6,2)),VALUE(RIGHT(G294,2))),IF(ISNUMBER(FIND(".",G294)),DATE(VALUE(RIGHT(G294,4)),VALUE(MID(G294,4,2)),VALUE(LEFT(G294,2))),DATE(VALUE(RIGHT(G294,4)),VLOOKUP(TRIM(MID(G294,FIND(" ",G294)+1,LEN(G294)-FIND(" ",G294)-5)),Справочники!$M$3:$N$14,2,0),VALUE(LEFT(G294,FIND(" ",G294)-1))))),"")</f>
        <v>47524</v>
      </c>
      <c r="M294" t="str">
        <f t="shared" si="218"/>
        <v xml:space="preserve">+7 (903) 345-67-89</v>
      </c>
      <c r="N294" t="str">
        <f t="shared" si="219"/>
        <v>kostin@yandex</v>
      </c>
      <c r="O294" t="str">
        <f t="shared" si="220"/>
        <v xml:space="preserve">Ошибка Email</v>
      </c>
      <c r="P294" t="str">
        <f>IFERROR(VLOOKUP(TRIM(SUBSTITUTE(SUBSTITUTE(" "&amp;F294," г "," "),"г.","")),Справочники!$J$3:$K$102,2,0),TRIM(SUBSTITUTE(SUBSTITUTE(" "&amp;F294," г "," "),"г.","")))</f>
        <v>Мурманск</v>
      </c>
    </row>
    <row r="295">
      <c r="A295" s="3" t="s">
        <v>2608</v>
      </c>
      <c r="B295" s="3" t="s">
        <v>5228</v>
      </c>
      <c r="C295" s="3" t="s">
        <v>5229</v>
      </c>
      <c r="D295" s="3" t="s">
        <v>4085</v>
      </c>
      <c r="E295" s="3" t="s">
        <v>5230</v>
      </c>
      <c r="F295" s="3" t="s">
        <v>4250</v>
      </c>
      <c r="G295" s="3" t="s">
        <v>5231</v>
      </c>
      <c r="H295" t="str">
        <f t="shared" si="215"/>
        <v xml:space="preserve">Арсеньева Ирина Павловна</v>
      </c>
      <c r="I295" s="5">
        <f>IFERROR(IF(ISNUMBER(FIND("-",C295)),DATE(VALUE(LEFT(C295,4)),VALUE(MID(C295,6,2)),VALUE(RIGHT(C295,2))),IF(ISNUMBER(FIND(".",C295)),DATE(VALUE(RIGHT(C295,4)),VALUE(MID(C295,4,2)),VALUE(LEFT(C295,2))),DATE(VALUE(RIGHT(C295,4)),VLOOKUP(TRIM(MID(C295,FIND(" ",C295)+1,LEN(C295)-FIND(" ",C295)-5)),Справочники!$M$3:$N$14,2,0),VALUE(LEFT(C295,FIND(" ",C295)-1))))),"")</f>
        <v>28387</v>
      </c>
      <c r="J295" s="6">
        <f t="shared" si="216"/>
        <v>49</v>
      </c>
      <c r="K295" t="str">
        <f t="shared" si="217"/>
        <v>ОК</v>
      </c>
      <c r="L295" s="5">
        <f>IFERROR(IF(ISNUMBER(FIND("-",G295)),DATE(VALUE(LEFT(G295,4)),VALUE(MID(G295,6,2)),VALUE(RIGHT(G295,2))),IF(ISNUMBER(FIND(".",G295)),DATE(VALUE(RIGHT(G295,4)),VALUE(MID(G295,4,2)),VALUE(LEFT(G295,2))),DATE(VALUE(RIGHT(G295,4)),VLOOKUP(TRIM(MID(G295,FIND(" ",G295)+1,LEN(G295)-FIND(" ",G295)-5)),Справочники!$M$3:$N$14,2,0),VALUE(LEFT(G295,FIND(" ",G295)-1))))),"")</f>
        <v>47524</v>
      </c>
      <c r="M295" t="str">
        <f t="shared" si="218"/>
        <v xml:space="preserve">+7 (903) 456-78-90</v>
      </c>
      <c r="N295" t="str">
        <f t="shared" si="219"/>
        <v>arsenieva@gmail</v>
      </c>
      <c r="O295" t="str">
        <f t="shared" si="220"/>
        <v xml:space="preserve">Ошибка Email</v>
      </c>
      <c r="P295" t="str">
        <f>IFERROR(VLOOKUP(TRIM(SUBSTITUTE(SUBSTITUTE(" "&amp;F295," г "," "),"г.","")),Справочники!$J$3:$K$102,2,0),TRIM(SUBSTITUTE(SUBSTITUTE(" "&amp;F295," г "," "),"г.","")))</f>
        <v>Ставрополь</v>
      </c>
    </row>
    <row r="296">
      <c r="A296" s="3" t="s">
        <v>2610</v>
      </c>
      <c r="B296" s="3" t="s">
        <v>5232</v>
      </c>
      <c r="C296" s="3" t="s">
        <v>5233</v>
      </c>
      <c r="D296" s="3" t="s">
        <v>1591</v>
      </c>
      <c r="E296" s="3" t="s">
        <v>5234</v>
      </c>
      <c r="F296" s="3" t="s">
        <v>4255</v>
      </c>
      <c r="G296" s="3" t="s">
        <v>5235</v>
      </c>
      <c r="H296" t="str">
        <f t="shared" si="215"/>
        <v xml:space="preserve">Крутиков Александр Игоревич</v>
      </c>
      <c r="I296" s="5">
        <f>IFERROR(IF(ISNUMBER(FIND("-",C296)),DATE(VALUE(LEFT(C296,4)),VALUE(MID(C296,6,2)),VALUE(RIGHT(C296,2))),IF(ISNUMBER(FIND(".",C296)),DATE(VALUE(RIGHT(C296,4)),VALUE(MID(C296,4,2)),VALUE(LEFT(C296,2))),DATE(VALUE(RIGHT(C296,4)),VLOOKUP(TRIM(MID(C296,FIND(" ",C296)+1,LEN(C296)-FIND(" ",C296)-5)),Справочники!$M$3:$N$14,2,0),VALUE(LEFT(C296,FIND(" ",C296)-1))))),"")</f>
        <v>30824</v>
      </c>
      <c r="J296" s="6">
        <f t="shared" si="216"/>
        <v>42</v>
      </c>
      <c r="K296" t="str">
        <f t="shared" si="217"/>
        <v>ОК</v>
      </c>
      <c r="L296" s="5">
        <f>IFERROR(IF(ISNUMBER(FIND("-",G296)),DATE(VALUE(LEFT(G296,4)),VALUE(MID(G296,6,2)),VALUE(RIGHT(G296,2))),IF(ISNUMBER(FIND(".",G296)),DATE(VALUE(RIGHT(G296,4)),VALUE(MID(G296,4,2)),VALUE(LEFT(G296,2))),DATE(VALUE(RIGHT(G296,4)),VLOOKUP(TRIM(MID(G296,FIND(" ",G296)+1,LEN(G296)-FIND(" ",G296)-5)),Справочники!$M$3:$N$14,2,0),VALUE(LEFT(G296,FIND(" ",G296)-1))))),"")</f>
        <v>47543</v>
      </c>
      <c r="M296" t="str">
        <f t="shared" si="218"/>
        <v xml:space="preserve">+7 (903) 456-78-90</v>
      </c>
      <c r="N296" t="str">
        <f t="shared" si="219"/>
        <v>krutikov@mail</v>
      </c>
      <c r="O296" t="str">
        <f t="shared" si="220"/>
        <v xml:space="preserve">Ошибка Email</v>
      </c>
      <c r="P296" t="str">
        <f>IFERROR(VLOOKUP(TRIM(SUBSTITUTE(SUBSTITUTE(" "&amp;F296," г "," "),"г.","")),Справочники!$J$3:$K$102,2,0),TRIM(SUBSTITUTE(SUBSTITUTE(" "&amp;F296," г "," "),"г.","")))</f>
        <v>Севастополь</v>
      </c>
    </row>
    <row r="297">
      <c r="A297" s="3" t="s">
        <v>2611</v>
      </c>
      <c r="B297" s="3" t="s">
        <v>5236</v>
      </c>
      <c r="C297" s="3" t="s">
        <v>5237</v>
      </c>
      <c r="D297" s="3" t="s">
        <v>1660</v>
      </c>
      <c r="E297" s="3" t="s">
        <v>5238</v>
      </c>
      <c r="F297" s="3" t="s">
        <v>4260</v>
      </c>
      <c r="G297" s="3" t="s">
        <v>5239</v>
      </c>
      <c r="H297" t="str">
        <f t="shared" si="215"/>
        <v xml:space="preserve">Озерова Светлана Владимировна</v>
      </c>
      <c r="I297" s="5">
        <f>IFERROR(IF(ISNUMBER(FIND("-",C297)),DATE(VALUE(LEFT(C297,4)),VALUE(MID(C297,6,2)),VALUE(RIGHT(C297,2))),IF(ISNUMBER(FIND(".",C297)),DATE(VALUE(RIGHT(C297,4)),VALUE(MID(C297,4,2)),VALUE(LEFT(C297,2))),DATE(VALUE(RIGHT(C297,4)),VLOOKUP(TRIM(MID(C297,FIND(" ",C297)+1,LEN(C297)-FIND(" ",C297)-5)),Справочники!$M$3:$N$14,2,0),VALUE(LEFT(C297,FIND(" ",C297)-1))))),"")</f>
        <v>33252</v>
      </c>
      <c r="J297" s="6">
        <f t="shared" si="216"/>
        <v>35</v>
      </c>
      <c r="K297" t="str">
        <f t="shared" si="217"/>
        <v>ОК</v>
      </c>
      <c r="L297" s="5">
        <f>IFERROR(IF(ISNUMBER(FIND("-",G297)),DATE(VALUE(LEFT(G297,4)),VALUE(MID(G297,6,2)),VALUE(RIGHT(G297,2))),IF(ISNUMBER(FIND(".",G297)),DATE(VALUE(RIGHT(G297,4)),VALUE(MID(G297,4,2)),VALUE(LEFT(G297,2))),DATE(VALUE(RIGHT(G297,4)),VLOOKUP(TRIM(MID(G297,FIND(" ",G297)+1,LEN(G297)-FIND(" ",G297)-5)),Справочники!$M$3:$N$14,2,0),VALUE(LEFT(G297,FIND(" ",G297)-1))))),"")</f>
        <v>47557</v>
      </c>
      <c r="M297" t="str">
        <f t="shared" si="218"/>
        <v xml:space="preserve">+7 (903) 456-78-90</v>
      </c>
      <c r="N297" t="str">
        <f t="shared" si="219"/>
        <v>ozerova@yandex</v>
      </c>
      <c r="O297" t="str">
        <f t="shared" si="220"/>
        <v xml:space="preserve">Ошибка Email</v>
      </c>
      <c r="P297" t="str">
        <f>IFERROR(VLOOKUP(TRIM(SUBSTITUTE(SUBSTITUTE(" "&amp;F297," г "," "),"г.","")),Справочники!$J$3:$K$102,2,0),TRIM(SUBSTITUTE(SUBSTITUTE(" "&amp;F297," г "," "),"г.","")))</f>
        <v>Сочи</v>
      </c>
    </row>
    <row r="298">
      <c r="A298" s="3" t="s">
        <v>2614</v>
      </c>
      <c r="B298" s="3" t="s">
        <v>5240</v>
      </c>
      <c r="C298" s="3" t="s">
        <v>5241</v>
      </c>
      <c r="D298" s="3" t="s">
        <v>3984</v>
      </c>
      <c r="E298" s="3" t="s">
        <v>5242</v>
      </c>
      <c r="F298" s="3" t="s">
        <v>4265</v>
      </c>
      <c r="G298" s="3" t="s">
        <v>5243</v>
      </c>
      <c r="H298" t="str">
        <f t="shared" si="215"/>
        <v xml:space="preserve">Литвинова Ольга Николаевна</v>
      </c>
      <c r="I298" s="5">
        <f>IFERROR(IF(ISNUMBER(FIND("-",C298)),DATE(VALUE(LEFT(C298,4)),VALUE(MID(C298,6,2)),VALUE(RIGHT(C298,2))),IF(ISNUMBER(FIND(".",C298)),DATE(VALUE(RIGHT(C298,4)),VALUE(MID(C298,4,2)),VALUE(LEFT(C298,2))),DATE(VALUE(RIGHT(C298,4)),VLOOKUP(TRIM(MID(C298,FIND(" ",C298)+1,LEN(C298)-FIND(" ",C298)-5)),Справочники!$M$3:$N$14,2,0),VALUE(LEFT(C298,FIND(" ",C298)-1))))),"")</f>
        <v>26482</v>
      </c>
      <c r="J298" s="6">
        <f t="shared" si="216"/>
        <v>54</v>
      </c>
      <c r="K298" t="str">
        <f t="shared" si="217"/>
        <v>ОК</v>
      </c>
      <c r="L298" s="5">
        <f>IFERROR(IF(ISNUMBER(FIND("-",G298)),DATE(VALUE(LEFT(G298,4)),VALUE(MID(G298,6,2)),VALUE(RIGHT(G298,2))),IF(ISNUMBER(FIND(".",G298)),DATE(VALUE(RIGHT(G298,4)),VALUE(MID(G298,4,2)),VALUE(LEFT(G298,2))),DATE(VALUE(RIGHT(G298,4)),VLOOKUP(TRIM(MID(G298,FIND(" ",G298)+1,LEN(G298)-FIND(" ",G298)-5)),Справочники!$M$3:$N$14,2,0),VALUE(LEFT(G298,FIND(" ",G298)-1))))),"")</f>
        <v>47557</v>
      </c>
      <c r="M298" t="str">
        <f t="shared" si="218"/>
        <v xml:space="preserve">+7 (903) 567-89-01</v>
      </c>
      <c r="N298" t="str">
        <f t="shared" si="219"/>
        <v>litvinova@gmail</v>
      </c>
      <c r="O298" t="str">
        <f t="shared" si="220"/>
        <v xml:space="preserve">Ошибка Email</v>
      </c>
      <c r="P298" t="str">
        <f>IFERROR(VLOOKUP(TRIM(SUBSTITUTE(SUBSTITUTE(" "&amp;F298," г "," "),"г.","")),Справочники!$J$3:$K$102,2,0),TRIM(SUBSTITUTE(SUBSTITUTE(" "&amp;F298," г "," "),"г.","")))</f>
        <v>Симферополь</v>
      </c>
    </row>
    <row r="299">
      <c r="A299" s="3" t="s">
        <v>2615</v>
      </c>
      <c r="B299" s="3" t="s">
        <v>5244</v>
      </c>
      <c r="C299" s="3" t="s">
        <v>5245</v>
      </c>
      <c r="D299" s="3" t="s">
        <v>3990</v>
      </c>
      <c r="E299" s="3" t="s">
        <v>5246</v>
      </c>
      <c r="F299" s="3" t="s">
        <v>4270</v>
      </c>
      <c r="G299" s="3" t="s">
        <v>5247</v>
      </c>
      <c r="H299" t="str">
        <f t="shared" si="215"/>
        <v xml:space="preserve">Аксенов Илья Евгеньевич</v>
      </c>
      <c r="I299" s="5">
        <f>IFERROR(IF(ISNUMBER(FIND("-",C299)),DATE(VALUE(LEFT(C299,4)),VALUE(MID(C299,6,2)),VALUE(RIGHT(C299,2))),IF(ISNUMBER(FIND(".",C299)),DATE(VALUE(RIGHT(C299,4)),VALUE(MID(C299,4,2)),VALUE(LEFT(C299,2))),DATE(VALUE(RIGHT(C299,4)),VLOOKUP(TRIM(MID(C299,FIND(" ",C299)+1,LEN(C299)-FIND(" ",C299)-5)),Справочники!$M$3:$N$14,2,0),VALUE(LEFT(C299,FIND(" ",C299)-1))))),"")</f>
        <v>32505</v>
      </c>
      <c r="J299" s="6">
        <f t="shared" si="216"/>
        <v>37</v>
      </c>
      <c r="K299" t="str">
        <f t="shared" si="217"/>
        <v>ОК</v>
      </c>
      <c r="L299" s="5">
        <f>IFERROR(IF(ISNUMBER(FIND("-",G299)),DATE(VALUE(LEFT(G299,4)),VALUE(MID(G299,6,2)),VALUE(RIGHT(G299,2))),IF(ISNUMBER(FIND(".",G299)),DATE(VALUE(RIGHT(G299,4)),VALUE(MID(G299,4,2)),VALUE(LEFT(G299,2))),DATE(VALUE(RIGHT(G299,4)),VLOOKUP(TRIM(MID(G299,FIND(" ",G299)+1,LEN(G299)-FIND(" ",G299)-5)),Справочники!$M$3:$N$14,2,0),VALUE(LEFT(G299,FIND(" ",G299)-1))))),"")</f>
        <v>47574</v>
      </c>
      <c r="M299" t="str">
        <f t="shared" si="218"/>
        <v xml:space="preserve">+7 (903) 567-89-01</v>
      </c>
      <c r="N299" t="str">
        <f t="shared" si="219"/>
        <v>aksenov@mail</v>
      </c>
      <c r="O299" t="str">
        <f t="shared" si="220"/>
        <v xml:space="preserve">Ошибка Email</v>
      </c>
      <c r="P299" t="str">
        <f>IFERROR(VLOOKUP(TRIM(SUBSTITUTE(SUBSTITUTE(" "&amp;F299," г "," "),"г.","")),Справочники!$J$3:$K$102,2,0),TRIM(SUBSTITUTE(SUBSTITUTE(" "&amp;F299," г "," "),"г.","")))</f>
        <v>Брянск</v>
      </c>
    </row>
    <row r="300">
      <c r="A300" s="3" t="s">
        <v>2618</v>
      </c>
      <c r="B300" s="3" t="s">
        <v>5248</v>
      </c>
      <c r="C300" s="3" t="s">
        <v>5249</v>
      </c>
      <c r="D300" s="3" t="s">
        <v>1598</v>
      </c>
      <c r="E300" s="3" t="s">
        <v>5250</v>
      </c>
      <c r="F300" s="3" t="s">
        <v>4275</v>
      </c>
      <c r="G300" s="3" t="s">
        <v>5251</v>
      </c>
      <c r="H300" t="str">
        <f t="shared" si="215"/>
        <v xml:space="preserve">Сычев Андрей Александрович</v>
      </c>
      <c r="I300" s="5">
        <f>IFERROR(IF(ISNUMBER(FIND("-",C300)),DATE(VALUE(LEFT(C300,4)),VALUE(MID(C300,6,2)),VALUE(RIGHT(C300,2))),IF(ISNUMBER(FIND(".",C300)),DATE(VALUE(RIGHT(C300,4)),VALUE(MID(C300,4,2)),VALUE(LEFT(C300,2))),DATE(VALUE(RIGHT(C300,4)),VLOOKUP(TRIM(MID(C300,FIND(" ",C300)+1,LEN(C300)-FIND(" ",C300)-5)),Справочники!$M$3:$N$14,2,0),VALUE(LEFT(C300,FIND(" ",C300)-1))))),"")</f>
        <v>28962</v>
      </c>
      <c r="J300" s="6">
        <f t="shared" si="216"/>
        <v>47</v>
      </c>
      <c r="K300" t="str">
        <f t="shared" si="217"/>
        <v>ОК</v>
      </c>
      <c r="L300" s="5">
        <f>IFERROR(IF(ISNUMBER(FIND("-",G300)),DATE(VALUE(LEFT(G300,4)),VALUE(MID(G300,6,2)),VALUE(RIGHT(G300,2))),IF(ISNUMBER(FIND(".",G300)),DATE(VALUE(RIGHT(G300,4)),VALUE(MID(G300,4,2)),VALUE(LEFT(G300,2))),DATE(VALUE(RIGHT(G300,4)),VLOOKUP(TRIM(MID(G300,FIND(" ",G300)+1,LEN(G300)-FIND(" ",G300)-5)),Справочники!$M$3:$N$14,2,0),VALUE(LEFT(G300,FIND(" ",G300)-1))))),"")</f>
        <v>47583</v>
      </c>
      <c r="M300" t="str">
        <f t="shared" si="218"/>
        <v xml:space="preserve">+7 (903) 567-89-01</v>
      </c>
      <c r="N300" t="str">
        <f t="shared" si="219"/>
        <v>sychev@yandex</v>
      </c>
      <c r="O300" t="str">
        <f t="shared" si="220"/>
        <v xml:space="preserve">Ошибка Email</v>
      </c>
      <c r="P300" t="str">
        <f>IFERROR(VLOOKUP(TRIM(SUBSTITUTE(SUBSTITUTE(" "&amp;F300," г "," "),"г.","")),Справочники!$J$3:$K$102,2,0),TRIM(SUBSTITUTE(SUBSTITUTE(" "&amp;F300," г "," "),"г.","")))</f>
        <v>Абакан</v>
      </c>
    </row>
    <row r="301">
      <c r="A301" s="3" t="s">
        <v>2620</v>
      </c>
      <c r="B301" s="3" t="s">
        <v>5252</v>
      </c>
      <c r="C301" s="3" t="s">
        <v>5253</v>
      </c>
      <c r="D301" s="3" t="s">
        <v>4116</v>
      </c>
      <c r="E301" s="3" t="s">
        <v>5254</v>
      </c>
      <c r="F301" s="3" t="s">
        <v>4280</v>
      </c>
      <c r="G301" s="3" t="s">
        <v>5255</v>
      </c>
      <c r="H301" t="str">
        <f t="shared" si="215"/>
        <v xml:space="preserve">Пименова Татьяна Сергеевна</v>
      </c>
      <c r="I301" s="5">
        <f>IFERROR(IF(ISNUMBER(FIND("-",C301)),DATE(VALUE(LEFT(C301,4)),VALUE(MID(C301,6,2)),VALUE(RIGHT(C301,2))),IF(ISNUMBER(FIND(".",C301)),DATE(VALUE(RIGHT(C301,4)),VALUE(MID(C301,4,2)),VALUE(LEFT(C301,2))),DATE(VALUE(RIGHT(C301,4)),VLOOKUP(TRIM(MID(C301,FIND(" ",C301)+1,LEN(C301)-FIND(" ",C301)-5)),Справочники!$M$3:$N$14,2,0),VALUE(LEFT(C301,FIND(" ",C301)-1))))),"")</f>
        <v>31629</v>
      </c>
      <c r="J301" s="6">
        <f t="shared" si="216"/>
        <v>40</v>
      </c>
      <c r="K301" t="str">
        <f t="shared" si="217"/>
        <v>ОК</v>
      </c>
      <c r="L301" s="5">
        <f>IFERROR(IF(ISNUMBER(FIND("-",G301)),DATE(VALUE(LEFT(G301,4)),VALUE(MID(G301,6,2)),VALUE(RIGHT(G301,2))),IF(ISNUMBER(FIND(".",G301)),DATE(VALUE(RIGHT(G301,4)),VALUE(MID(G301,4,2)),VALUE(LEFT(G301,2))),DATE(VALUE(RIGHT(G301,4)),VLOOKUP(TRIM(MID(G301,FIND(" ",G301)+1,LEN(G301)-FIND(" ",G301)-5)),Справочники!$M$3:$N$14,2,0),VALUE(LEFT(G301,FIND(" ",G301)-1))))),"")</f>
        <v>47583</v>
      </c>
      <c r="M301" t="str">
        <f t="shared" si="218"/>
        <v xml:space="preserve">+7 (903) 678-90-12</v>
      </c>
      <c r="N301" t="str">
        <f t="shared" si="219"/>
        <v>pimenova@gmail</v>
      </c>
      <c r="O301" t="str">
        <f t="shared" si="220"/>
        <v xml:space="preserve">Ошибка Email</v>
      </c>
      <c r="P301" t="str">
        <f>IFERROR(VLOOKUP(TRIM(SUBSTITUTE(SUBSTITUTE(" "&amp;F301," г "," "),"г.","")),Справочники!$J$3:$K$102,2,0),TRIM(SUBSTITUTE(SUBSTITUTE(" "&amp;F301," г "," "),"г.","")))</f>
        <v>Грозный</v>
      </c>
    </row>
    <row r="302">
      <c r="A302" s="3" t="s">
        <v>2622</v>
      </c>
      <c r="B302" s="3" t="s">
        <v>5256</v>
      </c>
      <c r="C302" s="3" t="s">
        <v>5257</v>
      </c>
      <c r="D302" s="3" t="s">
        <v>4122</v>
      </c>
      <c r="E302" s="3" t="s">
        <v>5258</v>
      </c>
      <c r="F302" s="3" t="s">
        <v>4285</v>
      </c>
      <c r="G302" s="3" t="s">
        <v>5259</v>
      </c>
      <c r="H302" t="str">
        <f t="shared" si="215"/>
        <v xml:space="preserve">Блохин Денис Викторович</v>
      </c>
      <c r="I302" s="5">
        <f>IFERROR(IF(ISNUMBER(FIND("-",C302)),DATE(VALUE(LEFT(C302,4)),VALUE(MID(C302,6,2)),VALUE(RIGHT(C302,2))),IF(ISNUMBER(FIND(".",C302)),DATE(VALUE(RIGHT(C302,4)),VALUE(MID(C302,4,2)),VALUE(LEFT(C302,2))),DATE(VALUE(RIGHT(C302,4)),VLOOKUP(TRIM(MID(C302,FIND(" ",C302)+1,LEN(C302)-FIND(" ",C302)-5)),Справочники!$M$3:$N$14,2,0),VALUE(LEFT(C302,FIND(" ",C302)-1))))),"")</f>
        <v>27312</v>
      </c>
      <c r="J302" s="6">
        <f t="shared" si="216"/>
        <v>52</v>
      </c>
      <c r="K302" t="str">
        <f t="shared" si="217"/>
        <v>ОК</v>
      </c>
      <c r="L302" s="5">
        <f>IFERROR(IF(ISNUMBER(FIND("-",G302)),DATE(VALUE(LEFT(G302,4)),VALUE(MID(G302,6,2)),VALUE(RIGHT(G302,2))),IF(ISNUMBER(FIND(".",G302)),DATE(VALUE(RIGHT(G302,4)),VALUE(MID(G302,4,2)),VALUE(LEFT(G302,2))),DATE(VALUE(RIGHT(G302,4)),VLOOKUP(TRIM(MID(G302,FIND(" ",G302)+1,LEN(G302)-FIND(" ",G302)-5)),Справочники!$M$3:$N$14,2,0),VALUE(LEFT(G302,FIND(" ",G302)-1))))),"")</f>
        <v>47604</v>
      </c>
      <c r="M302" t="str">
        <f t="shared" si="218"/>
        <v xml:space="preserve">+7 (903) 678-90-12</v>
      </c>
      <c r="N302" t="str">
        <f t="shared" si="219"/>
        <v>blohin@mail</v>
      </c>
      <c r="O302" t="str">
        <f t="shared" si="220"/>
        <v xml:space="preserve">Ошибка Email</v>
      </c>
      <c r="P302" t="str">
        <f>IFERROR(VLOOKUP(TRIM(SUBSTITUTE(SUBSTITUTE(" "&amp;F302," г "," "),"г.","")),Справочники!$J$3:$K$102,2,0),TRIM(SUBSTITUTE(SUBSTITUTE(" "&amp;F302," г "," "),"г.","")))</f>
        <v>Бийск</v>
      </c>
    </row>
    <row r="303">
      <c r="A303" s="3" t="s">
        <v>2624</v>
      </c>
      <c r="B303" s="3" t="s">
        <v>5260</v>
      </c>
      <c r="C303" s="3" t="s">
        <v>5261</v>
      </c>
      <c r="D303" s="3" t="s">
        <v>1605</v>
      </c>
      <c r="E303" s="3" t="s">
        <v>5262</v>
      </c>
      <c r="F303" s="3" t="s">
        <v>4290</v>
      </c>
      <c r="G303" s="3" t="s">
        <v>5263</v>
      </c>
      <c r="H303" t="str">
        <f t="shared" si="215"/>
        <v xml:space="preserve">Майорова Мария Павловна</v>
      </c>
      <c r="I303" s="5">
        <f>IFERROR(IF(ISNUMBER(FIND("-",C303)),DATE(VALUE(LEFT(C303,4)),VALUE(MID(C303,6,2)),VALUE(RIGHT(C303,2))),IF(ISNUMBER(FIND(".",C303)),DATE(VALUE(RIGHT(C303,4)),VALUE(MID(C303,4,2)),VALUE(LEFT(C303,2))),DATE(VALUE(RIGHT(C303,4)),VLOOKUP(TRIM(MID(C303,FIND(" ",C303)+1,LEN(C303)-FIND(" ",C303)-5)),Справочники!$M$3:$N$14,2,0),VALUE(LEFT(C303,FIND(" ",C303)-1))))),"")</f>
        <v>30125</v>
      </c>
      <c r="J303" s="6">
        <f t="shared" si="216"/>
        <v>44</v>
      </c>
      <c r="K303" t="str">
        <f t="shared" si="217"/>
        <v>ОК</v>
      </c>
      <c r="L303" s="5">
        <f>IFERROR(IF(ISNUMBER(FIND("-",G303)),DATE(VALUE(LEFT(G303,4)),VALUE(MID(G303,6,2)),VALUE(RIGHT(G303,2))),IF(ISNUMBER(FIND(".",G303)),DATE(VALUE(RIGHT(G303,4)),VALUE(MID(G303,4,2)),VALUE(LEFT(G303,2))),DATE(VALUE(RIGHT(G303,4)),VLOOKUP(TRIM(MID(G303,FIND(" ",G303)+1,LEN(G303)-FIND(" ",G303)-5)),Справочники!$M$3:$N$14,2,0),VALUE(LEFT(G303,FIND(" ",G303)-1))))),"")</f>
        <v>47618</v>
      </c>
      <c r="M303" t="str">
        <f t="shared" si="218"/>
        <v xml:space="preserve">+7 (903) 678-90-12</v>
      </c>
      <c r="N303" t="str">
        <f t="shared" si="219"/>
        <v>mayorova@yandex</v>
      </c>
      <c r="O303" t="str">
        <f t="shared" si="220"/>
        <v xml:space="preserve">Ошибка Email</v>
      </c>
      <c r="P303" t="str">
        <f>IFERROR(VLOOKUP(TRIM(SUBSTITUTE(SUBSTITUTE(" "&amp;F303," г "," "),"г.","")),Справочники!$J$3:$K$102,2,0),TRIM(SUBSTITUTE(SUBSTITUTE(" "&amp;F303," г "," "),"г.","")))</f>
        <v>Йошкар-Ола</v>
      </c>
    </row>
    <row r="304">
      <c r="A304" s="3" t="s">
        <v>2627</v>
      </c>
      <c r="B304" s="3" t="s">
        <v>5264</v>
      </c>
      <c r="C304" s="3" t="s">
        <v>5265</v>
      </c>
      <c r="D304" s="3" t="s">
        <v>4001</v>
      </c>
      <c r="E304" s="3" t="s">
        <v>5266</v>
      </c>
      <c r="F304" s="3" t="s">
        <v>4295</v>
      </c>
      <c r="G304" s="3" t="s">
        <v>5267</v>
      </c>
      <c r="H304" t="str">
        <f t="shared" si="215"/>
        <v xml:space="preserve">Кравчук Алексей Олегович</v>
      </c>
      <c r="I304" s="5">
        <f>IFERROR(IF(ISNUMBER(FIND("-",C304)),DATE(VALUE(LEFT(C304,4)),VALUE(MID(C304,6,2)),VALUE(RIGHT(C304,2))),IF(ISNUMBER(FIND(".",C304)),DATE(VALUE(RIGHT(C304,4)),VALUE(MID(C304,4,2)),VALUE(LEFT(C304,2))),DATE(VALUE(RIGHT(C304,4)),VLOOKUP(TRIM(MID(C304,FIND(" ",C304)+1,LEN(C304)-FIND(" ",C304)-5)),Справочники!$M$3:$N$14,2,0),VALUE(LEFT(C304,FIND(" ",C304)-1))))),"")</f>
        <v>32906</v>
      </c>
      <c r="J304" s="6">
        <f t="shared" si="216"/>
        <v>36</v>
      </c>
      <c r="K304" t="str">
        <f t="shared" si="217"/>
        <v>ОК</v>
      </c>
      <c r="L304" s="5">
        <f>IFERROR(IF(ISNUMBER(FIND("-",G304)),DATE(VALUE(LEFT(G304,4)),VALUE(MID(G304,6,2)),VALUE(RIGHT(G304,2))),IF(ISNUMBER(FIND(".",G304)),DATE(VALUE(RIGHT(G304,4)),VALUE(MID(G304,4,2)),VALUE(LEFT(G304,2))),DATE(VALUE(RIGHT(G304,4)),VLOOKUP(TRIM(MID(G304,FIND(" ",G304)+1,LEN(G304)-FIND(" ",G304)-5)),Справочники!$M$3:$N$14,2,0),VALUE(LEFT(G304,FIND(" ",G304)-1))))),"")</f>
        <v>47618</v>
      </c>
      <c r="M304" t="str">
        <f t="shared" si="218"/>
        <v xml:space="preserve">+7 (903) 789-01-23</v>
      </c>
      <c r="N304" t="str">
        <f t="shared" si="219"/>
        <v>kravchuk@gmail</v>
      </c>
      <c r="O304" t="str">
        <f t="shared" si="220"/>
        <v xml:space="preserve">Ошибка Email</v>
      </c>
      <c r="P304" t="str">
        <f>IFERROR(VLOOKUP(TRIM(SUBSTITUTE(SUBSTITUTE(" "&amp;F304," г "," "),"г.","")),Справочники!$J$3:$K$102,2,0),TRIM(SUBSTITUTE(SUBSTITUTE(" "&amp;F304," г "," "),"г.","")))</f>
        <v>Курган</v>
      </c>
    </row>
    <row r="305">
      <c r="A305" s="3" t="s">
        <v>2629</v>
      </c>
      <c r="B305" s="3" t="s">
        <v>5268</v>
      </c>
      <c r="C305" s="3" t="s">
        <v>5269</v>
      </c>
      <c r="D305" s="3" t="s">
        <v>4138</v>
      </c>
      <c r="E305" s="3" t="s">
        <v>5270</v>
      </c>
      <c r="F305" s="3" t="s">
        <v>4300</v>
      </c>
      <c r="G305" s="3" t="s">
        <v>5271</v>
      </c>
      <c r="H305" t="str">
        <f t="shared" si="215"/>
        <v xml:space="preserve">Черкасова Наталья Игоревна</v>
      </c>
      <c r="I305" s="5">
        <f>IFERROR(IF(ISNUMBER(FIND("-",C305)),DATE(VALUE(LEFT(C305,4)),VALUE(MID(C305,6,2)),VALUE(RIGHT(C305,2))),IF(ISNUMBER(FIND(".",C305)),DATE(VALUE(RIGHT(C305,4)),VALUE(MID(C305,4,2)),VALUE(LEFT(C305,2))),DATE(VALUE(RIGHT(C305,4)),VLOOKUP(TRIM(MID(C305,FIND(" ",C305)+1,LEN(C305)-FIND(" ",C305)-5)),Справочники!$M$3:$N$14,2,0),VALUE(LEFT(C305,FIND(" ",C305)-1))))),"")</f>
        <v>28083</v>
      </c>
      <c r="J305" s="6">
        <f t="shared" si="216"/>
        <v>49</v>
      </c>
      <c r="K305" t="str">
        <f t="shared" si="217"/>
        <v>ОК</v>
      </c>
      <c r="L305" s="5">
        <f>IFERROR(IF(ISNUMBER(FIND("-",G305)),DATE(VALUE(LEFT(G305,4)),VALUE(MID(G305,6,2)),VALUE(RIGHT(G305,2))),IF(ISNUMBER(FIND(".",G305)),DATE(VALUE(RIGHT(G305,4)),VALUE(MID(G305,4,2)),VALUE(LEFT(G305,2))),DATE(VALUE(RIGHT(G305,4)),VLOOKUP(TRIM(MID(G305,FIND(" ",G305)+1,LEN(G305)-FIND(" ",G305)-5)),Справочники!$M$3:$N$14,2,0),VALUE(LEFT(G305,FIND(" ",G305)-1))))),"")</f>
        <v>47635</v>
      </c>
      <c r="M305" t="str">
        <f t="shared" si="218"/>
        <v xml:space="preserve">+7 (903) 789-01-23</v>
      </c>
      <c r="N305" t="str">
        <f t="shared" si="219"/>
        <v>cherkasova@mail</v>
      </c>
      <c r="O305" t="str">
        <f t="shared" si="220"/>
        <v xml:space="preserve">Ошибка Email</v>
      </c>
      <c r="P305" t="str">
        <f>IFERROR(VLOOKUP(TRIM(SUBSTITUTE(SUBSTITUTE(" "&amp;F305," г "," "),"г.","")),Справочники!$J$3:$K$102,2,0),TRIM(SUBSTITUTE(SUBSTITUTE(" "&amp;F305," г "," "),"г.","")))</f>
        <v>Архангельск</v>
      </c>
    </row>
    <row r="306">
      <c r="A306" s="3" t="s">
        <v>2632</v>
      </c>
      <c r="B306" s="3" t="s">
        <v>5272</v>
      </c>
      <c r="C306" s="3" t="s">
        <v>5273</v>
      </c>
      <c r="D306" s="3" t="s">
        <v>4144</v>
      </c>
      <c r="E306" s="3" t="s">
        <v>5274</v>
      </c>
      <c r="F306" s="3" t="s">
        <v>4305</v>
      </c>
      <c r="G306" s="3" t="s">
        <v>5275</v>
      </c>
      <c r="H306" t="str">
        <f t="shared" si="215"/>
        <v xml:space="preserve">Шаповалов Андрей Николаевич</v>
      </c>
      <c r="I306" s="5">
        <f>IFERROR(IF(ISNUMBER(FIND("-",C306)),DATE(VALUE(LEFT(C306,4)),VALUE(MID(C306,6,2)),VALUE(RIGHT(C306,2))),IF(ISNUMBER(FIND(".",C306)),DATE(VALUE(RIGHT(C306,4)),VALUE(MID(C306,4,2)),VALUE(LEFT(C306,2))),DATE(VALUE(RIGHT(C306,4)),VLOOKUP(TRIM(MID(C306,FIND(" ",C306)+1,LEN(C306)-FIND(" ",C306)-5)),Справочники!$M$3:$N$14,2,0),VALUE(LEFT(C306,FIND(" ",C306)-1))))),"")</f>
        <v>31306</v>
      </c>
      <c r="J306" s="6">
        <f t="shared" si="216"/>
        <v>41</v>
      </c>
      <c r="K306" t="str">
        <f t="shared" si="217"/>
        <v>ОК</v>
      </c>
      <c r="L306" s="5">
        <f>IFERROR(IF(ISNUMBER(FIND("-",G306)),DATE(VALUE(LEFT(G306,4)),VALUE(MID(G306,6,2)),VALUE(RIGHT(G306,2))),IF(ISNUMBER(FIND(".",G306)),DATE(VALUE(RIGHT(G306,4)),VALUE(MID(G306,4,2)),VALUE(LEFT(G306,2))),DATE(VALUE(RIGHT(G306,4)),VLOOKUP(TRIM(MID(G306,FIND(" ",G306)+1,LEN(G306)-FIND(" ",G306)-5)),Справочники!$M$3:$N$14,2,0),VALUE(LEFT(G306,FIND(" ",G306)-1))))),"")</f>
        <v>47644</v>
      </c>
      <c r="M306" t="str">
        <f t="shared" si="218"/>
        <v xml:space="preserve">+7 (903) 789-01-23</v>
      </c>
      <c r="N306" t="str">
        <f t="shared" si="219"/>
        <v>shapovalov@yandex</v>
      </c>
      <c r="O306" t="str">
        <f t="shared" si="220"/>
        <v xml:space="preserve">Ошибка Email</v>
      </c>
      <c r="P306" t="str">
        <f>IFERROR(VLOOKUP(TRIM(SUBSTITUTE(SUBSTITUTE(" "&amp;F306," г "," "),"г.","")),Справочники!$J$3:$K$102,2,0),TRIM(SUBSTITUTE(SUBSTITUTE(" "&amp;F306," г "," "),"г.","")))</f>
        <v>Благовещенск</v>
      </c>
    </row>
    <row r="307">
      <c r="A307" s="3" t="s">
        <v>2634</v>
      </c>
      <c r="B307" s="3" t="s">
        <v>5276</v>
      </c>
      <c r="C307" s="3" t="s">
        <v>5277</v>
      </c>
      <c r="D307" s="3" t="s">
        <v>4150</v>
      </c>
      <c r="E307" s="3" t="s">
        <v>5278</v>
      </c>
      <c r="F307" s="3" t="s">
        <v>4310</v>
      </c>
      <c r="G307" s="3" t="s">
        <v>5279</v>
      </c>
      <c r="H307" t="str">
        <f t="shared" si="215"/>
        <v xml:space="preserve">Козырева Елена Станиславовна</v>
      </c>
      <c r="I307" s="5">
        <f>IFERROR(IF(ISNUMBER(FIND("-",C307)),DATE(VALUE(LEFT(C307,4)),VALUE(MID(C307,6,2)),VALUE(RIGHT(C307,2))),IF(ISNUMBER(FIND(".",C307)),DATE(VALUE(RIGHT(C307,4)),VALUE(MID(C307,4,2)),VALUE(LEFT(C307,2))),DATE(VALUE(RIGHT(C307,4)),VLOOKUP(TRIM(MID(C307,FIND(" ",C307)+1,LEN(C307)-FIND(" ",C307)-5)),Справочники!$M$3:$N$14,2,0),VALUE(LEFT(C307,FIND(" ",C307)-1))))),"")</f>
        <v>29737</v>
      </c>
      <c r="J307" s="6">
        <f t="shared" si="216"/>
        <v>45</v>
      </c>
      <c r="K307" t="str">
        <f t="shared" si="217"/>
        <v>ОК</v>
      </c>
      <c r="L307" s="5">
        <f>IFERROR(IF(ISNUMBER(FIND("-",G307)),DATE(VALUE(LEFT(G307,4)),VALUE(MID(G307,6,2)),VALUE(RIGHT(G307,2))),IF(ISNUMBER(FIND(".",G307)),DATE(VALUE(RIGHT(G307,4)),VALUE(MID(G307,4,2)),VALUE(LEFT(G307,2))),DATE(VALUE(RIGHT(G307,4)),VLOOKUP(TRIM(MID(G307,FIND(" ",G307)+1,LEN(G307)-FIND(" ",G307)-5)),Справочники!$M$3:$N$14,2,0),VALUE(LEFT(G307,FIND(" ",G307)-1))))),"")</f>
        <v>47644</v>
      </c>
      <c r="M307" t="str">
        <f t="shared" si="218"/>
        <v xml:space="preserve">+7 (903) 890-12-34</v>
      </c>
      <c r="N307" t="str">
        <f t="shared" si="219"/>
        <v>kozyreva@gmail</v>
      </c>
      <c r="O307" t="str">
        <f t="shared" si="220"/>
        <v xml:space="preserve">Ошибка Email</v>
      </c>
      <c r="P307" t="str">
        <f>IFERROR(VLOOKUP(TRIM(SUBSTITUTE(SUBSTITUTE(" "&amp;F307," г "," "),"г.","")),Справочники!$J$3:$K$102,2,0),TRIM(SUBSTITUTE(SUBSTITUTE(" "&amp;F307," г "," "),"г.","")))</f>
        <v>Майкоп</v>
      </c>
    </row>
    <row r="308">
      <c r="A308" s="3" t="s">
        <v>2637</v>
      </c>
      <c r="B308" s="3" t="s">
        <v>5280</v>
      </c>
      <c r="C308" s="3" t="s">
        <v>5281</v>
      </c>
      <c r="D308" s="3" t="s">
        <v>4007</v>
      </c>
      <c r="E308" s="3" t="s">
        <v>5282</v>
      </c>
      <c r="F308" s="3" t="s">
        <v>4315</v>
      </c>
      <c r="G308" s="3" t="s">
        <v>5283</v>
      </c>
      <c r="H308" t="str">
        <f t="shared" si="215"/>
        <v xml:space="preserve">Сысоев Игорь Викторович</v>
      </c>
      <c r="I308" s="5">
        <f>IFERROR(IF(ISNUMBER(FIND("-",C308)),DATE(VALUE(LEFT(C308,4)),VALUE(MID(C308,6,2)),VALUE(RIGHT(C308,2))),IF(ISNUMBER(FIND(".",C308)),DATE(VALUE(RIGHT(C308,4)),VALUE(MID(C308,4,2)),VALUE(LEFT(C308,2))),DATE(VALUE(RIGHT(C308,4)),VLOOKUP(TRIM(MID(C308,FIND(" ",C308)+1,LEN(C308)-FIND(" ",C308)-5)),Справочники!$M$3:$N$14,2,0),VALUE(LEFT(C308,FIND(" ",C308)-1))))),"")</f>
        <v>27010</v>
      </c>
      <c r="J308" s="6">
        <f t="shared" si="216"/>
        <v>52</v>
      </c>
      <c r="K308" t="str">
        <f t="shared" si="217"/>
        <v>ОК</v>
      </c>
      <c r="L308" s="5">
        <f>IFERROR(IF(ISNUMBER(FIND("-",G308)),DATE(VALUE(LEFT(G308,4)),VALUE(MID(G308,6,2)),VALUE(RIGHT(G308,2))),IF(ISNUMBER(FIND(".",G308)),DATE(VALUE(RIGHT(G308,4)),VALUE(MID(G308,4,2)),VALUE(LEFT(G308,2))),DATE(VALUE(RIGHT(G308,4)),VLOOKUP(TRIM(MID(G308,FIND(" ",G308)+1,LEN(G308)-FIND(" ",G308)-5)),Справочники!$M$3:$N$14,2,0),VALUE(LEFT(G308,FIND(" ",G308)-1))))),"")</f>
        <v>47665</v>
      </c>
      <c r="M308" t="str">
        <f t="shared" si="218"/>
        <v xml:space="preserve">+7 (903) 890-12-34</v>
      </c>
      <c r="N308" t="str">
        <f t="shared" si="219"/>
        <v>sysoev@mail</v>
      </c>
      <c r="O308" t="str">
        <f t="shared" si="220"/>
        <v xml:space="preserve">Ошибка Email</v>
      </c>
      <c r="P308" t="str">
        <f>IFERROR(VLOOKUP(TRIM(SUBSTITUTE(SUBSTITUTE(" "&amp;F308," г "," "),"г.","")),Справочники!$J$3:$K$102,2,0),TRIM(SUBSTITUTE(SUBSTITUTE(" "&amp;F308," г "," "),"г.","")))</f>
        <v>Уссурийск</v>
      </c>
    </row>
    <row r="309">
      <c r="A309" s="3" t="s">
        <v>2638</v>
      </c>
      <c r="B309" s="3" t="s">
        <v>5284</v>
      </c>
      <c r="C309" s="3" t="s">
        <v>5285</v>
      </c>
      <c r="D309" s="3" t="s">
        <v>1619</v>
      </c>
      <c r="E309" s="3" t="s">
        <v>5286</v>
      </c>
      <c r="F309" s="3" t="s">
        <v>4320</v>
      </c>
      <c r="G309" s="3" t="s">
        <v>5287</v>
      </c>
      <c r="H309" t="str">
        <f t="shared" si="215"/>
        <v xml:space="preserve">Орешкин Олег Сергеевич</v>
      </c>
      <c r="I309" s="5">
        <f>IFERROR(IF(ISNUMBER(FIND("-",C309)),DATE(VALUE(LEFT(C309,4)),VALUE(MID(C309,6,2)),VALUE(RIGHT(C309,2))),IF(ISNUMBER(FIND(".",C309)),DATE(VALUE(RIGHT(C309,4)),VALUE(MID(C309,4,2)),VALUE(LEFT(C309,2))),DATE(VALUE(RIGHT(C309,4)),VLOOKUP(TRIM(MID(C309,FIND(" ",C309)+1,LEN(C309)-FIND(" ",C309)-5)),Справочники!$M$3:$N$14,2,0),VALUE(LEFT(C309,FIND(" ",C309)-1))))),"")</f>
        <v>32209</v>
      </c>
      <c r="J309" s="6">
        <f t="shared" si="216"/>
        <v>38</v>
      </c>
      <c r="K309" t="str">
        <f t="shared" si="217"/>
        <v>ОК</v>
      </c>
      <c r="L309" s="5">
        <f>IFERROR(IF(ISNUMBER(FIND("-",G309)),DATE(VALUE(LEFT(G309,4)),VALUE(MID(G309,6,2)),VALUE(RIGHT(G309,2))),IF(ISNUMBER(FIND(".",G309)),DATE(VALUE(RIGHT(G309,4)),VALUE(MID(G309,4,2)),VALUE(LEFT(G309,2))),DATE(VALUE(RIGHT(G309,4)),VLOOKUP(TRIM(MID(G309,FIND(" ",G309)+1,LEN(G309)-FIND(" ",G309)-5)),Справочники!$M$3:$N$14,2,0),VALUE(LEFT(G309,FIND(" ",G309)-1))))),"")</f>
        <v>47679</v>
      </c>
      <c r="M309" t="str">
        <f t="shared" si="218"/>
        <v xml:space="preserve">+7 (903) 890-12-34</v>
      </c>
      <c r="N309" t="str">
        <f t="shared" si="219"/>
        <v>oreshkin@yandex</v>
      </c>
      <c r="O309" t="str">
        <f t="shared" si="220"/>
        <v xml:space="preserve">Ошибка Email</v>
      </c>
      <c r="P309" t="str">
        <f>IFERROR(VLOOKUP(TRIM(SUBSTITUTE(SUBSTITUTE(" "&amp;F309," г "," "),"г.","")),Справочники!$J$3:$K$102,2,0),TRIM(SUBSTITUTE(SUBSTITUTE(" "&amp;F309," г "," "),"г.","")))</f>
        <v>Миасс</v>
      </c>
    </row>
    <row r="310">
      <c r="A310" s="3" t="s">
        <v>2641</v>
      </c>
      <c r="B310" s="3" t="s">
        <v>5288</v>
      </c>
      <c r="C310" s="3" t="s">
        <v>5289</v>
      </c>
      <c r="D310" s="3" t="s">
        <v>4018</v>
      </c>
      <c r="E310" s="3" t="s">
        <v>5290</v>
      </c>
      <c r="F310" s="3" t="s">
        <v>4325</v>
      </c>
      <c r="G310" s="3" t="s">
        <v>5291</v>
      </c>
      <c r="H310" t="str">
        <f t="shared" si="215"/>
        <v xml:space="preserve">Котлярова Ольга Валерьевна</v>
      </c>
      <c r="I310" s="5">
        <f>IFERROR(IF(ISNUMBER(FIND("-",C310)),DATE(VALUE(LEFT(C310,4)),VALUE(MID(C310,6,2)),VALUE(RIGHT(C310,2))),IF(ISNUMBER(FIND(".",C310)),DATE(VALUE(RIGHT(C310,4)),VALUE(MID(C310,4,2)),VALUE(LEFT(C310,2))),DATE(VALUE(RIGHT(C310,4)),VLOOKUP(TRIM(MID(C310,FIND(" ",C310)+1,LEN(C310)-FIND(" ",C310)-5)),Справочники!$M$3:$N$14,2,0),VALUE(LEFT(C310,FIND(" ",C310)-1))))),"")</f>
        <v>33840</v>
      </c>
      <c r="J310" s="6">
        <f t="shared" si="216"/>
        <v>34</v>
      </c>
      <c r="K310" t="str">
        <f t="shared" si="217"/>
        <v>ОК</v>
      </c>
      <c r="L310" s="5">
        <f>IFERROR(IF(ISNUMBER(FIND("-",G310)),DATE(VALUE(LEFT(G310,4)),VALUE(MID(G310,6,2)),VALUE(RIGHT(G310,2))),IF(ISNUMBER(FIND(".",G310)),DATE(VALUE(RIGHT(G310,4)),VALUE(MID(G310,4,2)),VALUE(LEFT(G310,2))),DATE(VALUE(RIGHT(G310,4)),VLOOKUP(TRIM(MID(G310,FIND(" ",G310)+1,LEN(G310)-FIND(" ",G310)-5)),Справочники!$M$3:$N$14,2,0),VALUE(LEFT(G310,FIND(" ",G310)-1))))),"")</f>
        <v>47679</v>
      </c>
      <c r="M310" t="str">
        <f t="shared" si="218"/>
        <v xml:space="preserve">+7 (903) 901-23-45</v>
      </c>
      <c r="N310" t="str">
        <f t="shared" si="219"/>
        <v>kotlyarova@gmail</v>
      </c>
      <c r="O310" t="str">
        <f t="shared" si="220"/>
        <v xml:space="preserve">Ошибка Email</v>
      </c>
      <c r="P310" t="str">
        <f>IFERROR(VLOOKUP(TRIM(SUBSTITUTE(SUBSTITUTE(" "&amp;F310," г "," "),"г.","")),Справочники!$J$3:$K$102,2,0),TRIM(SUBSTITUTE(SUBSTITUTE(" "&amp;F310," г "," "),"г.","")))</f>
        <v>Кызыл</v>
      </c>
    </row>
    <row r="311">
      <c r="A311" s="3" t="s">
        <v>2642</v>
      </c>
      <c r="B311" s="3" t="s">
        <v>5292</v>
      </c>
      <c r="C311" s="3" t="s">
        <v>5161</v>
      </c>
      <c r="D311" s="3" t="s">
        <v>1626</v>
      </c>
      <c r="E311" s="3" t="s">
        <v>5293</v>
      </c>
      <c r="F311" s="3" t="s">
        <v>4330</v>
      </c>
      <c r="G311" s="3" t="s">
        <v>5294</v>
      </c>
      <c r="H311" t="str">
        <f t="shared" si="215"/>
        <v xml:space="preserve">Неклюдов Александр Петрович</v>
      </c>
      <c r="I311" s="5">
        <f>IFERROR(IF(ISNUMBER(FIND("-",C311)),DATE(VALUE(LEFT(C311,4)),VALUE(MID(C311,6,2)),VALUE(RIGHT(C311,2))),IF(ISNUMBER(FIND(".",C311)),DATE(VALUE(RIGHT(C311,4)),VALUE(MID(C311,4,2)),VALUE(LEFT(C311,2))),DATE(VALUE(RIGHT(C311,4)),VLOOKUP(TRIM(MID(C311,FIND(" ",C311)+1,LEN(C311)-FIND(" ",C311)-5)),Справочники!$M$3:$N$14,2,0),VALUE(LEFT(C311,FIND(" ",C311)-1))))),"")</f>
        <v>27682</v>
      </c>
      <c r="J311" s="6">
        <f t="shared" si="216"/>
        <v>51</v>
      </c>
      <c r="K311" t="str">
        <f t="shared" si="217"/>
        <v>ОК</v>
      </c>
      <c r="L311" s="5">
        <f>IFERROR(IF(ISNUMBER(FIND("-",G311)),DATE(VALUE(LEFT(G311,4)),VALUE(MID(G311,6,2)),VALUE(RIGHT(G311,2))),IF(ISNUMBER(FIND(".",G311)),DATE(VALUE(RIGHT(G311,4)),VALUE(MID(G311,4,2)),VALUE(LEFT(G311,2))),DATE(VALUE(RIGHT(G311,4)),VLOOKUP(TRIM(MID(G311,FIND(" ",G311)+1,LEN(G311)-FIND(" ",G311)-5)),Справочники!$M$3:$N$14,2,0),VALUE(LEFT(G311,FIND(" ",G311)-1))))),"")</f>
        <v>47696</v>
      </c>
      <c r="M311" t="str">
        <f t="shared" si="218"/>
        <v xml:space="preserve">+7 (903) 901-23-45</v>
      </c>
      <c r="N311" t="str">
        <f t="shared" si="219"/>
        <v>neklyudov@mail</v>
      </c>
      <c r="O311" t="str">
        <f t="shared" si="220"/>
        <v xml:space="preserve">Ошибка Email</v>
      </c>
      <c r="P311" t="str">
        <f>IFERROR(VLOOKUP(TRIM(SUBSTITUTE(SUBSTITUTE(" "&amp;F311," г "," "),"г.","")),Справочники!$J$3:$K$102,2,0),TRIM(SUBSTITUTE(SUBSTITUTE(" "&amp;F311," г "," "),"г.","")))</f>
        <v>Калининград</v>
      </c>
    </row>
    <row r="312">
      <c r="A312" s="3" t="s">
        <v>2645</v>
      </c>
      <c r="B312" s="3" t="s">
        <v>5295</v>
      </c>
      <c r="C312" s="3" t="s">
        <v>5296</v>
      </c>
      <c r="D312" s="3" t="s">
        <v>4176</v>
      </c>
      <c r="E312" s="3" t="s">
        <v>5297</v>
      </c>
      <c r="F312" s="3" t="s">
        <v>4335</v>
      </c>
      <c r="G312" s="3" t="s">
        <v>5298</v>
      </c>
      <c r="H312" t="str">
        <f t="shared" si="215"/>
        <v xml:space="preserve">Савченко Екатерина Алексеевна</v>
      </c>
      <c r="I312" s="5">
        <f>IFERROR(IF(ISNUMBER(FIND("-",C312)),DATE(VALUE(LEFT(C312,4)),VALUE(MID(C312,6,2)),VALUE(RIGHT(C312,2))),IF(ISNUMBER(FIND(".",C312)),DATE(VALUE(RIGHT(C312,4)),VALUE(MID(C312,4,2)),VALUE(LEFT(C312,2))),DATE(VALUE(RIGHT(C312,4)),VLOOKUP(TRIM(MID(C312,FIND(" ",C312)+1,LEN(C312)-FIND(" ",C312)-5)),Справочники!$M$3:$N$14,2,0),VALUE(LEFT(C312,FIND(" ",C312)-1))))),"")</f>
        <v>31894</v>
      </c>
      <c r="J312" s="6">
        <f t="shared" si="216"/>
        <v>39</v>
      </c>
      <c r="K312" t="str">
        <f t="shared" si="217"/>
        <v>ОК</v>
      </c>
      <c r="L312" s="5">
        <f>IFERROR(IF(ISNUMBER(FIND("-",G312)),DATE(VALUE(LEFT(G312,4)),VALUE(MID(G312,6,2)),VALUE(RIGHT(G312,2))),IF(ISNUMBER(FIND(".",G312)),DATE(VALUE(RIGHT(G312,4)),VALUE(MID(G312,4,2)),VALUE(LEFT(G312,2))),DATE(VALUE(RIGHT(G312,4)),VLOOKUP(TRIM(MID(G312,FIND(" ",G312)+1,LEN(G312)-FIND(" ",G312)-5)),Справочники!$M$3:$N$14,2,0),VALUE(LEFT(G312,FIND(" ",G312)-1))))),"")</f>
        <v>47705</v>
      </c>
      <c r="M312" t="str">
        <f t="shared" si="218"/>
        <v xml:space="preserve">+7 (903) 901-23-45</v>
      </c>
      <c r="N312" t="str">
        <f t="shared" si="219"/>
        <v>savchenko@yandex</v>
      </c>
      <c r="O312" t="str">
        <f t="shared" si="220"/>
        <v xml:space="preserve">Ошибка Email</v>
      </c>
      <c r="P312" t="str">
        <f>IFERROR(VLOOKUP(TRIM(SUBSTITUTE(SUBSTITUTE(" "&amp;F312," г "," "),"г.","")),Справочники!$J$3:$K$102,2,0),TRIM(SUBSTITUTE(SUBSTITUTE(" "&amp;F312," г "," "),"г.","")))</f>
        <v>Петрозаводск</v>
      </c>
    </row>
    <row r="313">
      <c r="A313" s="3" t="s">
        <v>2647</v>
      </c>
      <c r="B313" s="3" t="s">
        <v>5299</v>
      </c>
      <c r="C313" s="3" t="s">
        <v>4771</v>
      </c>
      <c r="D313" s="3" t="s">
        <v>4182</v>
      </c>
      <c r="E313" s="3" t="s">
        <v>5300</v>
      </c>
      <c r="F313" s="3" t="s">
        <v>4340</v>
      </c>
      <c r="G313" s="3" t="s">
        <v>5301</v>
      </c>
      <c r="H313" t="str">
        <f t="shared" si="215"/>
        <v xml:space="preserve">Колесник Илья Дмитриевич</v>
      </c>
      <c r="I313" s="5">
        <f>IFERROR(IF(ISNUMBER(FIND("-",C313)),DATE(VALUE(LEFT(C313,4)),VALUE(MID(C313,6,2)),VALUE(RIGHT(C313,2))),IF(ISNUMBER(FIND(".",C313)),DATE(VALUE(RIGHT(C313,4)),VALUE(MID(C313,4,2)),VALUE(LEFT(C313,2))),DATE(VALUE(RIGHT(C313,4)),VLOOKUP(TRIM(MID(C313,FIND(" ",C313)+1,LEN(C313)-FIND(" ",C313)-5)),Справочники!$M$3:$N$14,2,0),VALUE(LEFT(C313,FIND(" ",C313)-1))))),"")</f>
        <v>34671</v>
      </c>
      <c r="J313" s="6">
        <f t="shared" si="216"/>
        <v>31</v>
      </c>
      <c r="K313" t="str">
        <f t="shared" si="217"/>
        <v>ОК</v>
      </c>
      <c r="L313" s="5">
        <f>IFERROR(IF(ISNUMBER(FIND("-",G313)),DATE(VALUE(LEFT(G313,4)),VALUE(MID(G313,6,2)),VALUE(RIGHT(G313,2))),IF(ISNUMBER(FIND(".",G313)),DATE(VALUE(RIGHT(G313,4)),VALUE(MID(G313,4,2)),VALUE(LEFT(G313,2))),DATE(VALUE(RIGHT(G313,4)),VLOOKUP(TRIM(MID(G313,FIND(" ",G313)+1,LEN(G313)-FIND(" ",G313)-5)),Справочники!$M$3:$N$14,2,0),VALUE(LEFT(G313,FIND(" ",G313)-1))))),"")</f>
        <v>47705</v>
      </c>
      <c r="M313" t="str">
        <f t="shared" si="218"/>
        <v xml:space="preserve">+7 (903) 012-34-56</v>
      </c>
      <c r="N313" t="str">
        <f t="shared" si="219"/>
        <v>kolesnik@gmail</v>
      </c>
      <c r="O313" t="str">
        <f t="shared" si="220"/>
        <v xml:space="preserve">Ошибка Email</v>
      </c>
      <c r="P313" t="str">
        <f>IFERROR(VLOOKUP(TRIM(SUBSTITUTE(SUBSTITUTE(" "&amp;F313," г "," "),"г.","")),Справочники!$J$3:$K$102,2,0),TRIM(SUBSTITUTE(SUBSTITUTE(" "&amp;F313," г "," "),"г.","")))</f>
        <v>Рубцовск</v>
      </c>
    </row>
    <row r="314">
      <c r="A314" s="3" t="s">
        <v>2650</v>
      </c>
      <c r="B314" s="3" t="s">
        <v>5302</v>
      </c>
      <c r="C314" s="3" t="s">
        <v>5303</v>
      </c>
      <c r="D314" s="3" t="s">
        <v>4188</v>
      </c>
      <c r="E314" s="3" t="s">
        <v>5304</v>
      </c>
      <c r="F314" s="3" t="s">
        <v>4345</v>
      </c>
      <c r="G314" s="3" t="s">
        <v>5305</v>
      </c>
      <c r="H314" t="str">
        <f t="shared" si="215"/>
        <v xml:space="preserve">Гладкова Мария Владимировна</v>
      </c>
      <c r="I314" s="5">
        <f>IFERROR(IF(ISNUMBER(FIND("-",C314)),DATE(VALUE(LEFT(C314,4)),VALUE(MID(C314,6,2)),VALUE(RIGHT(C314,2))),IF(ISNUMBER(FIND(".",C314)),DATE(VALUE(RIGHT(C314,4)),VALUE(MID(C314,4,2)),VALUE(LEFT(C314,2))),DATE(VALUE(RIGHT(C314,4)),VLOOKUP(TRIM(MID(C314,FIND(" ",C314)+1,LEN(C314)-FIND(" ",C314)-5)),Справочники!$M$3:$N$14,2,0),VALUE(LEFT(C314,FIND(" ",C314)-1))))),"")</f>
        <v>28663</v>
      </c>
      <c r="J314" s="6">
        <f t="shared" si="216"/>
        <v>48</v>
      </c>
      <c r="K314" t="str">
        <f t="shared" si="217"/>
        <v>ОК</v>
      </c>
      <c r="L314" s="5">
        <f>IFERROR(IF(ISNUMBER(FIND("-",G314)),DATE(VALUE(LEFT(G314,4)),VALUE(MID(G314,6,2)),VALUE(RIGHT(G314,2))),IF(ISNUMBER(FIND(".",G314)),DATE(VALUE(RIGHT(G314,4)),VALUE(MID(G314,4,2)),VALUE(LEFT(G314,2))),DATE(VALUE(RIGHT(G314,4)),VLOOKUP(TRIM(MID(G314,FIND(" ",G314)+1,LEN(G314)-FIND(" ",G314)-5)),Справочники!$M$3:$N$14,2,0),VALUE(LEFT(G314,FIND(" ",G314)-1))))),"")</f>
        <v>47727</v>
      </c>
      <c r="M314" t="str">
        <f t="shared" si="218"/>
        <v xml:space="preserve">+7 (903) 012-34-56</v>
      </c>
      <c r="N314" t="str">
        <f t="shared" si="219"/>
        <v>gladkova@mail</v>
      </c>
      <c r="O314" t="str">
        <f t="shared" si="220"/>
        <v xml:space="preserve">Ошибка Email</v>
      </c>
      <c r="P314" t="str">
        <f>IFERROR(VLOOKUP(TRIM(SUBSTITUTE(SUBSTITUTE(" "&amp;F314," г "," "),"г.","")),Справочники!$J$3:$K$102,2,0),TRIM(SUBSTITUTE(SUBSTITUTE(" "&amp;F314," г "," "),"г.","")))</f>
        <v>Элиста</v>
      </c>
    </row>
    <row r="315">
      <c r="A315" s="3" t="s">
        <v>2651</v>
      </c>
      <c r="B315" s="3" t="s">
        <v>5306</v>
      </c>
      <c r="C315" s="3" t="s">
        <v>5307</v>
      </c>
      <c r="D315" s="3" t="s">
        <v>1633</v>
      </c>
      <c r="E315" s="3" t="s">
        <v>5308</v>
      </c>
      <c r="F315" s="3" t="s">
        <v>4350</v>
      </c>
      <c r="G315" s="3" t="s">
        <v>5309</v>
      </c>
      <c r="H315" t="str">
        <f t="shared" si="215"/>
        <v xml:space="preserve">Снигирев Сергей Олегович</v>
      </c>
      <c r="I315" s="5">
        <f>IFERROR(IF(ISNUMBER(FIND("-",C315)),DATE(VALUE(LEFT(C315,4)),VALUE(MID(C315,6,2)),VALUE(RIGHT(C315,2))),IF(ISNUMBER(FIND(".",C315)),DATE(VALUE(RIGHT(C315,4)),VALUE(MID(C315,4,2)),VALUE(LEFT(C315,2))),DATE(VALUE(RIGHT(C315,4)),VLOOKUP(TRIM(MID(C315,FIND(" ",C315)+1,LEN(C315)-FIND(" ",C315)-5)),Справочники!$M$3:$N$14,2,0),VALUE(LEFT(C315,FIND(" ",C315)-1))))),"")</f>
        <v>30511</v>
      </c>
      <c r="J315" s="6">
        <f t="shared" si="216"/>
        <v>43</v>
      </c>
      <c r="K315" t="str">
        <f t="shared" si="217"/>
        <v>ОК</v>
      </c>
      <c r="L315" s="5">
        <f>IFERROR(IF(ISNUMBER(FIND("-",G315)),DATE(VALUE(LEFT(G315,4)),VALUE(MID(G315,6,2)),VALUE(RIGHT(G315,2))),IF(ISNUMBER(FIND(".",G315)),DATE(VALUE(RIGHT(G315,4)),VALUE(MID(G315,4,2)),VALUE(LEFT(G315,2))),DATE(VALUE(RIGHT(G315,4)),VLOOKUP(TRIM(MID(G315,FIND(" ",G315)+1,LEN(G315)-FIND(" ",G315)-5)),Справочники!$M$3:$N$14,2,0),VALUE(LEFT(G315,FIND(" ",G315)-1))))),"")</f>
        <v>47741</v>
      </c>
      <c r="M315" t="str">
        <f t="shared" si="218"/>
        <v xml:space="preserve">+7 (903) 012-34-56</v>
      </c>
      <c r="N315" t="str">
        <f t="shared" si="219"/>
        <v>snigirev@yandex</v>
      </c>
      <c r="O315" t="str">
        <f t="shared" si="220"/>
        <v xml:space="preserve">Ошибка Email</v>
      </c>
      <c r="P315" t="str">
        <f>IFERROR(VLOOKUP(TRIM(SUBSTITUTE(SUBSTITUTE(" "&amp;F315," г "," "),"г.","")),Справочники!$J$3:$K$102,2,0),TRIM(SUBSTITUTE(SUBSTITUTE(" "&amp;F315," г "," "),"г.","")))</f>
        <v>Орск</v>
      </c>
    </row>
    <row r="316">
      <c r="A316" s="3" t="s">
        <v>2654</v>
      </c>
      <c r="B316" s="3" t="s">
        <v>5310</v>
      </c>
      <c r="C316" s="3" t="s">
        <v>5311</v>
      </c>
      <c r="D316" s="3" t="s">
        <v>4034</v>
      </c>
      <c r="E316" s="3" t="s">
        <v>5312</v>
      </c>
      <c r="F316" s="3" t="s">
        <v>4355</v>
      </c>
      <c r="G316" s="3" t="s">
        <v>5313</v>
      </c>
      <c r="H316" t="str">
        <f t="shared" si="215"/>
        <v xml:space="preserve">Яшина Татьяна Николаевна</v>
      </c>
      <c r="I316" s="5">
        <f>IFERROR(IF(ISNUMBER(FIND("-",C316)),DATE(VALUE(LEFT(C316,4)),VALUE(MID(C316,6,2)),VALUE(RIGHT(C316,2))),IF(ISNUMBER(FIND(".",C316)),DATE(VALUE(RIGHT(C316,4)),VALUE(MID(C316,4,2)),VALUE(LEFT(C316,2))),DATE(VALUE(RIGHT(C316,4)),VLOOKUP(TRIM(MID(C316,FIND(" ",C316)+1,LEN(C316)-FIND(" ",C316)-5)),Справочники!$M$3:$N$14,2,0),VALUE(LEFT(C316,FIND(" ",C316)-1))))),"")</f>
        <v>33288</v>
      </c>
      <c r="J316" s="6">
        <f t="shared" si="216"/>
        <v>35</v>
      </c>
      <c r="K316" t="str">
        <f t="shared" si="217"/>
        <v>ОК</v>
      </c>
      <c r="L316" s="5">
        <f>IFERROR(IF(ISNUMBER(FIND("-",G316)),DATE(VALUE(LEFT(G316,4)),VALUE(MID(G316,6,2)),VALUE(RIGHT(G316,2))),IF(ISNUMBER(FIND(".",G316)),DATE(VALUE(RIGHT(G316,4)),VALUE(MID(G316,4,2)),VALUE(LEFT(G316,2))),DATE(VALUE(RIGHT(G316,4)),VLOOKUP(TRIM(MID(G316,FIND(" ",G316)+1,LEN(G316)-FIND(" ",G316)-5)),Справочники!$M$3:$N$14,2,0),VALUE(LEFT(G316,FIND(" ",G316)-1))))),"")</f>
        <v>47741</v>
      </c>
      <c r="M316" t="str">
        <f t="shared" si="218"/>
        <v xml:space="preserve">+7 (903) 123-45-67</v>
      </c>
      <c r="N316" t="str">
        <f t="shared" si="219"/>
        <v>yashina@gmail</v>
      </c>
      <c r="O316" t="str">
        <f t="shared" si="220"/>
        <v xml:space="preserve">Ошибка Email</v>
      </c>
      <c r="P316" t="str">
        <f>IFERROR(VLOOKUP(TRIM(SUBSTITUTE(SUBSTITUTE(" "&amp;F316," г "," "),"г.","")),Справочники!$J$3:$K$102,2,0),TRIM(SUBSTITUTE(SUBSTITUTE(" "&amp;F316," г "," "),"г.","")))</f>
        <v>Нижневартовск</v>
      </c>
    </row>
    <row r="317">
      <c r="A317" s="3" t="s">
        <v>2656</v>
      </c>
      <c r="B317" s="3" t="s">
        <v>5314</v>
      </c>
      <c r="C317" s="3" t="s">
        <v>5315</v>
      </c>
      <c r="D317" s="3" t="s">
        <v>4040</v>
      </c>
      <c r="E317" s="3" t="s">
        <v>5316</v>
      </c>
      <c r="F317" s="3" t="s">
        <v>4360</v>
      </c>
      <c r="G317" s="3" t="s">
        <v>5317</v>
      </c>
      <c r="H317" t="str">
        <f t="shared" si="215"/>
        <v xml:space="preserve">Суворов Алексей Александрович</v>
      </c>
      <c r="I317" s="5">
        <f>IFERROR(IF(ISNUMBER(FIND("-",C317)),DATE(VALUE(LEFT(C317,4)),VALUE(MID(C317,6,2)),VALUE(RIGHT(C317,2))),IF(ISNUMBER(FIND(".",C317)),DATE(VALUE(RIGHT(C317,4)),VALUE(MID(C317,4,2)),VALUE(LEFT(C317,2))),DATE(VALUE(RIGHT(C317,4)),VLOOKUP(TRIM(MID(C317,FIND(" ",C317)+1,LEN(C317)-FIND(" ",C317)-5)),Справочники!$M$3:$N$14,2,0),VALUE(LEFT(C317,FIND(" ",C317)-1))))),"")</f>
        <v>28070</v>
      </c>
      <c r="J317" s="6">
        <f t="shared" si="216"/>
        <v>49</v>
      </c>
      <c r="K317" t="str">
        <f t="shared" si="217"/>
        <v>ОК</v>
      </c>
      <c r="L317" s="5">
        <f>IFERROR(IF(ISNUMBER(FIND("-",G317)),DATE(VALUE(LEFT(G317,4)),VALUE(MID(G317,6,2)),VALUE(RIGHT(G317,2))),IF(ISNUMBER(FIND(".",G317)),DATE(VALUE(RIGHT(G317,4)),VALUE(MID(G317,4,2)),VALUE(LEFT(G317,2))),DATE(VALUE(RIGHT(G317,4)),VLOOKUP(TRIM(MID(G317,FIND(" ",G317)+1,LEN(G317)-FIND(" ",G317)-5)),Справочники!$M$3:$N$14,2,0),VALUE(LEFT(G317,FIND(" ",G317)-1))))),"")</f>
        <v>47757</v>
      </c>
      <c r="M317" t="str">
        <f t="shared" si="218"/>
        <v xml:space="preserve">+7 (903) 123-45-67</v>
      </c>
      <c r="N317" t="str">
        <f t="shared" si="219"/>
        <v>suvorov@mail</v>
      </c>
      <c r="O317" t="str">
        <f t="shared" si="220"/>
        <v xml:space="preserve">Ошибка Email</v>
      </c>
      <c r="P317" t="str">
        <f>IFERROR(VLOOKUP(TRIM(SUBSTITUTE(SUBSTITUTE(" "&amp;F317," г "," "),"г.","")),Справочники!$J$3:$K$102,2,0),TRIM(SUBSTITUTE(SUBSTITUTE(" "&amp;F317," г "," "),"г.","")))</f>
        <v>Новороссийск</v>
      </c>
    </row>
    <row r="318">
      <c r="A318" s="3" t="s">
        <v>2658</v>
      </c>
      <c r="B318" s="3" t="s">
        <v>5318</v>
      </c>
      <c r="C318" s="3" t="s">
        <v>5319</v>
      </c>
      <c r="D318" s="3" t="s">
        <v>1570</v>
      </c>
      <c r="E318" s="3" t="s">
        <v>5320</v>
      </c>
      <c r="F318" s="3" t="s">
        <v>4365</v>
      </c>
      <c r="G318" s="3" t="s">
        <v>5321</v>
      </c>
      <c r="H318" t="str">
        <f t="shared" si="215"/>
        <v xml:space="preserve">Бабенко Инна Олеговна</v>
      </c>
      <c r="I318" s="5">
        <f>IFERROR(IF(ISNUMBER(FIND("-",C318)),DATE(VALUE(LEFT(C318,4)),VALUE(MID(C318,6,2)),VALUE(RIGHT(C318,2))),IF(ISNUMBER(FIND(".",C318)),DATE(VALUE(RIGHT(C318,4)),VALUE(MID(C318,4,2)),VALUE(LEFT(C318,2))),DATE(VALUE(RIGHT(C318,4)),VLOOKUP(TRIM(MID(C318,FIND(" ",C318)+1,LEN(C318)-FIND(" ",C318)-5)),Справочники!$M$3:$N$14,2,0),VALUE(LEFT(C318,FIND(" ",C318)-1))))),"")</f>
        <v>30953</v>
      </c>
      <c r="J318" s="6">
        <f t="shared" si="216"/>
        <v>42</v>
      </c>
      <c r="K318" t="str">
        <f t="shared" si="217"/>
        <v>ОК</v>
      </c>
      <c r="L318" s="5">
        <f>IFERROR(IF(ISNUMBER(FIND("-",G318)),DATE(VALUE(LEFT(G318,4)),VALUE(MID(G318,6,2)),VALUE(RIGHT(G318,2))),IF(ISNUMBER(FIND(".",G318)),DATE(VALUE(RIGHT(G318,4)),VALUE(MID(G318,4,2)),VALUE(LEFT(G318,2))),DATE(VALUE(RIGHT(G318,4)),VLOOKUP(TRIM(MID(G318,FIND(" ",G318)+1,LEN(G318)-FIND(" ",G318)-5)),Справочники!$M$3:$N$14,2,0),VALUE(LEFT(G318,FIND(" ",G318)-1))))),"")</f>
        <v>47766</v>
      </c>
      <c r="M318" t="str">
        <f t="shared" si="218"/>
        <v xml:space="preserve">+7 (903) 123-45-67</v>
      </c>
      <c r="N318" t="str">
        <f t="shared" si="219"/>
        <v>babenko@yandex</v>
      </c>
      <c r="O318" t="str">
        <f t="shared" si="220"/>
        <v xml:space="preserve">Ошибка Email</v>
      </c>
      <c r="P318" t="str">
        <f>IFERROR(VLOOKUP(TRIM(SUBSTITUTE(SUBSTITUTE(" "&amp;F318," г "," "),"г.","")),Справочники!$J$3:$K$102,2,0),TRIM(SUBSTITUTE(SUBSTITUTE(" "&amp;F318," г "," "),"г.","")))</f>
        <v>Химки</v>
      </c>
    </row>
    <row r="319">
      <c r="A319" s="3" t="s">
        <v>2660</v>
      </c>
      <c r="B319" s="3" t="s">
        <v>5322</v>
      </c>
      <c r="C319" s="3" t="s">
        <v>5323</v>
      </c>
      <c r="D319" s="3" t="s">
        <v>4051</v>
      </c>
      <c r="E319" s="3" t="s">
        <v>5324</v>
      </c>
      <c r="F319" s="3" t="s">
        <v>4370</v>
      </c>
      <c r="G319" s="3" t="s">
        <v>5325</v>
      </c>
      <c r="H319" t="str">
        <f t="shared" si="215"/>
        <v xml:space="preserve">Кислов Денис Павлович</v>
      </c>
      <c r="I319" s="5">
        <f>IFERROR(IF(ISNUMBER(FIND("-",C319)),DATE(VALUE(LEFT(C319,4)),VALUE(MID(C319,6,2)),VALUE(RIGHT(C319,2))),IF(ISNUMBER(FIND(".",C319)),DATE(VALUE(RIGHT(C319,4)),VALUE(MID(C319,4,2)),VALUE(LEFT(C319,2))),DATE(VALUE(RIGHT(C319,4)),VLOOKUP(TRIM(MID(C319,FIND(" ",C319)+1,LEN(C319)-FIND(" ",C319)-5)),Справочники!$M$3:$N$14,2,0),VALUE(LEFT(C319,FIND(" ",C319)-1))))),"")</f>
        <v>25919</v>
      </c>
      <c r="J319" s="6">
        <f t="shared" si="216"/>
        <v>55</v>
      </c>
      <c r="K319" t="str">
        <f t="shared" si="217"/>
        <v>ОК</v>
      </c>
      <c r="L319" s="5">
        <f>IFERROR(IF(ISNUMBER(FIND("-",G319)),DATE(VALUE(LEFT(G319,4)),VALUE(MID(G319,6,2)),VALUE(RIGHT(G319,2))),IF(ISNUMBER(FIND(".",G319)),DATE(VALUE(RIGHT(G319,4)),VALUE(MID(G319,4,2)),VALUE(LEFT(G319,2))),DATE(VALUE(RIGHT(G319,4)),VLOOKUP(TRIM(MID(G319,FIND(" ",G319)+1,LEN(G319)-FIND(" ",G319)-5)),Справочники!$M$3:$N$14,2,0),VALUE(LEFT(G319,FIND(" ",G319)-1))))),"")</f>
        <v>47766</v>
      </c>
      <c r="M319" t="str">
        <f t="shared" si="218"/>
        <v xml:space="preserve">+7 (903) 234-56-78</v>
      </c>
      <c r="N319" t="str">
        <f t="shared" si="219"/>
        <v>kislov@gmail</v>
      </c>
      <c r="O319" t="str">
        <f t="shared" si="220"/>
        <v xml:space="preserve">Ошибка Email</v>
      </c>
      <c r="P319" t="str">
        <f>IFERROR(VLOOKUP(TRIM(SUBSTITUTE(SUBSTITUTE(" "&amp;F319," г "," "),"г.","")),Справочники!$J$3:$K$102,2,0),TRIM(SUBSTITUTE(SUBSTITUTE(" "&amp;F319," г "," "),"г.","")))</f>
        <v>Подольск</v>
      </c>
    </row>
    <row r="320">
      <c r="A320" s="3" t="s">
        <v>2662</v>
      </c>
      <c r="B320" s="3" t="s">
        <v>5326</v>
      </c>
      <c r="C320" s="3" t="s">
        <v>5327</v>
      </c>
      <c r="D320" s="3" t="s">
        <v>4057</v>
      </c>
      <c r="E320" s="3" t="s">
        <v>5328</v>
      </c>
      <c r="F320" s="3" t="s">
        <v>4375</v>
      </c>
      <c r="G320" s="3" t="s">
        <v>5329</v>
      </c>
      <c r="H320" t="str">
        <f t="shared" si="215"/>
        <v xml:space="preserve">Серикова Ольга Михайловна</v>
      </c>
      <c r="I320" s="5">
        <f>IFERROR(IF(ISNUMBER(FIND("-",C320)),DATE(VALUE(LEFT(C320,4)),VALUE(MID(C320,6,2)),VALUE(RIGHT(C320,2))),IF(ISNUMBER(FIND(".",C320)),DATE(VALUE(RIGHT(C320,4)),VALUE(MID(C320,4,2)),VALUE(LEFT(C320,2))),DATE(VALUE(RIGHT(C320,4)),VLOOKUP(TRIM(MID(C320,FIND(" ",C320)+1,LEN(C320)-FIND(" ",C320)-5)),Справочники!$M$3:$N$14,2,0),VALUE(LEFT(C320,FIND(" ",C320)-1))))),"")</f>
        <v>32268</v>
      </c>
      <c r="J320" s="6">
        <f t="shared" si="216"/>
        <v>38</v>
      </c>
      <c r="K320" t="str">
        <f t="shared" si="217"/>
        <v>ОК</v>
      </c>
      <c r="L320" s="5">
        <f>IFERROR(IF(ISNUMBER(FIND("-",G320)),DATE(VALUE(LEFT(G320,4)),VALUE(MID(G320,6,2)),VALUE(RIGHT(G320,2))),IF(ISNUMBER(FIND(".",G320)),DATE(VALUE(RIGHT(G320,4)),VALUE(MID(G320,4,2)),VALUE(LEFT(G320,2))),DATE(VALUE(RIGHT(G320,4)),VLOOKUP(TRIM(MID(G320,FIND(" ",G320)+1,LEN(G320)-FIND(" ",G320)-5)),Справочники!$M$3:$N$14,2,0),VALUE(LEFT(G320,FIND(" ",G320)-1))))),"")</f>
        <v>47788</v>
      </c>
      <c r="M320" t="str">
        <f t="shared" si="218"/>
        <v xml:space="preserve">+7 (903) 234-56-78</v>
      </c>
      <c r="N320" t="str">
        <f t="shared" si="219"/>
        <v>serikova@mail</v>
      </c>
      <c r="O320" t="str">
        <f t="shared" si="220"/>
        <v xml:space="preserve">Ошибка Email</v>
      </c>
      <c r="P320" t="str">
        <f>IFERROR(VLOOKUP(TRIM(SUBSTITUTE(SUBSTITUTE(" "&amp;F320," г "," "),"г.","")),Справочники!$J$3:$K$102,2,0),TRIM(SUBSTITUTE(SUBSTITUTE(" "&amp;F320," г "," "),"г.","")))</f>
        <v>Балашиха</v>
      </c>
    </row>
    <row r="321">
      <c r="A321" s="3" t="s">
        <v>2663</v>
      </c>
      <c r="B321" s="3" t="s">
        <v>5330</v>
      </c>
      <c r="C321" s="3" t="s">
        <v>5331</v>
      </c>
      <c r="D321" s="3" t="s">
        <v>1712</v>
      </c>
      <c r="E321" s="3" t="s">
        <v>5332</v>
      </c>
      <c r="F321" s="3" t="s">
        <v>4380</v>
      </c>
      <c r="G321" s="3" t="s">
        <v>5333</v>
      </c>
      <c r="H321" t="str">
        <f t="shared" si="215"/>
        <v xml:space="preserve">Мокрушин Илья Валентинович</v>
      </c>
      <c r="I321" s="5">
        <f>IFERROR(IF(ISNUMBER(FIND("-",C321)),DATE(VALUE(LEFT(C321,4)),VALUE(MID(C321,6,2)),VALUE(RIGHT(C321,2))),IF(ISNUMBER(FIND(".",C321)),DATE(VALUE(RIGHT(C321,4)),VALUE(MID(C321,4,2)),VALUE(LEFT(C321,2))),DATE(VALUE(RIGHT(C321,4)),VLOOKUP(TRIM(MID(C321,FIND(" ",C321)+1,LEN(C321)-FIND(" ",C321)-5)),Справочники!$M$3:$N$14,2,0),VALUE(LEFT(C321,FIND(" ",C321)-1))))),"")</f>
        <v>34204</v>
      </c>
      <c r="J321" s="6">
        <f t="shared" si="216"/>
        <v>33</v>
      </c>
      <c r="K321" t="str">
        <f t="shared" si="217"/>
        <v>ОК</v>
      </c>
      <c r="L321" s="5">
        <f>IFERROR(IF(ISNUMBER(FIND("-",G321)),DATE(VALUE(LEFT(G321,4)),VALUE(MID(G321,6,2)),VALUE(RIGHT(G321,2))),IF(ISNUMBER(FIND(".",G321)),DATE(VALUE(RIGHT(G321,4)),VALUE(MID(G321,4,2)),VALUE(LEFT(G321,2))),DATE(VALUE(RIGHT(G321,4)),VLOOKUP(TRIM(MID(G321,FIND(" ",G321)+1,LEN(G321)-FIND(" ",G321)-5)),Справочники!$M$3:$N$14,2,0),VALUE(LEFT(G321,FIND(" ",G321)-1))))),"")</f>
        <v>47802</v>
      </c>
      <c r="M321" t="str">
        <f t="shared" si="218"/>
        <v xml:space="preserve">+7 (903) 234-56-78</v>
      </c>
      <c r="N321" t="str">
        <f t="shared" si="219"/>
        <v>mokrushin@yandex</v>
      </c>
      <c r="O321" t="str">
        <f t="shared" si="220"/>
        <v xml:space="preserve">Ошибка Email</v>
      </c>
      <c r="P321" t="str">
        <f>IFERROR(VLOOKUP(TRIM(SUBSTITUTE(SUBSTITUTE(" "&amp;F321," г "," "),"г.","")),Справочники!$J$3:$K$102,2,0),TRIM(SUBSTITUTE(SUBSTITUTE(" "&amp;F321," г "," "),"г.","")))</f>
        <v>Сургут</v>
      </c>
    </row>
    <row r="322">
      <c r="A322" s="3" t="s">
        <v>2665</v>
      </c>
      <c r="B322" s="3" t="s">
        <v>5334</v>
      </c>
      <c r="C322" s="3" t="s">
        <v>5335</v>
      </c>
      <c r="D322" s="3" t="s">
        <v>1584</v>
      </c>
      <c r="E322" s="3" t="s">
        <v>5336</v>
      </c>
      <c r="F322" s="3" t="s">
        <v>4385</v>
      </c>
      <c r="G322" s="3" t="s">
        <v>5337</v>
      </c>
      <c r="H322" t="str">
        <f t="shared" si="215"/>
        <v xml:space="preserve">Гуреева Елена Александровна</v>
      </c>
      <c r="I322" s="5">
        <f>IFERROR(IF(ISNUMBER(FIND("-",C322)),DATE(VALUE(LEFT(C322,4)),VALUE(MID(C322,6,2)),VALUE(RIGHT(C322,2))),IF(ISNUMBER(FIND(".",C322)),DATE(VALUE(RIGHT(C322,4)),VALUE(MID(C322,4,2)),VALUE(LEFT(C322,2))),DATE(VALUE(RIGHT(C322,4)),VLOOKUP(TRIM(MID(C322,FIND(" ",C322)+1,LEN(C322)-FIND(" ",C322)-5)),Справочники!$M$3:$N$14,2,0),VALUE(LEFT(C322,FIND(" ",C322)-1))))),"")</f>
        <v>28197</v>
      </c>
      <c r="J322" s="6">
        <f t="shared" si="216"/>
        <v>49</v>
      </c>
      <c r="K322" t="str">
        <f t="shared" si="217"/>
        <v>ОК</v>
      </c>
      <c r="L322" s="5">
        <f>IFERROR(IF(ISNUMBER(FIND("-",G322)),DATE(VALUE(LEFT(G322,4)),VALUE(MID(G322,6,2)),VALUE(RIGHT(G322,2))),IF(ISNUMBER(FIND(".",G322)),DATE(VALUE(RIGHT(G322,4)),VALUE(MID(G322,4,2)),VALUE(LEFT(G322,2))),DATE(VALUE(RIGHT(G322,4)),VLOOKUP(TRIM(MID(G322,FIND(" ",G322)+1,LEN(G322)-FIND(" ",G322)-5)),Справочники!$M$3:$N$14,2,0),VALUE(LEFT(G322,FIND(" ",G322)-1))))),"")</f>
        <v>47802</v>
      </c>
      <c r="M322" t="str">
        <f t="shared" si="218"/>
        <v xml:space="preserve">+7 (903) 345-67-89</v>
      </c>
      <c r="N322" t="str">
        <f t="shared" si="219"/>
        <v>gureeva@gmail</v>
      </c>
      <c r="O322" t="str">
        <f t="shared" si="220"/>
        <v xml:space="preserve">Ошибка Email</v>
      </c>
      <c r="P322" t="str">
        <f>IFERROR(VLOOKUP(TRIM(SUBSTITUTE(SUBSTITUTE(" "&amp;F322," г "," "),"г.","")),Справочники!$J$3:$K$102,2,0),TRIM(SUBSTITUTE(SUBSTITUTE(" "&amp;F322," г "," "),"г.","")))</f>
        <v>Армавир</v>
      </c>
    </row>
    <row r="323">
      <c r="A323" s="3" t="s">
        <v>2667</v>
      </c>
      <c r="B323" s="3" t="s">
        <v>5338</v>
      </c>
      <c r="C323" s="3" t="s">
        <v>5339</v>
      </c>
      <c r="D323" s="3" t="s">
        <v>4073</v>
      </c>
      <c r="E323" s="3" t="s">
        <v>5340</v>
      </c>
      <c r="F323" s="3" t="s">
        <v>4390</v>
      </c>
      <c r="G323" s="3" t="s">
        <v>5341</v>
      </c>
      <c r="H323" t="str">
        <f t="shared" si="215"/>
        <v xml:space="preserve">Синицын Виталий Олегович</v>
      </c>
      <c r="I323" s="5">
        <f>IFERROR(IF(ISNUMBER(FIND("-",C323)),DATE(VALUE(LEFT(C323,4)),VALUE(MID(C323,6,2)),VALUE(RIGHT(C323,2))),IF(ISNUMBER(FIND(".",C323)),DATE(VALUE(RIGHT(C323,4)),VALUE(MID(C323,4,2)),VALUE(LEFT(C323,2))),DATE(VALUE(RIGHT(C323,4)),VLOOKUP(TRIM(MID(C323,FIND(" ",C323)+1,LEN(C323)-FIND(" ",C323)-5)),Справочники!$M$3:$N$14,2,0),VALUE(LEFT(C323,FIND(" ",C323)-1))))),"")</f>
        <v>29879</v>
      </c>
      <c r="J323" s="6">
        <f t="shared" si="216"/>
        <v>45</v>
      </c>
      <c r="K323" t="str">
        <f t="shared" si="217"/>
        <v>ОК</v>
      </c>
      <c r="L323" s="5">
        <f>IFERROR(IF(ISNUMBER(FIND("-",G323)),DATE(VALUE(LEFT(G323,4)),VALUE(MID(G323,6,2)),VALUE(RIGHT(G323,2))),IF(ISNUMBER(FIND(".",G323)),DATE(VALUE(RIGHT(G323,4)),VALUE(MID(G323,4,2)),VALUE(LEFT(G323,2))),DATE(VALUE(RIGHT(G323,4)),VLOOKUP(TRIM(MID(G323,FIND(" ",G323)+1,LEN(G323)-FIND(" ",G323)-5)),Справочники!$M$3:$N$14,2,0),VALUE(LEFT(G323,FIND(" ",G323)-1))))),"")</f>
        <v>47818</v>
      </c>
      <c r="M323" t="str">
        <f t="shared" si="218"/>
        <v xml:space="preserve">+7 (903) 345-67-89</v>
      </c>
      <c r="N323" t="str">
        <f t="shared" si="219"/>
        <v>sinitsin@mail</v>
      </c>
      <c r="O323" t="str">
        <f t="shared" si="220"/>
        <v xml:space="preserve">Ошибка Email</v>
      </c>
      <c r="P323" t="str">
        <f>IFERROR(VLOOKUP(TRIM(SUBSTITUTE(SUBSTITUTE(" "&amp;F323," г "," "),"г.","")),Справочники!$J$3:$K$102,2,0),TRIM(SUBSTITUTE(SUBSTITUTE(" "&amp;F323," г "," "),"г.","")))</f>
        <v>Волжский</v>
      </c>
    </row>
    <row r="324">
      <c r="A324" s="3" t="s">
        <v>2670</v>
      </c>
      <c r="B324" s="3" t="s">
        <v>5342</v>
      </c>
      <c r="C324" s="3" t="s">
        <v>5343</v>
      </c>
      <c r="D324" s="3" t="s">
        <v>4079</v>
      </c>
      <c r="E324" s="3" t="s">
        <v>5344</v>
      </c>
      <c r="F324" s="3" t="s">
        <v>4395</v>
      </c>
      <c r="G324" s="3" t="s">
        <v>5345</v>
      </c>
      <c r="H324" t="str">
        <f t="shared" si="215"/>
        <v xml:space="preserve">Чернова Анна Игоревна</v>
      </c>
      <c r="I324" s="5">
        <f>IFERROR(IF(ISNUMBER(FIND("-",C324)),DATE(VALUE(LEFT(C324,4)),VALUE(MID(C324,6,2)),VALUE(RIGHT(C324,2))),IF(ISNUMBER(FIND(".",C324)),DATE(VALUE(RIGHT(C324,4)),VALUE(MID(C324,4,2)),VALUE(LEFT(C324,2))),DATE(VALUE(RIGHT(C324,4)),VLOOKUP(TRIM(MID(C324,FIND(" ",C324)+1,LEN(C324)-FIND(" ",C324)-5)),Справочники!$M$3:$N$14,2,0),VALUE(LEFT(C324,FIND(" ",C324)-1))))),"")</f>
        <v>32891</v>
      </c>
      <c r="J324" s="6">
        <f t="shared" si="216"/>
        <v>36</v>
      </c>
      <c r="K324" t="str">
        <f t="shared" si="217"/>
        <v>ОК</v>
      </c>
      <c r="L324" s="5">
        <f>IFERROR(IF(ISNUMBER(FIND("-",G324)),DATE(VALUE(LEFT(G324,4)),VALUE(MID(G324,6,2)),VALUE(RIGHT(G324,2))),IF(ISNUMBER(FIND(".",G324)),DATE(VALUE(RIGHT(G324,4)),VALUE(MID(G324,4,2)),VALUE(LEFT(G324,2))),DATE(VALUE(RIGHT(G324,4)),VLOOKUP(TRIM(MID(G324,FIND(" ",G324)+1,LEN(G324)-FIND(" ",G324)-5)),Справочники!$M$3:$N$14,2,0),VALUE(LEFT(G324,FIND(" ",G324)-1))))),"")</f>
        <v>47827</v>
      </c>
      <c r="M324" t="str">
        <f t="shared" si="218"/>
        <v xml:space="preserve">+7 (903) 345-67-89</v>
      </c>
      <c r="N324" t="str">
        <f t="shared" si="219"/>
        <v>chernova@yandex</v>
      </c>
      <c r="O324" t="str">
        <f t="shared" si="220"/>
        <v xml:space="preserve">Ошибка Email</v>
      </c>
      <c r="P324" t="str">
        <f>IFERROR(VLOOKUP(TRIM(SUBSTITUTE(SUBSTITUTE(" "&amp;F324," г "," "),"г.","")),Справочники!$J$3:$K$102,2,0),TRIM(SUBSTITUTE(SUBSTITUTE(" "&amp;F324," г "," "),"г.","")))</f>
        <v>Шахты</v>
      </c>
    </row>
    <row r="325">
      <c r="A325" s="3" t="s">
        <v>2672</v>
      </c>
      <c r="B325" s="3" t="s">
        <v>5346</v>
      </c>
      <c r="C325" s="3" t="s">
        <v>5347</v>
      </c>
      <c r="D325" s="3" t="s">
        <v>4085</v>
      </c>
      <c r="E325" s="3" t="s">
        <v>5348</v>
      </c>
      <c r="F325" s="3" t="s">
        <v>4400</v>
      </c>
      <c r="G325" s="3" t="s">
        <v>5349</v>
      </c>
      <c r="H325" t="str">
        <f t="shared" si="215"/>
        <v xml:space="preserve">Ширяев Андрей Викторович</v>
      </c>
      <c r="I325" s="5">
        <f>IFERROR(IF(ISNUMBER(FIND("-",C325)),DATE(VALUE(LEFT(C325,4)),VALUE(MID(C325,6,2)),VALUE(RIGHT(C325,2))),IF(ISNUMBER(FIND(".",C325)),DATE(VALUE(RIGHT(C325,4)),VALUE(MID(C325,4,2)),VALUE(LEFT(C325,2))),DATE(VALUE(RIGHT(C325,4)),VLOOKUP(TRIM(MID(C325,FIND(" ",C325)+1,LEN(C325)-FIND(" ",C325)-5)),Справочники!$M$3:$N$14,2,0),VALUE(LEFT(C325,FIND(" ",C325)-1))))),"")</f>
        <v>27187</v>
      </c>
      <c r="J325" s="6">
        <f t="shared" si="216"/>
        <v>52</v>
      </c>
      <c r="K325" t="str">
        <f t="shared" si="217"/>
        <v>ОК</v>
      </c>
      <c r="L325" s="5">
        <f>IFERROR(IF(ISNUMBER(FIND("-",G325)),DATE(VALUE(LEFT(G325,4)),VALUE(MID(G325,6,2)),VALUE(RIGHT(G325,2))),IF(ISNUMBER(FIND(".",G325)),DATE(VALUE(RIGHT(G325,4)),VALUE(MID(G325,4,2)),VALUE(LEFT(G325,2))),DATE(VALUE(RIGHT(G325,4)),VLOOKUP(TRIM(MID(G325,FIND(" ",G325)+1,LEN(G325)-FIND(" ",G325)-5)),Справочники!$M$3:$N$14,2,0),VALUE(LEFT(G325,FIND(" ",G325)-1))))),"")</f>
        <v>47827</v>
      </c>
      <c r="M325" t="str">
        <f t="shared" si="218"/>
        <v xml:space="preserve">+7 (903) 456-78-90</v>
      </c>
      <c r="N325" t="str">
        <f t="shared" si="219"/>
        <v>shiryaev@gmail</v>
      </c>
      <c r="O325" t="str">
        <f t="shared" si="220"/>
        <v xml:space="preserve">Ошибка Email</v>
      </c>
      <c r="P325" t="str">
        <f>IFERROR(VLOOKUP(TRIM(SUBSTITUTE(SUBSTITUTE(" "&amp;F325," г "," "),"г.","")),Справочники!$J$3:$K$102,2,0),TRIM(SUBSTITUTE(SUBSTITUTE(" "&amp;F325," г "," "),"г.","")))</f>
        <v>Златоуст</v>
      </c>
    </row>
    <row r="326">
      <c r="A326" s="3" t="s">
        <v>2675</v>
      </c>
      <c r="B326" s="3" t="s">
        <v>5350</v>
      </c>
      <c r="C326" s="3" t="s">
        <v>5351</v>
      </c>
      <c r="D326" s="3" t="s">
        <v>1591</v>
      </c>
      <c r="E326" s="3" t="s">
        <v>5352</v>
      </c>
      <c r="F326" s="3" t="s">
        <v>4405</v>
      </c>
      <c r="G326" s="3" t="s">
        <v>5353</v>
      </c>
      <c r="H326" t="str">
        <f t="shared" si="215"/>
        <v xml:space="preserve">Казанцев Дмитрий Сергеевич</v>
      </c>
      <c r="I326" s="5">
        <f>IFERROR(IF(ISNUMBER(FIND("-",C326)),DATE(VALUE(LEFT(C326,4)),VALUE(MID(C326,6,2)),VALUE(RIGHT(C326,2))),IF(ISNUMBER(FIND(".",C326)),DATE(VALUE(RIGHT(C326,4)),VALUE(MID(C326,4,2)),VALUE(LEFT(C326,2))),DATE(VALUE(RIGHT(C326,4)),VLOOKUP(TRIM(MID(C326,FIND(" ",C326)+1,LEN(C326)-FIND(" ",C326)-5)),Справочники!$M$3:$N$14,2,0),VALUE(LEFT(C326,FIND(" ",C326)-1))))),"")</f>
        <v>31681</v>
      </c>
      <c r="J326" s="6">
        <f t="shared" si="216"/>
        <v>40</v>
      </c>
      <c r="K326" t="str">
        <f t="shared" si="217"/>
        <v>ОК</v>
      </c>
      <c r="L326" s="5">
        <f>IFERROR(IF(ISNUMBER(FIND("-",G326)),DATE(VALUE(LEFT(G326,4)),VALUE(MID(G326,6,2)),VALUE(RIGHT(G326,2))),IF(ISNUMBER(FIND(".",G326)),DATE(VALUE(RIGHT(G326,4)),VALUE(MID(G326,4,2)),VALUE(LEFT(G326,2))),DATE(VALUE(RIGHT(G326,4)),VLOOKUP(TRIM(MID(G326,FIND(" ",G326)+1,LEN(G326)-FIND(" ",G326)-5)),Справочники!$M$3:$N$14,2,0),VALUE(LEFT(G326,FIND(" ",G326)-1))))),"")</f>
        <v>47849</v>
      </c>
      <c r="M326" t="str">
        <f t="shared" si="218"/>
        <v xml:space="preserve">+7 (903) 456-78-90</v>
      </c>
      <c r="N326" t="str">
        <f t="shared" si="219"/>
        <v>kazantsev@mail</v>
      </c>
      <c r="O326" t="str">
        <f t="shared" si="220"/>
        <v xml:space="preserve">Ошибка Email</v>
      </c>
      <c r="P326" t="str">
        <f>IFERROR(VLOOKUP(TRIM(SUBSTITUTE(SUBSTITUTE(" "&amp;F326," г "," "),"г.","")),Справочники!$J$3:$K$102,2,0),TRIM(SUBSTITUTE(SUBSTITUTE(" "&amp;F326," г "," "),"г.","")))</f>
        <v>Ангарск</v>
      </c>
    </row>
    <row r="327">
      <c r="A327" s="3" t="s">
        <v>2677</v>
      </c>
      <c r="B327" s="3" t="s">
        <v>5354</v>
      </c>
      <c r="C327" s="3" t="s">
        <v>5355</v>
      </c>
      <c r="D327" s="3" t="s">
        <v>1660</v>
      </c>
      <c r="E327" s="3" t="s">
        <v>5356</v>
      </c>
      <c r="F327" s="3" t="s">
        <v>4410</v>
      </c>
      <c r="G327" s="3" t="s">
        <v>5357</v>
      </c>
      <c r="H327" t="str">
        <f t="shared" si="215"/>
        <v xml:space="preserve">Медведев Артем Павлович</v>
      </c>
      <c r="I327" s="5">
        <f>IFERROR(IF(ISNUMBER(FIND("-",C327)),DATE(VALUE(LEFT(C327,4)),VALUE(MID(C327,6,2)),VALUE(RIGHT(C327,2))),IF(ISNUMBER(FIND(".",C327)),DATE(VALUE(RIGHT(C327,4)),VALUE(MID(C327,4,2)),VALUE(LEFT(C327,2))),DATE(VALUE(RIGHT(C327,4)),VLOOKUP(TRIM(MID(C327,FIND(" ",C327)+1,LEN(C327)-FIND(" ",C327)-5)),Справочники!$M$3:$N$14,2,0),VALUE(LEFT(C327,FIND(" ",C327)-1))))),"")</f>
        <v>33952</v>
      </c>
      <c r="J327" s="6">
        <f t="shared" si="216"/>
        <v>33</v>
      </c>
      <c r="K327" t="str">
        <f t="shared" si="217"/>
        <v>ОК</v>
      </c>
      <c r="L327" s="5">
        <f>IFERROR(IF(ISNUMBER(FIND("-",G327)),DATE(VALUE(LEFT(G327,4)),VALUE(MID(G327,6,2)),VALUE(RIGHT(G327,2))),IF(ISNUMBER(FIND(".",G327)),DATE(VALUE(RIGHT(G327,4)),VALUE(MID(G327,4,2)),VALUE(LEFT(G327,2))),DATE(VALUE(RIGHT(G327,4)),VLOOKUP(TRIM(MID(G327,FIND(" ",G327)+1,LEN(G327)-FIND(" ",G327)-5)),Справочники!$M$3:$N$14,2,0),VALUE(LEFT(G327,FIND(" ",G327)-1))))),"")</f>
        <v>47863</v>
      </c>
      <c r="M327" t="str">
        <f t="shared" si="218"/>
        <v xml:space="preserve">+7 (903) 456-78-90</v>
      </c>
      <c r="N327" t="str">
        <f t="shared" si="219"/>
        <v>medvedev@yandex</v>
      </c>
      <c r="O327" t="str">
        <f t="shared" si="220"/>
        <v xml:space="preserve">Ошибка Email</v>
      </c>
      <c r="P327" t="str">
        <f>IFERROR(VLOOKUP(TRIM(SUBSTITUTE(SUBSTITUTE(" "&amp;F327," г "," "),"г.","")),Справочники!$J$3:$K$102,2,0),TRIM(SUBSTITUTE(SUBSTITUTE(" "&amp;F327," г "," "),"г.","")))</f>
        <v>Озёрск</v>
      </c>
    </row>
    <row r="328">
      <c r="A328" s="3" t="s">
        <v>2680</v>
      </c>
      <c r="B328" s="3" t="s">
        <v>5358</v>
      </c>
      <c r="C328" s="3" t="s">
        <v>5359</v>
      </c>
      <c r="D328" s="3" t="s">
        <v>3984</v>
      </c>
      <c r="E328" s="3" t="s">
        <v>5360</v>
      </c>
      <c r="F328" s="3" t="s">
        <v>4415</v>
      </c>
      <c r="G328" s="3" t="s">
        <v>5361</v>
      </c>
      <c r="H328" t="str">
        <f t="shared" si="215"/>
        <v xml:space="preserve">Широкова Светлана Николаевна</v>
      </c>
      <c r="I328" s="5">
        <f>IFERROR(IF(ISNUMBER(FIND("-",C328)),DATE(VALUE(LEFT(C328,4)),VALUE(MID(C328,6,2)),VALUE(RIGHT(C328,2))),IF(ISNUMBER(FIND(".",C328)),DATE(VALUE(RIGHT(C328,4)),VALUE(MID(C328,4,2)),VALUE(LEFT(C328,2))),DATE(VALUE(RIGHT(C328,4)),VLOOKUP(TRIM(MID(C328,FIND(" ",C328)+1,LEN(C328)-FIND(" ",C328)-5)),Справочники!$M$3:$N$14,2,0),VALUE(LEFT(C328,FIND(" ",C328)-1))))),"")</f>
        <v>28589</v>
      </c>
      <c r="J328" s="6">
        <f t="shared" si="216"/>
        <v>48</v>
      </c>
      <c r="K328" t="str">
        <f t="shared" si="217"/>
        <v>ОК</v>
      </c>
      <c r="L328" s="5">
        <f>IFERROR(IF(ISNUMBER(FIND("-",G328)),DATE(VALUE(LEFT(G328,4)),VALUE(MID(G328,6,2)),VALUE(RIGHT(G328,2))),IF(ISNUMBER(FIND(".",G328)),DATE(VALUE(RIGHT(G328,4)),VALUE(MID(G328,4,2)),VALUE(LEFT(G328,2))),DATE(VALUE(RIGHT(G328,4)),VLOOKUP(TRIM(MID(G328,FIND(" ",G328)+1,LEN(G328)-FIND(" ",G328)-5)),Справочники!$M$3:$N$14,2,0),VALUE(LEFT(G328,FIND(" ",G328)-1))))),"")</f>
        <v>47863</v>
      </c>
      <c r="M328" t="str">
        <f t="shared" si="218"/>
        <v xml:space="preserve">+7 (903) 567-89-01</v>
      </c>
      <c r="N328" t="str">
        <f t="shared" si="219"/>
        <v>shirokova@gmail</v>
      </c>
      <c r="O328" t="str">
        <f t="shared" si="220"/>
        <v xml:space="preserve">Ошибка Email</v>
      </c>
      <c r="P328" t="str">
        <f>IFERROR(VLOOKUP(TRIM(SUBSTITUTE(SUBSTITUTE(" "&amp;F328," г "," "),"г.","")),Справочники!$J$3:$K$102,2,0),TRIM(SUBSTITUTE(SUBSTITUTE(" "&amp;F328," г "," "),"г.","")))</f>
        <v>Орел</v>
      </c>
    </row>
    <row r="329">
      <c r="A329" s="3" t="s">
        <v>2682</v>
      </c>
      <c r="B329" s="3" t="s">
        <v>5362</v>
      </c>
      <c r="C329" s="3" t="s">
        <v>5363</v>
      </c>
      <c r="D329" s="3" t="s">
        <v>3990</v>
      </c>
      <c r="E329" s="3" t="s">
        <v>5364</v>
      </c>
      <c r="F329" s="3" t="s">
        <v>4184</v>
      </c>
      <c r="G329" s="3" t="s">
        <v>5365</v>
      </c>
      <c r="H329" t="str">
        <f t="shared" si="215"/>
        <v xml:space="preserve">Анищенко Владимир Игоревич</v>
      </c>
      <c r="I329" s="5">
        <f>IFERROR(IF(ISNUMBER(FIND("-",C329)),DATE(VALUE(LEFT(C329,4)),VALUE(MID(C329,6,2)),VALUE(RIGHT(C329,2))),IF(ISNUMBER(FIND(".",C329)),DATE(VALUE(RIGHT(C329,4)),VALUE(MID(C329,4,2)),VALUE(LEFT(C329,2))),DATE(VALUE(RIGHT(C329,4)),VLOOKUP(TRIM(MID(C329,FIND(" ",C329)+1,LEN(C329)-FIND(" ",C329)-5)),Справочники!$M$3:$N$14,2,0),VALUE(LEFT(C329,FIND(" ",C329)-1))))),"")</f>
        <v>30551</v>
      </c>
      <c r="J329" s="6">
        <f t="shared" si="216"/>
        <v>43</v>
      </c>
      <c r="K329" t="str">
        <f t="shared" si="217"/>
        <v>ОК</v>
      </c>
      <c r="L329" s="5">
        <f>IFERROR(IF(ISNUMBER(FIND("-",G329)),DATE(VALUE(LEFT(G329,4)),VALUE(MID(G329,6,2)),VALUE(RIGHT(G329,2))),IF(ISNUMBER(FIND(".",G329)),DATE(VALUE(RIGHT(G329,4)),VALUE(MID(G329,4,2)),VALUE(LEFT(G329,2))),DATE(VALUE(RIGHT(G329,4)),VLOOKUP(TRIM(MID(G329,FIND(" ",G329)+1,LEN(G329)-FIND(" ",G329)-5)),Справочники!$M$3:$N$14,2,0),VALUE(LEFT(G329,FIND(" ",G329)-1))))),"")</f>
        <v>47880</v>
      </c>
      <c r="M329" t="str">
        <f t="shared" si="218"/>
        <v xml:space="preserve">+7 (903) 567-89-01</v>
      </c>
      <c r="N329" t="str">
        <f t="shared" si="219"/>
        <v>anischenko@mail</v>
      </c>
      <c r="O329" t="str">
        <f t="shared" si="220"/>
        <v xml:space="preserve">Ошибка Email</v>
      </c>
      <c r="P329" t="str">
        <f>IFERROR(VLOOKUP(TRIM(SUBSTITUTE(SUBSTITUTE(" "&amp;F329," г "," "),"г.","")),Справочники!$J$3:$K$102,2,0),TRIM(SUBSTITUTE(SUBSTITUTE(" "&amp;F329," г "," "),"г.","")))</f>
        <v>Магнитогорск</v>
      </c>
    </row>
    <row r="330">
      <c r="A330" s="3" t="s">
        <v>2684</v>
      </c>
      <c r="B330" s="3" t="s">
        <v>5366</v>
      </c>
      <c r="C330" s="3" t="s">
        <v>5367</v>
      </c>
      <c r="D330" s="3" t="s">
        <v>1598</v>
      </c>
      <c r="E330" s="3" t="s">
        <v>5368</v>
      </c>
      <c r="F330" s="3" t="s">
        <v>4205</v>
      </c>
      <c r="G330" s="3" t="s">
        <v>5369</v>
      </c>
      <c r="H330" t="str">
        <f t="shared" si="215"/>
        <v xml:space="preserve">Стукалова Ольга Сергеевна</v>
      </c>
      <c r="I330" s="5">
        <f>IFERROR(IF(ISNUMBER(FIND("-",C330)),DATE(VALUE(LEFT(C330,4)),VALUE(MID(C330,6,2)),VALUE(RIGHT(C330,2))),IF(ISNUMBER(FIND(".",C330)),DATE(VALUE(RIGHT(C330,4)),VALUE(MID(C330,4,2)),VALUE(LEFT(C330,2))),DATE(VALUE(RIGHT(C330,4)),VLOOKUP(TRIM(MID(C330,FIND(" ",C330)+1,LEN(C330)-FIND(" ",C330)-5)),Справочники!$M$3:$N$14,2,0),VALUE(LEFT(C330,FIND(" ",C330)-1))))),"")</f>
        <v>32824</v>
      </c>
      <c r="J330" s="6">
        <f t="shared" si="216"/>
        <v>36</v>
      </c>
      <c r="K330" t="str">
        <f t="shared" si="217"/>
        <v>ОК</v>
      </c>
      <c r="L330" s="5">
        <f>IFERROR(IF(ISNUMBER(FIND("-",G330)),DATE(VALUE(LEFT(G330,4)),VALUE(MID(G330,6,2)),VALUE(RIGHT(G330,2))),IF(ISNUMBER(FIND(".",G330)),DATE(VALUE(RIGHT(G330,4)),VALUE(MID(G330,4,2)),VALUE(LEFT(G330,2))),DATE(VALUE(RIGHT(G330,4)),VLOOKUP(TRIM(MID(G330,FIND(" ",G330)+1,LEN(G330)-FIND(" ",G330)-5)),Справочники!$M$3:$N$14,2,0),VALUE(LEFT(G330,FIND(" ",G330)-1))))),"")</f>
        <v>47889</v>
      </c>
      <c r="M330" t="str">
        <f t="shared" si="218"/>
        <v xml:space="preserve">+7 (903) 567-89-01</v>
      </c>
      <c r="N330" t="str">
        <f t="shared" si="219"/>
        <v>stukalova@yandex</v>
      </c>
      <c r="O330" t="str">
        <f t="shared" si="220"/>
        <v xml:space="preserve">Ошибка Email</v>
      </c>
      <c r="P330" t="str">
        <f>IFERROR(VLOOKUP(TRIM(SUBSTITUTE(SUBSTITUTE(" "&amp;F330," г "," "),"г.","")),Справочники!$J$3:$K$102,2,0),TRIM(SUBSTITUTE(SUBSTITUTE(" "&amp;F330," г "," "),"г.","")))</f>
        <v>Якутск</v>
      </c>
    </row>
    <row r="331">
      <c r="A331" s="3" t="s">
        <v>2686</v>
      </c>
      <c r="B331" s="3" t="s">
        <v>5370</v>
      </c>
      <c r="C331" s="3" t="s">
        <v>5371</v>
      </c>
      <c r="D331" s="3" t="s">
        <v>4116</v>
      </c>
      <c r="E331" s="3" t="s">
        <v>5372</v>
      </c>
      <c r="F331" s="3" t="s">
        <v>4152</v>
      </c>
      <c r="G331" s="3" t="s">
        <v>5373</v>
      </c>
      <c r="H331" t="str">
        <f t="shared" si="215"/>
        <v xml:space="preserve">Панков Андрей Владимирович</v>
      </c>
      <c r="I331" s="5">
        <f>IFERROR(IF(ISNUMBER(FIND("-",C331)),DATE(VALUE(LEFT(C331,4)),VALUE(MID(C331,6,2)),VALUE(RIGHT(C331,2))),IF(ISNUMBER(FIND(".",C331)),DATE(VALUE(RIGHT(C331,4)),VALUE(MID(C331,4,2)),VALUE(LEFT(C331,2))),DATE(VALUE(RIGHT(C331,4)),VLOOKUP(TRIM(MID(C331,FIND(" ",C331)+1,LEN(C331)-FIND(" ",C331)-5)),Справочники!$M$3:$N$14,2,0),VALUE(LEFT(C331,FIND(" ",C331)-1))))),"")</f>
        <v>25969</v>
      </c>
      <c r="J331" s="6">
        <f t="shared" si="216"/>
        <v>55</v>
      </c>
      <c r="K331" t="str">
        <f t="shared" si="217"/>
        <v>ОК</v>
      </c>
      <c r="L331" s="5">
        <f>IFERROR(IF(ISNUMBER(FIND("-",G331)),DATE(VALUE(LEFT(G331,4)),VALUE(MID(G331,6,2)),VALUE(RIGHT(G331,2))),IF(ISNUMBER(FIND(".",G331)),DATE(VALUE(RIGHT(G331,4)),VALUE(MID(G331,4,2)),VALUE(LEFT(G331,2))),DATE(VALUE(RIGHT(G331,4)),VLOOKUP(TRIM(MID(G331,FIND(" ",G331)+1,LEN(G331)-FIND(" ",G331)-5)),Справочники!$M$3:$N$14,2,0),VALUE(LEFT(G331,FIND(" ",G331)-1))))),"")</f>
        <v>47889</v>
      </c>
      <c r="M331" t="str">
        <f t="shared" si="218"/>
        <v xml:space="preserve">+7 (903) 678-90-12</v>
      </c>
      <c r="N331" t="str">
        <f t="shared" si="219"/>
        <v>pankov@gmail</v>
      </c>
      <c r="O331" t="str">
        <f t="shared" si="220"/>
        <v xml:space="preserve">Ошибка Email</v>
      </c>
      <c r="P331" t="str">
        <f>IFERROR(VLOOKUP(TRIM(SUBSTITUTE(SUBSTITUTE(" "&amp;F331," г "," "),"г.","")),Справочники!$J$3:$K$102,2,0),TRIM(SUBSTITUTE(SUBSTITUTE(" "&amp;F331," г "," "),"г.","")))</f>
        <v>Чебоксары</v>
      </c>
    </row>
    <row r="332">
      <c r="A332" s="3" t="s">
        <v>2689</v>
      </c>
      <c r="B332" s="3" t="s">
        <v>5374</v>
      </c>
      <c r="C332" s="3" t="s">
        <v>5375</v>
      </c>
      <c r="D332" s="3" t="s">
        <v>4122</v>
      </c>
      <c r="E332" s="3" t="s">
        <v>5376</v>
      </c>
      <c r="F332" s="3" t="s">
        <v>4245</v>
      </c>
      <c r="G332" s="3" t="s">
        <v>5377</v>
      </c>
      <c r="H332" t="str">
        <f t="shared" si="215"/>
        <v xml:space="preserve">Коршунова Елена Петровна</v>
      </c>
      <c r="I332" s="5">
        <f>IFERROR(IF(ISNUMBER(FIND("-",C332)),DATE(VALUE(LEFT(C332,4)),VALUE(MID(C332,6,2)),VALUE(RIGHT(C332,2))),IF(ISNUMBER(FIND(".",C332)),DATE(VALUE(RIGHT(C332,4)),VALUE(MID(C332,4,2)),VALUE(LEFT(C332,2))),DATE(VALUE(RIGHT(C332,4)),VLOOKUP(TRIM(MID(C332,FIND(" ",C332)+1,LEN(C332)-FIND(" ",C332)-5)),Справочники!$M$3:$N$14,2,0),VALUE(LEFT(C332,FIND(" ",C332)-1))))),"")</f>
        <v>31247</v>
      </c>
      <c r="J332" s="6">
        <f t="shared" si="216"/>
        <v>41</v>
      </c>
      <c r="K332" t="str">
        <f t="shared" si="217"/>
        <v>ОК</v>
      </c>
      <c r="L332" s="5">
        <f>IFERROR(IF(ISNUMBER(FIND("-",G332)),DATE(VALUE(LEFT(G332,4)),VALUE(MID(G332,6,2)),VALUE(RIGHT(G332,2))),IF(ISNUMBER(FIND(".",G332)),DATE(VALUE(RIGHT(G332,4)),VALUE(MID(G332,4,2)),VALUE(LEFT(G332,2))),DATE(VALUE(RIGHT(G332,4)),VLOOKUP(TRIM(MID(G332,FIND(" ",G332)+1,LEN(G332)-FIND(" ",G332)-5)),Справочники!$M$3:$N$14,2,0),VALUE(LEFT(G332,FIND(" ",G332)-1))))),"")</f>
        <v>47908</v>
      </c>
      <c r="M332" t="str">
        <f t="shared" si="218"/>
        <v xml:space="preserve">+7 (903) 678-90-12</v>
      </c>
      <c r="N332" t="str">
        <f t="shared" si="219"/>
        <v>korshunova@mail</v>
      </c>
      <c r="O332" t="str">
        <f t="shared" si="220"/>
        <v xml:space="preserve">Ошибка Email</v>
      </c>
      <c r="P332" t="str">
        <f>IFERROR(VLOOKUP(TRIM(SUBSTITUTE(SUBSTITUTE(" "&amp;F332," г "," "),"г.","")),Справочники!$J$3:$K$102,2,0),TRIM(SUBSTITUTE(SUBSTITUTE(" "&amp;F332," г "," "),"г.","")))</f>
        <v>Мурманск</v>
      </c>
    </row>
    <row r="333">
      <c r="A333" s="3" t="s">
        <v>2691</v>
      </c>
      <c r="B333" s="3" t="s">
        <v>5378</v>
      </c>
      <c r="C333" s="3" t="s">
        <v>5379</v>
      </c>
      <c r="D333" s="3" t="s">
        <v>1605</v>
      </c>
      <c r="E333" s="3" t="s">
        <v>5380</v>
      </c>
      <c r="F333" s="3" t="s">
        <v>4235</v>
      </c>
      <c r="G333" s="3" t="s">
        <v>5381</v>
      </c>
      <c r="H333" t="str">
        <f t="shared" si="215"/>
        <v xml:space="preserve">Гордеев Сергей Александрович</v>
      </c>
      <c r="I333" s="5">
        <f>IFERROR(IF(ISNUMBER(FIND("-",C333)),DATE(VALUE(LEFT(C333,4)),VALUE(MID(C333,6,2)),VALUE(RIGHT(C333,2))),IF(ISNUMBER(FIND(".",C333)),DATE(VALUE(RIGHT(C333,4)),VALUE(MID(C333,4,2)),VALUE(LEFT(C333,2))),DATE(VALUE(RIGHT(C333,4)),VLOOKUP(TRIM(MID(C333,FIND(" ",C333)+1,LEN(C333)-FIND(" ",C333)-5)),Справочники!$M$3:$N$14,2,0),VALUE(LEFT(C333,FIND(" ",C333)-1))))),"")</f>
        <v>34635</v>
      </c>
      <c r="J333" s="6">
        <f t="shared" si="216"/>
        <v>31</v>
      </c>
      <c r="K333" t="str">
        <f t="shared" si="217"/>
        <v>ОК</v>
      </c>
      <c r="L333" s="5">
        <f>IFERROR(IF(ISNUMBER(FIND("-",G333)),DATE(VALUE(LEFT(G333,4)),VALUE(MID(G333,6,2)),VALUE(RIGHT(G333,2))),IF(ISNUMBER(FIND(".",G333)),DATE(VALUE(RIGHT(G333,4)),VALUE(MID(G333,4,2)),VALUE(LEFT(G333,2))),DATE(VALUE(RIGHT(G333,4)),VLOOKUP(TRIM(MID(G333,FIND(" ",G333)+1,LEN(G333)-FIND(" ",G333)-5)),Справочники!$M$3:$N$14,2,0),VALUE(LEFT(G333,FIND(" ",G333)-1))))),"")</f>
        <v>47922</v>
      </c>
      <c r="M333" t="str">
        <f t="shared" si="218"/>
        <v xml:space="preserve">+7 (903) 678-90-12</v>
      </c>
      <c r="N333" t="str">
        <f t="shared" si="219"/>
        <v>gordeev@yandex</v>
      </c>
      <c r="O333" t="str">
        <f t="shared" si="220"/>
        <v xml:space="preserve">Ошибка Email</v>
      </c>
      <c r="P333" t="str">
        <f>IFERROR(VLOOKUP(TRIM(SUBSTITUTE(SUBSTITUTE(" "&amp;F333," г "," "),"г.","")),Справочники!$J$3:$K$102,2,0),TRIM(SUBSTITUTE(SUBSTITUTE(" "&amp;F333," г "," "),"г.","")))</f>
        <v>Смоленск</v>
      </c>
    </row>
    <row r="334">
      <c r="A334" s="3" t="s">
        <v>2694</v>
      </c>
      <c r="B334" s="3" t="s">
        <v>5382</v>
      </c>
      <c r="C334" s="3" t="s">
        <v>4652</v>
      </c>
      <c r="D334" s="3" t="s">
        <v>4001</v>
      </c>
      <c r="E334" s="3" t="s">
        <v>4274</v>
      </c>
      <c r="F334" s="3" t="s">
        <v>4220</v>
      </c>
      <c r="G334" s="3" t="s">
        <v>5383</v>
      </c>
      <c r="H334" t="str">
        <f t="shared" si="215"/>
        <v xml:space="preserve">Новикова Татьяна Владимировна</v>
      </c>
      <c r="I334" s="5">
        <f>IFERROR(IF(ISNUMBER(FIND("-",C334)),DATE(VALUE(LEFT(C334,4)),VALUE(MID(C334,6,2)),VALUE(RIGHT(C334,2))),IF(ISNUMBER(FIND(".",C334)),DATE(VALUE(RIGHT(C334,4)),VALUE(MID(C334,4,2)),VALUE(LEFT(C334,2))),DATE(VALUE(RIGHT(C334,4)),VLOOKUP(TRIM(MID(C334,FIND(" ",C334)+1,LEN(C334)-FIND(" ",C334)-5)),Справочники!$M$3:$N$14,2,0),VALUE(LEFT(C334,FIND(" ",C334)-1))))),"")</f>
        <v>27927</v>
      </c>
      <c r="J334" s="6">
        <f t="shared" si="216"/>
        <v>50</v>
      </c>
      <c r="K334" t="str">
        <f t="shared" si="217"/>
        <v>ОК</v>
      </c>
      <c r="L334" s="5">
        <f>IFERROR(IF(ISNUMBER(FIND("-",G334)),DATE(VALUE(LEFT(G334,4)),VALUE(MID(G334,6,2)),VALUE(RIGHT(G334,2))),IF(ISNUMBER(FIND(".",G334)),DATE(VALUE(RIGHT(G334,4)),VALUE(MID(G334,4,2)),VALUE(LEFT(G334,2))),DATE(VALUE(RIGHT(G334,4)),VLOOKUP(TRIM(MID(G334,FIND(" ",G334)+1,LEN(G334)-FIND(" ",G334)-5)),Справочники!$M$3:$N$14,2,0),VALUE(LEFT(G334,FIND(" ",G334)-1))))),"")</f>
        <v>47922</v>
      </c>
      <c r="M334" t="str">
        <f t="shared" si="218"/>
        <v xml:space="preserve">+7 (903) 789-01-23</v>
      </c>
      <c r="N334" t="str">
        <f t="shared" si="219"/>
        <v>novikova@gmail</v>
      </c>
      <c r="O334" t="str">
        <f t="shared" si="220"/>
        <v xml:space="preserve">Ошибка Email</v>
      </c>
      <c r="P334" t="str">
        <f>IFERROR(VLOOKUP(TRIM(SUBSTITUTE(SUBSTITUTE(" "&amp;F334," г "," "),"г.","")),Справочники!$J$3:$K$102,2,0),TRIM(SUBSTITUTE(SUBSTITUTE(" "&amp;F334," г "," "),"г.","")))</f>
        <v>Тула</v>
      </c>
    </row>
    <row r="335">
      <c r="A335" s="3" t="s">
        <v>2695</v>
      </c>
      <c r="B335" s="3" t="s">
        <v>5384</v>
      </c>
      <c r="C335" s="3" t="s">
        <v>5385</v>
      </c>
      <c r="D335" s="3" t="s">
        <v>4138</v>
      </c>
      <c r="E335" s="3" t="s">
        <v>5386</v>
      </c>
      <c r="F335" s="3" t="s">
        <v>4225</v>
      </c>
      <c r="G335" s="3" t="s">
        <v>5387</v>
      </c>
      <c r="H335" t="str">
        <f t="shared" si="215"/>
        <v xml:space="preserve">Меркулова Ирина Алексеевна</v>
      </c>
      <c r="I335" s="5">
        <f>IFERROR(IF(ISNUMBER(FIND("-",C335)),DATE(VALUE(LEFT(C335,4)),VALUE(MID(C335,6,2)),VALUE(RIGHT(C335,2))),IF(ISNUMBER(FIND(".",C335)),DATE(VALUE(RIGHT(C335,4)),VALUE(MID(C335,4,2)),VALUE(LEFT(C335,2))),DATE(VALUE(RIGHT(C335,4)),VLOOKUP(TRIM(MID(C335,FIND(" ",C335)+1,LEN(C335)-FIND(" ",C335)-5)),Справочники!$M$3:$N$14,2,0),VALUE(LEFT(C335,FIND(" ",C335)-1))))),"")</f>
        <v>30013</v>
      </c>
      <c r="J335" s="6">
        <f t="shared" si="216"/>
        <v>44</v>
      </c>
      <c r="K335" t="str">
        <f t="shared" si="217"/>
        <v>ОК</v>
      </c>
      <c r="L335" s="5">
        <f>IFERROR(IF(ISNUMBER(FIND("-",G335)),DATE(VALUE(LEFT(G335,4)),VALUE(MID(G335,6,2)),VALUE(RIGHT(G335,2))),IF(ISNUMBER(FIND(".",G335)),DATE(VALUE(RIGHT(G335,4)),VALUE(MID(G335,4,2)),VALUE(LEFT(G335,2))),DATE(VALUE(RIGHT(G335,4)),VLOOKUP(TRIM(MID(G335,FIND(" ",G335)+1,LEN(G335)-FIND(" ",G335)-5)),Справочники!$M$3:$N$14,2,0),VALUE(LEFT(G335,FIND(" ",G335)-1))))),"")</f>
        <v>47939</v>
      </c>
      <c r="M335" t="str">
        <f t="shared" si="218"/>
        <v xml:space="preserve">+7 (903) 789-01-23</v>
      </c>
      <c r="N335" t="str">
        <f t="shared" si="219"/>
        <v>merkulova@mail</v>
      </c>
      <c r="O335" t="str">
        <f t="shared" si="220"/>
        <v xml:space="preserve">Ошибка Email</v>
      </c>
      <c r="P335" t="str">
        <f>IFERROR(VLOOKUP(TRIM(SUBSTITUTE(SUBSTITUTE(" "&amp;F335," г "," "),"г.","")),Справочники!$J$3:$K$102,2,0),TRIM(SUBSTITUTE(SUBSTITUTE(" "&amp;F335," г "," "),"г.","")))</f>
        <v>Калуга</v>
      </c>
    </row>
    <row r="336">
      <c r="A336" s="3" t="s">
        <v>2698</v>
      </c>
      <c r="B336" s="3" t="s">
        <v>5388</v>
      </c>
      <c r="C336" s="3" t="s">
        <v>5389</v>
      </c>
      <c r="D336" s="3" t="s">
        <v>4144</v>
      </c>
      <c r="E336" s="3" t="s">
        <v>5390</v>
      </c>
      <c r="F336" s="3" t="s">
        <v>4230</v>
      </c>
      <c r="G336" s="3" t="s">
        <v>5391</v>
      </c>
      <c r="H336" t="str">
        <f t="shared" si="215"/>
        <v xml:space="preserve">Ланской Илья Евгеньевич</v>
      </c>
      <c r="I336" s="5">
        <f>IFERROR(IF(ISNUMBER(FIND("-",C336)),DATE(VALUE(LEFT(C336,4)),VALUE(MID(C336,6,2)),VALUE(RIGHT(C336,2))),IF(ISNUMBER(FIND(".",C336)),DATE(VALUE(RIGHT(C336,4)),VALUE(MID(C336,4,2)),VALUE(LEFT(C336,2))),DATE(VALUE(RIGHT(C336,4)),VLOOKUP(TRIM(MID(C336,FIND(" ",C336)+1,LEN(C336)-FIND(" ",C336)-5)),Справочники!$M$3:$N$14,2,0),VALUE(LEFT(C336,FIND(" ",C336)-1))))),"")</f>
        <v>33231</v>
      </c>
      <c r="J336" s="6">
        <f t="shared" si="216"/>
        <v>35</v>
      </c>
      <c r="K336" t="str">
        <f t="shared" si="217"/>
        <v>ОК</v>
      </c>
      <c r="L336" s="5">
        <f>IFERROR(IF(ISNUMBER(FIND("-",G336)),DATE(VALUE(LEFT(G336,4)),VALUE(MID(G336,6,2)),VALUE(RIGHT(G336,2))),IF(ISNUMBER(FIND(".",G336)),DATE(VALUE(RIGHT(G336,4)),VALUE(MID(G336,4,2)),VALUE(LEFT(G336,2))),DATE(VALUE(RIGHT(G336,4)),VLOOKUP(TRIM(MID(G336,FIND(" ",G336)+1,LEN(G336)-FIND(" ",G336)-5)),Справочники!$M$3:$N$14,2,0),VALUE(LEFT(G336,FIND(" ",G336)-1))))),"")</f>
        <v>47948</v>
      </c>
      <c r="M336" t="str">
        <f t="shared" si="218"/>
        <v xml:space="preserve">+7 (903) 789-01-23</v>
      </c>
      <c r="N336" t="str">
        <f t="shared" si="219"/>
        <v>lanskoy@yandex</v>
      </c>
      <c r="O336" t="str">
        <f t="shared" si="220"/>
        <v xml:space="preserve">Ошибка Email</v>
      </c>
      <c r="P336" t="str">
        <f>IFERROR(VLOOKUP(TRIM(SUBSTITUTE(SUBSTITUTE(" "&amp;F336," г "," "),"г.","")),Справочники!$J$3:$K$102,2,0),TRIM(SUBSTITUTE(SUBSTITUTE(" "&amp;F336," г "," "),"г.","")))</f>
        <v>Владикавказ</v>
      </c>
    </row>
    <row r="337">
      <c r="A337" s="3" t="s">
        <v>2700</v>
      </c>
      <c r="B337" s="3" t="s">
        <v>5392</v>
      </c>
      <c r="C337" s="3" t="s">
        <v>5393</v>
      </c>
      <c r="D337" s="3" t="s">
        <v>4150</v>
      </c>
      <c r="E337" s="3" t="s">
        <v>5394</v>
      </c>
      <c r="F337" s="3" t="s">
        <v>4235</v>
      </c>
      <c r="G337" s="3" t="s">
        <v>5395</v>
      </c>
      <c r="H337" t="str">
        <f t="shared" si="215"/>
        <v xml:space="preserve">Карельский Денис Олегович</v>
      </c>
      <c r="I337" s="5">
        <f>IFERROR(IF(ISNUMBER(FIND("-",C337)),DATE(VALUE(LEFT(C337,4)),VALUE(MID(C337,6,2)),VALUE(RIGHT(C337,2))),IF(ISNUMBER(FIND(".",C337)),DATE(VALUE(RIGHT(C337,4)),VALUE(MID(C337,4,2)),VALUE(LEFT(C337,2))),DATE(VALUE(RIGHT(C337,4)),VLOOKUP(TRIM(MID(C337,FIND(" ",C337)+1,LEN(C337)-FIND(" ",C337)-5)),Справочники!$M$3:$N$14,2,0),VALUE(LEFT(C337,FIND(" ",C337)-1))))),"")</f>
        <v>26887</v>
      </c>
      <c r="J337" s="6">
        <f t="shared" si="216"/>
        <v>53</v>
      </c>
      <c r="K337" t="str">
        <f t="shared" si="217"/>
        <v>ОК</v>
      </c>
      <c r="L337" s="5">
        <f>IFERROR(IF(ISNUMBER(FIND("-",G337)),DATE(VALUE(LEFT(G337,4)),VALUE(MID(G337,6,2)),VALUE(RIGHT(G337,2))),IF(ISNUMBER(FIND(".",G337)),DATE(VALUE(RIGHT(G337,4)),VALUE(MID(G337,4,2)),VALUE(LEFT(G337,2))),DATE(VALUE(RIGHT(G337,4)),VLOOKUP(TRIM(MID(G337,FIND(" ",G337)+1,LEN(G337)-FIND(" ",G337)-5)),Справочники!$M$3:$N$14,2,0),VALUE(LEFT(G337,FIND(" ",G337)-1))))),"")</f>
        <v>47948</v>
      </c>
      <c r="M337" t="str">
        <f t="shared" si="218"/>
        <v xml:space="preserve">+7 (903) 890-12-34</v>
      </c>
      <c r="N337" t="str">
        <f t="shared" si="219"/>
        <v>karelsky@gmail</v>
      </c>
      <c r="O337" t="str">
        <f t="shared" si="220"/>
        <v xml:space="preserve">Ошибка Email</v>
      </c>
      <c r="P337" t="str">
        <f>IFERROR(VLOOKUP(TRIM(SUBSTITUTE(SUBSTITUTE(" "&amp;F337," г "," "),"г.","")),Справочники!$J$3:$K$102,2,0),TRIM(SUBSTITUTE(SUBSTITUTE(" "&amp;F337," г "," "),"г.","")))</f>
        <v>Смоленск</v>
      </c>
    </row>
    <row r="338">
      <c r="A338" s="3" t="s">
        <v>2702</v>
      </c>
      <c r="B338" s="3" t="s">
        <v>5396</v>
      </c>
      <c r="C338" s="3" t="s">
        <v>5397</v>
      </c>
      <c r="D338" s="3" t="s">
        <v>4007</v>
      </c>
      <c r="E338" s="3" t="s">
        <v>5398</v>
      </c>
      <c r="F338" s="3" t="s">
        <v>4240</v>
      </c>
      <c r="G338" s="3" t="s">
        <v>5399</v>
      </c>
      <c r="H338" t="str">
        <f t="shared" si="215"/>
        <v xml:space="preserve">Шилова Оксана Викторовна</v>
      </c>
      <c r="I338" s="5">
        <f>IFERROR(IF(ISNUMBER(FIND("-",C338)),DATE(VALUE(LEFT(C338,4)),VALUE(MID(C338,6,2)),VALUE(RIGHT(C338,2))),IF(ISNUMBER(FIND(".",C338)),DATE(VALUE(RIGHT(C338,4)),VALUE(MID(C338,4,2)),VALUE(LEFT(C338,2))),DATE(VALUE(RIGHT(C338,4)),VLOOKUP(TRIM(MID(C338,FIND(" ",C338)+1,LEN(C338)-FIND(" ",C338)-5)),Справочники!$M$3:$N$14,2,0),VALUE(LEFT(C338,FIND(" ",C338)-1))))),"")</f>
        <v>30831</v>
      </c>
      <c r="J338" s="6">
        <f t="shared" si="216"/>
        <v>42</v>
      </c>
      <c r="K338" t="str">
        <f t="shared" si="217"/>
        <v>ОК</v>
      </c>
      <c r="L338" s="5">
        <f>IFERROR(IF(ISNUMBER(FIND("-",G338)),DATE(VALUE(LEFT(G338,4)),VALUE(MID(G338,6,2)),VALUE(RIGHT(G338,2))),IF(ISNUMBER(FIND(".",G338)),DATE(VALUE(RIGHT(G338,4)),VALUE(MID(G338,4,2)),VALUE(LEFT(G338,2))),DATE(VALUE(RIGHT(G338,4)),VLOOKUP(TRIM(MID(G338,FIND(" ",G338)+1,LEN(G338)-FIND(" ",G338)-5)),Справочники!$M$3:$N$14,2,0),VALUE(LEFT(G338,FIND(" ",G338)-1))))),"")</f>
        <v>47969</v>
      </c>
      <c r="M338" t="str">
        <f t="shared" si="218"/>
        <v xml:space="preserve">+7 (903) 890-12-34</v>
      </c>
      <c r="N338" t="str">
        <f t="shared" si="219"/>
        <v>shilova@mail</v>
      </c>
      <c r="O338" t="str">
        <f t="shared" si="220"/>
        <v xml:space="preserve">Ошибка Email</v>
      </c>
      <c r="P338" t="str">
        <f>IFERROR(VLOOKUP(TRIM(SUBSTITUTE(SUBSTITUTE(" "&amp;F338," г "," "),"г.","")),Справочники!$J$3:$K$102,2,0),TRIM(SUBSTITUTE(SUBSTITUTE(" "&amp;F338," г "," "),"г.","")))</f>
        <v>Белгород</v>
      </c>
    </row>
    <row r="339">
      <c r="A339" s="3" t="s">
        <v>2704</v>
      </c>
      <c r="B339" s="3" t="s">
        <v>5400</v>
      </c>
      <c r="C339" s="3" t="s">
        <v>5401</v>
      </c>
      <c r="D339" s="3" t="s">
        <v>1619</v>
      </c>
      <c r="E339" s="3" t="s">
        <v>5402</v>
      </c>
      <c r="F339" s="3" t="s">
        <v>4245</v>
      </c>
      <c r="G339" s="3" t="s">
        <v>5403</v>
      </c>
      <c r="H339" t="str">
        <f t="shared" si="215"/>
        <v xml:space="preserve">Козырев Никита Павлович</v>
      </c>
      <c r="I339" s="5">
        <f>IFERROR(IF(ISNUMBER(FIND("-",C339)),DATE(VALUE(LEFT(C339,4)),VALUE(MID(C339,6,2)),VALUE(RIGHT(C339,2))),IF(ISNUMBER(FIND(".",C339)),DATE(VALUE(RIGHT(C339,4)),VALUE(MID(C339,4,2)),VALUE(LEFT(C339,2))),DATE(VALUE(RIGHT(C339,4)),VLOOKUP(TRIM(MID(C339,FIND(" ",C339)+1,LEN(C339)-FIND(" ",C339)-5)),Справочники!$M$3:$N$14,2,0),VALUE(LEFT(C339,FIND(" ",C339)-1))))),"")</f>
        <v>33503</v>
      </c>
      <c r="J339" s="6">
        <f t="shared" si="216"/>
        <v>35</v>
      </c>
      <c r="K339" t="str">
        <f t="shared" si="217"/>
        <v>ОК</v>
      </c>
      <c r="L339" s="5">
        <f>IFERROR(IF(ISNUMBER(FIND("-",G339)),DATE(VALUE(LEFT(G339,4)),VALUE(MID(G339,6,2)),VALUE(RIGHT(G339,2))),IF(ISNUMBER(FIND(".",G339)),DATE(VALUE(RIGHT(G339,4)),VALUE(MID(G339,4,2)),VALUE(LEFT(G339,2))),DATE(VALUE(RIGHT(G339,4)),VLOOKUP(TRIM(MID(G339,FIND(" ",G339)+1,LEN(G339)-FIND(" ",G339)-5)),Справочники!$M$3:$N$14,2,0),VALUE(LEFT(G339,FIND(" ",G339)-1))))),"")</f>
        <v>47983</v>
      </c>
      <c r="M339" t="str">
        <f t="shared" si="218"/>
        <v xml:space="preserve">+7 (903) 890-12-34</v>
      </c>
      <c r="N339" t="str">
        <f t="shared" si="219"/>
        <v>kozyrev@yandex</v>
      </c>
      <c r="O339" t="str">
        <f t="shared" si="220"/>
        <v xml:space="preserve">Ошибка Email</v>
      </c>
      <c r="P339" t="str">
        <f>IFERROR(VLOOKUP(TRIM(SUBSTITUTE(SUBSTITUTE(" "&amp;F339," г "," "),"г.","")),Справочники!$J$3:$K$102,2,0),TRIM(SUBSTITUTE(SUBSTITUTE(" "&amp;F339," г "," "),"г.","")))</f>
        <v>Мурманск</v>
      </c>
    </row>
    <row r="340">
      <c r="A340" s="3" t="s">
        <v>2706</v>
      </c>
      <c r="B340" s="3" t="s">
        <v>5404</v>
      </c>
      <c r="C340" s="3" t="s">
        <v>5405</v>
      </c>
      <c r="D340" s="3" t="s">
        <v>4018</v>
      </c>
      <c r="E340" s="3" t="s">
        <v>5406</v>
      </c>
      <c r="F340" s="3" t="s">
        <v>4250</v>
      </c>
      <c r="G340" s="3" t="s">
        <v>5407</v>
      </c>
      <c r="H340" t="str">
        <f t="shared" si="215"/>
        <v xml:space="preserve">Купреева Мария Александровна</v>
      </c>
      <c r="I340" s="5">
        <f>IFERROR(IF(ISNUMBER(FIND("-",C340)),DATE(VALUE(LEFT(C340,4)),VALUE(MID(C340,6,2)),VALUE(RIGHT(C340,2))),IF(ISNUMBER(FIND(".",C340)),DATE(VALUE(RIGHT(C340,4)),VALUE(MID(C340,4,2)),VALUE(LEFT(C340,2))),DATE(VALUE(RIGHT(C340,4)),VLOOKUP(TRIM(MID(C340,FIND(" ",C340)+1,LEN(C340)-FIND(" ",C340)-5)),Справочники!$M$3:$N$14,2,0),VALUE(LEFT(C340,FIND(" ",C340)-1))))),"")</f>
        <v>28861</v>
      </c>
      <c r="J340" s="6">
        <f t="shared" si="216"/>
        <v>47</v>
      </c>
      <c r="K340" t="str">
        <f t="shared" si="217"/>
        <v>ОК</v>
      </c>
      <c r="L340" s="5">
        <f>IFERROR(IF(ISNUMBER(FIND("-",G340)),DATE(VALUE(LEFT(G340,4)),VALUE(MID(G340,6,2)),VALUE(RIGHT(G340,2))),IF(ISNUMBER(FIND(".",G340)),DATE(VALUE(RIGHT(G340,4)),VALUE(MID(G340,4,2)),VALUE(LEFT(G340,2))),DATE(VALUE(RIGHT(G340,4)),VLOOKUP(TRIM(MID(G340,FIND(" ",G340)+1,LEN(G340)-FIND(" ",G340)-5)),Справочники!$M$3:$N$14,2,0),VALUE(LEFT(G340,FIND(" ",G340)-1))))),"")</f>
        <v>47983</v>
      </c>
      <c r="M340" t="str">
        <f t="shared" si="218"/>
        <v xml:space="preserve">+7 (903) 901-23-45</v>
      </c>
      <c r="N340" t="str">
        <f t="shared" si="219"/>
        <v>kupreeva@gmail</v>
      </c>
      <c r="O340" t="str">
        <f t="shared" si="220"/>
        <v xml:space="preserve">Ошибка Email</v>
      </c>
      <c r="P340" t="str">
        <f>IFERROR(VLOOKUP(TRIM(SUBSTITUTE(SUBSTITUTE(" "&amp;F340," г "," "),"г.","")),Справочники!$J$3:$K$102,2,0),TRIM(SUBSTITUTE(SUBSTITUTE(" "&amp;F340," г "," "),"г.","")))</f>
        <v>Ставрополь</v>
      </c>
    </row>
    <row r="341">
      <c r="A341" s="3" t="s">
        <v>2707</v>
      </c>
      <c r="B341" s="3" t="s">
        <v>5408</v>
      </c>
      <c r="C341" s="3" t="s">
        <v>5409</v>
      </c>
      <c r="D341" s="3" t="s">
        <v>1626</v>
      </c>
      <c r="E341" s="3" t="s">
        <v>5410</v>
      </c>
      <c r="F341" s="3" t="s">
        <v>4255</v>
      </c>
      <c r="G341" s="3" t="s">
        <v>5411</v>
      </c>
      <c r="H341" t="str">
        <f t="shared" si="215"/>
        <v xml:space="preserve">Разумовский Олег Сергеевич</v>
      </c>
      <c r="I341" s="5">
        <f>IFERROR(IF(ISNUMBER(FIND("-",C341)),DATE(VALUE(LEFT(C341,4)),VALUE(MID(C341,6,2)),VALUE(RIGHT(C341,2))),IF(ISNUMBER(FIND(".",C341)),DATE(VALUE(RIGHT(C341,4)),VALUE(MID(C341,4,2)),VALUE(LEFT(C341,2))),DATE(VALUE(RIGHT(C341,4)),VLOOKUP(TRIM(MID(C341,FIND(" ",C341)+1,LEN(C341)-FIND(" ",C341)-5)),Справочники!$M$3:$N$14,2,0),VALUE(LEFT(C341,FIND(" ",C341)-1))))),"")</f>
        <v>31733</v>
      </c>
      <c r="J341" s="6">
        <f t="shared" si="216"/>
        <v>39</v>
      </c>
      <c r="K341" t="str">
        <f t="shared" si="217"/>
        <v>ОК</v>
      </c>
      <c r="L341" s="5">
        <f>IFERROR(IF(ISNUMBER(FIND("-",G341)),DATE(VALUE(LEFT(G341,4)),VALUE(MID(G341,6,2)),VALUE(RIGHT(G341,2))),IF(ISNUMBER(FIND(".",G341)),DATE(VALUE(RIGHT(G341,4)),VALUE(MID(G341,4,2)),VALUE(LEFT(G341,2))),DATE(VALUE(RIGHT(G341,4)),VLOOKUP(TRIM(MID(G341,FIND(" ",G341)+1,LEN(G341)-FIND(" ",G341)-5)),Справочники!$M$3:$N$14,2,0),VALUE(LEFT(G341,FIND(" ",G341)-1))))),"")</f>
        <v>48000</v>
      </c>
      <c r="M341" t="str">
        <f t="shared" si="218"/>
        <v xml:space="preserve">+7 (903) 901-23-45</v>
      </c>
      <c r="N341" t="str">
        <f t="shared" si="219"/>
        <v>razumovsky@mail</v>
      </c>
      <c r="O341" t="str">
        <f t="shared" si="220"/>
        <v xml:space="preserve">Ошибка Email</v>
      </c>
      <c r="P341" t="str">
        <f>IFERROR(VLOOKUP(TRIM(SUBSTITUTE(SUBSTITUTE(" "&amp;F341," г "," "),"г.","")),Справочники!$J$3:$K$102,2,0),TRIM(SUBSTITUTE(SUBSTITUTE(" "&amp;F341," г "," "),"г.","")))</f>
        <v>Севастополь</v>
      </c>
    </row>
    <row r="342">
      <c r="A342" s="3" t="s">
        <v>2710</v>
      </c>
      <c r="B342" s="3" t="s">
        <v>5412</v>
      </c>
      <c r="C342" s="3" t="s">
        <v>5413</v>
      </c>
      <c r="D342" s="3" t="s">
        <v>4176</v>
      </c>
      <c r="E342" s="3" t="s">
        <v>5262</v>
      </c>
      <c r="F342" s="3" t="s">
        <v>4260</v>
      </c>
      <c r="G342" s="3" t="s">
        <v>5414</v>
      </c>
      <c r="H342" t="str">
        <f t="shared" si="215"/>
        <v xml:space="preserve">Майорова Анастасия Игоревна</v>
      </c>
      <c r="I342" s="5">
        <f>IFERROR(IF(ISNUMBER(FIND("-",C342)),DATE(VALUE(LEFT(C342,4)),VALUE(MID(C342,6,2)),VALUE(RIGHT(C342,2))),IF(ISNUMBER(FIND(".",C342)),DATE(VALUE(RIGHT(C342,4)),VALUE(MID(C342,4,2)),VALUE(LEFT(C342,2))),DATE(VALUE(RIGHT(C342,4)),VLOOKUP(TRIM(MID(C342,FIND(" ",C342)+1,LEN(C342)-FIND(" ",C342)-5)),Справочники!$M$3:$N$14,2,0),VALUE(LEFT(C342,FIND(" ",C342)-1))))),"")</f>
        <v>30512</v>
      </c>
      <c r="J342" s="6">
        <f t="shared" si="216"/>
        <v>43</v>
      </c>
      <c r="K342" t="str">
        <f t="shared" si="217"/>
        <v>ОК</v>
      </c>
      <c r="L342" s="5">
        <f>IFERROR(IF(ISNUMBER(FIND("-",G342)),DATE(VALUE(LEFT(G342,4)),VALUE(MID(G342,6,2)),VALUE(RIGHT(G342,2))),IF(ISNUMBER(FIND(".",G342)),DATE(VALUE(RIGHT(G342,4)),VALUE(MID(G342,4,2)),VALUE(LEFT(G342,2))),DATE(VALUE(RIGHT(G342,4)),VLOOKUP(TRIM(MID(G342,FIND(" ",G342)+1,LEN(G342)-FIND(" ",G342)-5)),Справочники!$M$3:$N$14,2,0),VALUE(LEFT(G342,FIND(" ",G342)-1))))),"")</f>
        <v>48009</v>
      </c>
      <c r="M342" t="str">
        <f t="shared" si="218"/>
        <v xml:space="preserve">+7 (903) 901-23-45</v>
      </c>
      <c r="N342" t="str">
        <f t="shared" si="219"/>
        <v>mayorova@yandex</v>
      </c>
      <c r="O342" t="str">
        <f t="shared" si="220"/>
        <v xml:space="preserve">Ошибка Email</v>
      </c>
      <c r="P342" t="str">
        <f>IFERROR(VLOOKUP(TRIM(SUBSTITUTE(SUBSTITUTE(" "&amp;F342," г "," "),"г.","")),Справочники!$J$3:$K$102,2,0),TRIM(SUBSTITUTE(SUBSTITUTE(" "&amp;F342," г "," "),"г.","")))</f>
        <v>Сочи</v>
      </c>
    </row>
    <row r="343">
      <c r="A343" s="3" t="s">
        <v>2712</v>
      </c>
      <c r="B343" s="3" t="s">
        <v>5415</v>
      </c>
      <c r="C343" s="3" t="s">
        <v>5416</v>
      </c>
      <c r="D343" s="3" t="s">
        <v>4182</v>
      </c>
      <c r="E343" s="3" t="s">
        <v>5417</v>
      </c>
      <c r="F343" s="3" t="s">
        <v>4265</v>
      </c>
      <c r="G343" s="3" t="s">
        <v>5418</v>
      </c>
      <c r="H343" t="str">
        <f t="shared" si="215"/>
        <v xml:space="preserve">Скуратов Илья Владимирович</v>
      </c>
      <c r="I343" s="5">
        <f>IFERROR(IF(ISNUMBER(FIND("-",C343)),DATE(VALUE(LEFT(C343,4)),VALUE(MID(C343,6,2)),VALUE(RIGHT(C343,2))),IF(ISNUMBER(FIND(".",C343)),DATE(VALUE(RIGHT(C343,4)),VALUE(MID(C343,4,2)),VALUE(LEFT(C343,2))),DATE(VALUE(RIGHT(C343,4)),VLOOKUP(TRIM(MID(C343,FIND(" ",C343)+1,LEN(C343)-FIND(" ",C343)-5)),Справочники!$M$3:$N$14,2,0),VALUE(LEFT(C343,FIND(" ",C343)-1))))),"")</f>
        <v>27510</v>
      </c>
      <c r="J343" s="6">
        <f t="shared" si="216"/>
        <v>51</v>
      </c>
      <c r="K343" t="str">
        <f t="shared" si="217"/>
        <v>ОК</v>
      </c>
      <c r="L343" s="5">
        <f>IFERROR(IF(ISNUMBER(FIND("-",G343)),DATE(VALUE(LEFT(G343,4)),VALUE(MID(G343,6,2)),VALUE(RIGHT(G343,2))),IF(ISNUMBER(FIND(".",G343)),DATE(VALUE(RIGHT(G343,4)),VALUE(MID(G343,4,2)),VALUE(LEFT(G343,2))),DATE(VALUE(RIGHT(G343,4)),VLOOKUP(TRIM(MID(G343,FIND(" ",G343)+1,LEN(G343)-FIND(" ",G343)-5)),Справочники!$M$3:$N$14,2,0),VALUE(LEFT(G343,FIND(" ",G343)-1))))),"")</f>
        <v>48009</v>
      </c>
      <c r="M343" t="str">
        <f t="shared" si="218"/>
        <v xml:space="preserve">+7 (903) 012-34-56</v>
      </c>
      <c r="N343" t="str">
        <f t="shared" si="219"/>
        <v>skuratov@gmail</v>
      </c>
      <c r="O343" t="str">
        <f t="shared" si="220"/>
        <v xml:space="preserve">Ошибка Email</v>
      </c>
      <c r="P343" t="str">
        <f>IFERROR(VLOOKUP(TRIM(SUBSTITUTE(SUBSTITUTE(" "&amp;F343," г "," "),"г.","")),Справочники!$J$3:$K$102,2,0),TRIM(SUBSTITUTE(SUBSTITUTE(" "&amp;F343," г "," "),"г.","")))</f>
        <v>Симферополь</v>
      </c>
    </row>
    <row r="344">
      <c r="A344" s="3" t="s">
        <v>2715</v>
      </c>
      <c r="B344" s="3" t="s">
        <v>5419</v>
      </c>
      <c r="C344" s="3" t="s">
        <v>5420</v>
      </c>
      <c r="D344" s="3" t="s">
        <v>4188</v>
      </c>
      <c r="E344" s="3" t="s">
        <v>5421</v>
      </c>
      <c r="F344" s="3" t="s">
        <v>4270</v>
      </c>
      <c r="G344" s="3" t="s">
        <v>5422</v>
      </c>
      <c r="H344" t="str">
        <f t="shared" si="215"/>
        <v xml:space="preserve">Кузовлева Елена Сергеевна</v>
      </c>
      <c r="I344" s="5">
        <f>IFERROR(IF(ISNUMBER(FIND("-",C344)),DATE(VALUE(LEFT(C344,4)),VALUE(MID(C344,6,2)),VALUE(RIGHT(C344,2))),IF(ISNUMBER(FIND(".",C344)),DATE(VALUE(RIGHT(C344,4)),VALUE(MID(C344,4,2)),VALUE(LEFT(C344,2))),DATE(VALUE(RIGHT(C344,4)),VLOOKUP(TRIM(MID(C344,FIND(" ",C344)+1,LEN(C344)-FIND(" ",C344)-5)),Справочники!$M$3:$N$14,2,0),VALUE(LEFT(C344,FIND(" ",C344)-1))))),"")</f>
        <v>32439</v>
      </c>
      <c r="J344" s="6">
        <f t="shared" si="216"/>
        <v>38</v>
      </c>
      <c r="K344" t="str">
        <f t="shared" si="217"/>
        <v>ОК</v>
      </c>
      <c r="L344" s="5">
        <f>IFERROR(IF(ISNUMBER(FIND("-",G344)),DATE(VALUE(LEFT(G344,4)),VALUE(MID(G344,6,2)),VALUE(RIGHT(G344,2))),IF(ISNUMBER(FIND(".",G344)),DATE(VALUE(RIGHT(G344,4)),VALUE(MID(G344,4,2)),VALUE(LEFT(G344,2))),DATE(VALUE(RIGHT(G344,4)),VLOOKUP(TRIM(MID(G344,FIND(" ",G344)+1,LEN(G344)-FIND(" ",G344)-5)),Справочники!$M$3:$N$14,2,0),VALUE(LEFT(G344,FIND(" ",G344)-1))))),"")</f>
        <v>48030</v>
      </c>
      <c r="M344" t="str">
        <f t="shared" si="218"/>
        <v xml:space="preserve">+7 (903) 012-34-56</v>
      </c>
      <c r="N344" t="str">
        <f t="shared" si="219"/>
        <v>kuzovleva@mail</v>
      </c>
      <c r="O344" t="str">
        <f t="shared" si="220"/>
        <v xml:space="preserve">Ошибка Email</v>
      </c>
      <c r="P344" t="str">
        <f>IFERROR(VLOOKUP(TRIM(SUBSTITUTE(SUBSTITUTE(" "&amp;F344," г "," "),"г.","")),Справочники!$J$3:$K$102,2,0),TRIM(SUBSTITUTE(SUBSTITUTE(" "&amp;F344," г "," "),"г.","")))</f>
        <v>Брянск</v>
      </c>
    </row>
    <row r="345">
      <c r="A345" s="3" t="s">
        <v>2717</v>
      </c>
      <c r="B345" s="3" t="s">
        <v>5423</v>
      </c>
      <c r="C345" s="3" t="s">
        <v>5424</v>
      </c>
      <c r="D345" s="3" t="s">
        <v>1633</v>
      </c>
      <c r="E345" s="3" t="s">
        <v>5425</v>
      </c>
      <c r="F345" s="3" t="s">
        <v>4275</v>
      </c>
      <c r="G345" s="3" t="s">
        <v>5426</v>
      </c>
      <c r="H345" t="str">
        <f t="shared" si="215"/>
        <v xml:space="preserve">Станкевич Артем Николаевич</v>
      </c>
      <c r="I345" s="5">
        <f>IFERROR(IF(ISNUMBER(FIND("-",C345)),DATE(VALUE(LEFT(C345,4)),VALUE(MID(C345,6,2)),VALUE(RIGHT(C345,2))),IF(ISNUMBER(FIND(".",C345)),DATE(VALUE(RIGHT(C345,4)),VALUE(MID(C345,4,2)),VALUE(LEFT(C345,2))),DATE(VALUE(RIGHT(C345,4)),VLOOKUP(TRIM(MID(C345,FIND(" ",C345)+1,LEN(C345)-FIND(" ",C345)-5)),Справочники!$M$3:$N$14,2,0),VALUE(LEFT(C345,FIND(" ",C345)-1))))),"")</f>
        <v>29631</v>
      </c>
      <c r="J345" s="6">
        <f t="shared" si="216"/>
        <v>45</v>
      </c>
      <c r="K345" t="str">
        <f t="shared" si="217"/>
        <v>ОК</v>
      </c>
      <c r="L345" s="5">
        <f>IFERROR(IF(ISNUMBER(FIND("-",G345)),DATE(VALUE(LEFT(G345,4)),VALUE(MID(G345,6,2)),VALUE(RIGHT(G345,2))),IF(ISNUMBER(FIND(".",G345)),DATE(VALUE(RIGHT(G345,4)),VALUE(MID(G345,4,2)),VALUE(LEFT(G345,2))),DATE(VALUE(RIGHT(G345,4)),VLOOKUP(TRIM(MID(G345,FIND(" ",G345)+1,LEN(G345)-FIND(" ",G345)-5)),Справочники!$M$3:$N$14,2,0),VALUE(LEFT(G345,FIND(" ",G345)-1))))),"")</f>
        <v>48044</v>
      </c>
      <c r="M345" t="str">
        <f t="shared" si="218"/>
        <v xml:space="preserve">+7 (903) 012-34-56</v>
      </c>
      <c r="N345" t="str">
        <f t="shared" si="219"/>
        <v>stankevich@yandex</v>
      </c>
      <c r="O345" t="str">
        <f t="shared" si="220"/>
        <v xml:space="preserve">Ошибка Email</v>
      </c>
      <c r="P345" t="str">
        <f>IFERROR(VLOOKUP(TRIM(SUBSTITUTE(SUBSTITUTE(" "&amp;F345," г "," "),"г.","")),Справочники!$J$3:$K$102,2,0),TRIM(SUBSTITUTE(SUBSTITUTE(" "&amp;F345," г "," "),"г.","")))</f>
        <v>Абакан</v>
      </c>
    </row>
    <row r="346">
      <c r="A346" s="3" t="s">
        <v>2720</v>
      </c>
      <c r="B346" s="3" t="s">
        <v>5427</v>
      </c>
      <c r="C346" s="3" t="s">
        <v>5428</v>
      </c>
      <c r="D346" s="3" t="s">
        <v>4034</v>
      </c>
      <c r="E346" s="3" t="s">
        <v>5429</v>
      </c>
      <c r="F346" s="3" t="s">
        <v>4280</v>
      </c>
      <c r="G346" s="3" t="s">
        <v>5430</v>
      </c>
      <c r="H346" t="str">
        <f t="shared" si="215"/>
        <v xml:space="preserve">Милютина Ольга Валерьевна</v>
      </c>
      <c r="I346" s="5">
        <f>IFERROR(IF(ISNUMBER(FIND("-",C346)),DATE(VALUE(LEFT(C346,4)),VALUE(MID(C346,6,2)),VALUE(RIGHT(C346,2))),IF(ISNUMBER(FIND(".",C346)),DATE(VALUE(RIGHT(C346,4)),VALUE(MID(C346,4,2)),VALUE(LEFT(C346,2))),DATE(VALUE(RIGHT(C346,4)),VLOOKUP(TRIM(MID(C346,FIND(" ",C346)+1,LEN(C346)-FIND(" ",C346)-5)),Справочники!$M$3:$N$14,2,0),VALUE(LEFT(C346,FIND(" ",C346)-1))))),"")</f>
        <v>33763</v>
      </c>
      <c r="J346" s="6">
        <f t="shared" si="216"/>
        <v>34</v>
      </c>
      <c r="K346" t="str">
        <f t="shared" si="217"/>
        <v>ОК</v>
      </c>
      <c r="L346" s="5">
        <f>IFERROR(IF(ISNUMBER(FIND("-",G346)),DATE(VALUE(LEFT(G346,4)),VALUE(MID(G346,6,2)),VALUE(RIGHT(G346,2))),IF(ISNUMBER(FIND(".",G346)),DATE(VALUE(RIGHT(G346,4)),VALUE(MID(G346,4,2)),VALUE(LEFT(G346,2))),DATE(VALUE(RIGHT(G346,4)),VLOOKUP(TRIM(MID(G346,FIND(" ",G346)+1,LEN(G346)-FIND(" ",G346)-5)),Справочники!$M$3:$N$14,2,0),VALUE(LEFT(G346,FIND(" ",G346)-1))))),"")</f>
        <v>48044</v>
      </c>
      <c r="M346" t="str">
        <f t="shared" si="218"/>
        <v xml:space="preserve">+7 (903) 123-45-67</v>
      </c>
      <c r="N346" t="str">
        <f t="shared" si="219"/>
        <v>milyutina@gmail</v>
      </c>
      <c r="O346" t="str">
        <f t="shared" si="220"/>
        <v xml:space="preserve">Ошибка Email</v>
      </c>
      <c r="P346" t="str">
        <f>IFERROR(VLOOKUP(TRIM(SUBSTITUTE(SUBSTITUTE(" "&amp;F346," г "," "),"г.","")),Справочники!$J$3:$K$102,2,0),TRIM(SUBSTITUTE(SUBSTITUTE(" "&amp;F346," г "," "),"г.","")))</f>
        <v>Грозный</v>
      </c>
    </row>
    <row r="347">
      <c r="A347" s="3" t="s">
        <v>2722</v>
      </c>
      <c r="B347" s="3" t="s">
        <v>5431</v>
      </c>
      <c r="C347" s="3" t="s">
        <v>5432</v>
      </c>
      <c r="D347" s="3" t="s">
        <v>4040</v>
      </c>
      <c r="E347" s="3" t="s">
        <v>5433</v>
      </c>
      <c r="F347" s="3" t="s">
        <v>4285</v>
      </c>
      <c r="G347" s="3" t="s">
        <v>5434</v>
      </c>
      <c r="H347" t="str">
        <f t="shared" si="215"/>
        <v xml:space="preserve">Белоусов Андрей Павлович</v>
      </c>
      <c r="I347" s="5">
        <f>IFERROR(IF(ISNUMBER(FIND("-",C347)),DATE(VALUE(LEFT(C347,4)),VALUE(MID(C347,6,2)),VALUE(RIGHT(C347,2))),IF(ISNUMBER(FIND(".",C347)),DATE(VALUE(RIGHT(C347,4)),VALUE(MID(C347,4,2)),VALUE(LEFT(C347,2))),DATE(VALUE(RIGHT(C347,4)),VLOOKUP(TRIM(MID(C347,FIND(" ",C347)+1,LEN(C347)-FIND(" ",C347)-5)),Справочники!$M$3:$N$14,2,0),VALUE(LEFT(C347,FIND(" ",C347)-1))))),"")</f>
        <v>28488</v>
      </c>
      <c r="J347" s="6">
        <f t="shared" si="216"/>
        <v>48</v>
      </c>
      <c r="K347" t="str">
        <f t="shared" si="217"/>
        <v>ОК</v>
      </c>
      <c r="L347" s="5">
        <f>IFERROR(IF(ISNUMBER(FIND("-",G347)),DATE(VALUE(LEFT(G347,4)),VALUE(MID(G347,6,2)),VALUE(RIGHT(G347,2))),IF(ISNUMBER(FIND(".",G347)),DATE(VALUE(RIGHT(G347,4)),VALUE(MID(G347,4,2)),VALUE(LEFT(G347,2))),DATE(VALUE(RIGHT(G347,4)),VLOOKUP(TRIM(MID(G347,FIND(" ",G347)+1,LEN(G347)-FIND(" ",G347)-5)),Справочники!$M$3:$N$14,2,0),VALUE(LEFT(G347,FIND(" ",G347)-1))))),"")</f>
        <v>48061</v>
      </c>
      <c r="M347" t="str">
        <f t="shared" si="218"/>
        <v xml:space="preserve">+7 (903) 123-45-67</v>
      </c>
      <c r="N347" t="str">
        <f t="shared" si="219"/>
        <v>belousov@mail</v>
      </c>
      <c r="O347" t="str">
        <f t="shared" si="220"/>
        <v xml:space="preserve">Ошибка Email</v>
      </c>
      <c r="P347" t="str">
        <f>IFERROR(VLOOKUP(TRIM(SUBSTITUTE(SUBSTITUTE(" "&amp;F347," г "," "),"г.","")),Справочники!$J$3:$K$102,2,0),TRIM(SUBSTITUTE(SUBSTITUTE(" "&amp;F347," г "," "),"г.","")))</f>
        <v>Бийск</v>
      </c>
    </row>
    <row r="348">
      <c r="A348" s="3" t="s">
        <v>2725</v>
      </c>
      <c r="B348" s="3" t="s">
        <v>5435</v>
      </c>
      <c r="C348" s="3" t="s">
        <v>5436</v>
      </c>
      <c r="D348" s="3" t="s">
        <v>1570</v>
      </c>
      <c r="E348" s="3" t="s">
        <v>5437</v>
      </c>
      <c r="F348" s="3" t="s">
        <v>4290</v>
      </c>
      <c r="G348" s="3" t="s">
        <v>5438</v>
      </c>
      <c r="H348" t="str">
        <f t="shared" si="215"/>
        <v xml:space="preserve">Рябчинская Наталья Юрьевна</v>
      </c>
      <c r="I348" s="5">
        <f>IFERROR(IF(ISNUMBER(FIND("-",C348)),DATE(VALUE(LEFT(C348,4)),VALUE(MID(C348,6,2)),VALUE(RIGHT(C348,2))),IF(ISNUMBER(FIND(".",C348)),DATE(VALUE(RIGHT(C348,4)),VALUE(MID(C348,4,2)),VALUE(LEFT(C348,2))),DATE(VALUE(RIGHT(C348,4)),VLOOKUP(TRIM(MID(C348,FIND(" ",C348)+1,LEN(C348)-FIND(" ",C348)-5)),Справочники!$M$3:$N$14,2,0),VALUE(LEFT(C348,FIND(" ",C348)-1))))),"")</f>
        <v>31309</v>
      </c>
      <c r="J348" s="6">
        <f t="shared" si="216"/>
        <v>41</v>
      </c>
      <c r="K348" t="str">
        <f t="shared" si="217"/>
        <v>ОК</v>
      </c>
      <c r="L348" s="5">
        <f>IFERROR(IF(ISNUMBER(FIND("-",G348)),DATE(VALUE(LEFT(G348,4)),VALUE(MID(G348,6,2)),VALUE(RIGHT(G348,2))),IF(ISNUMBER(FIND(".",G348)),DATE(VALUE(RIGHT(G348,4)),VALUE(MID(G348,4,2)),VALUE(LEFT(G348,2))),DATE(VALUE(RIGHT(G348,4)),VLOOKUP(TRIM(MID(G348,FIND(" ",G348)+1,LEN(G348)-FIND(" ",G348)-5)),Справочники!$M$3:$N$14,2,0),VALUE(LEFT(G348,FIND(" ",G348)-1))))),"")</f>
        <v>48070</v>
      </c>
      <c r="M348" t="str">
        <f t="shared" si="218"/>
        <v xml:space="preserve">+7 (903) 123-45-67</v>
      </c>
      <c r="N348" t="str">
        <f t="shared" si="219"/>
        <v>ryabchinskaya@yandex</v>
      </c>
      <c r="O348" t="str">
        <f t="shared" si="220"/>
        <v xml:space="preserve">Ошибка Email</v>
      </c>
      <c r="P348" t="str">
        <f>IFERROR(VLOOKUP(TRIM(SUBSTITUTE(SUBSTITUTE(" "&amp;F348," г "," "),"г.","")),Справочники!$J$3:$K$102,2,0),TRIM(SUBSTITUTE(SUBSTITUTE(" "&amp;F348," г "," "),"г.","")))</f>
        <v>Йошкар-Ола</v>
      </c>
    </row>
    <row r="349">
      <c r="A349" s="3" t="s">
        <v>2727</v>
      </c>
      <c r="B349" s="3" t="s">
        <v>5439</v>
      </c>
      <c r="C349" s="3" t="s">
        <v>5440</v>
      </c>
      <c r="D349" s="3" t="s">
        <v>4051</v>
      </c>
      <c r="E349" s="3" t="s">
        <v>5441</v>
      </c>
      <c r="F349" s="3" t="s">
        <v>4295</v>
      </c>
      <c r="G349" s="3" t="s">
        <v>5442</v>
      </c>
      <c r="H349" t="str">
        <f t="shared" si="215"/>
        <v xml:space="preserve">Толстиков Денис Алексеевич</v>
      </c>
      <c r="I349" s="5">
        <f>IFERROR(IF(ISNUMBER(FIND("-",C349)),DATE(VALUE(LEFT(C349,4)),VALUE(MID(C349,6,2)),VALUE(RIGHT(C349,2))),IF(ISNUMBER(FIND(".",C349)),DATE(VALUE(RIGHT(C349,4)),VALUE(MID(C349,4,2)),VALUE(LEFT(C349,2))),DATE(VALUE(RIGHT(C349,4)),VLOOKUP(TRIM(MID(C349,FIND(" ",C349)+1,LEN(C349)-FIND(" ",C349)-5)),Справочники!$M$3:$N$14,2,0),VALUE(LEFT(C349,FIND(" ",C349)-1))))),"")</f>
        <v>29372</v>
      </c>
      <c r="J349" s="6">
        <f t="shared" si="216"/>
        <v>46</v>
      </c>
      <c r="K349" t="str">
        <f t="shared" si="217"/>
        <v>ОК</v>
      </c>
      <c r="L349" s="5">
        <f>IFERROR(IF(ISNUMBER(FIND("-",G349)),DATE(VALUE(LEFT(G349,4)),VALUE(MID(G349,6,2)),VALUE(RIGHT(G349,2))),IF(ISNUMBER(FIND(".",G349)),DATE(VALUE(RIGHT(G349,4)),VALUE(MID(G349,4,2)),VALUE(LEFT(G349,2))),DATE(VALUE(RIGHT(G349,4)),VLOOKUP(TRIM(MID(G349,FIND(" ",G349)+1,LEN(G349)-FIND(" ",G349)-5)),Справочники!$M$3:$N$14,2,0),VALUE(LEFT(G349,FIND(" ",G349)-1))))),"")</f>
        <v>48070</v>
      </c>
      <c r="M349" t="str">
        <f t="shared" si="218"/>
        <v xml:space="preserve">+7 (903) 234-56-78</v>
      </c>
      <c r="N349" t="str">
        <f t="shared" si="219"/>
        <v>tolstikov@gmail</v>
      </c>
      <c r="O349" t="str">
        <f t="shared" si="220"/>
        <v xml:space="preserve">Ошибка Email</v>
      </c>
      <c r="P349" t="str">
        <f>IFERROR(VLOOKUP(TRIM(SUBSTITUTE(SUBSTITUTE(" "&amp;F349," г "," "),"г.","")),Справочники!$J$3:$K$102,2,0),TRIM(SUBSTITUTE(SUBSTITUTE(" "&amp;F349," г "," "),"г.","")))</f>
        <v>Курган</v>
      </c>
    </row>
    <row r="350">
      <c r="A350" s="3" t="s">
        <v>2729</v>
      </c>
      <c r="B350" s="3" t="s">
        <v>5443</v>
      </c>
      <c r="C350" s="3" t="s">
        <v>5444</v>
      </c>
      <c r="D350" s="3" t="s">
        <v>4057</v>
      </c>
      <c r="E350" s="3" t="s">
        <v>5445</v>
      </c>
      <c r="F350" s="3" t="s">
        <v>4300</v>
      </c>
      <c r="G350" s="3" t="s">
        <v>5446</v>
      </c>
      <c r="H350" t="str">
        <f t="shared" si="215"/>
        <v xml:space="preserve">Скворцова Мария Игоревна</v>
      </c>
      <c r="I350" s="5">
        <f>IFERROR(IF(ISNUMBER(FIND("-",C350)),DATE(VALUE(LEFT(C350,4)),VALUE(MID(C350,6,2)),VALUE(RIGHT(C350,2))),IF(ISNUMBER(FIND(".",C350)),DATE(VALUE(RIGHT(C350,4)),VALUE(MID(C350,4,2)),VALUE(LEFT(C350,2))),DATE(VALUE(RIGHT(C350,4)),VLOOKUP(TRIM(MID(C350,FIND(" ",C350)+1,LEN(C350)-FIND(" ",C350)-5)),Справочники!$M$3:$N$14,2,0),VALUE(LEFT(C350,FIND(" ",C350)-1))))),"")</f>
        <v>31856</v>
      </c>
      <c r="J350" s="6">
        <f t="shared" si="216"/>
        <v>39</v>
      </c>
      <c r="K350" t="str">
        <f t="shared" si="217"/>
        <v>ОК</v>
      </c>
      <c r="L350" s="5">
        <f>IFERROR(IF(ISNUMBER(FIND("-",G350)),DATE(VALUE(LEFT(G350,4)),VALUE(MID(G350,6,2)),VALUE(RIGHT(G350,2))),IF(ISNUMBER(FIND(".",G350)),DATE(VALUE(RIGHT(G350,4)),VALUE(MID(G350,4,2)),VALUE(LEFT(G350,2))),DATE(VALUE(RIGHT(G350,4)),VLOOKUP(TRIM(MID(G350,FIND(" ",G350)+1,LEN(G350)-FIND(" ",G350)-5)),Справочники!$M$3:$N$14,2,0),VALUE(LEFT(G350,FIND(" ",G350)-1))))),"")</f>
        <v>48092</v>
      </c>
      <c r="M350" t="str">
        <f t="shared" si="218"/>
        <v xml:space="preserve">+7 (903) 234-56-78</v>
      </c>
      <c r="N350" t="str">
        <f t="shared" si="219"/>
        <v>skvortsova@mail</v>
      </c>
      <c r="O350" t="str">
        <f t="shared" si="220"/>
        <v xml:space="preserve">Ошибка Email</v>
      </c>
      <c r="P350" t="str">
        <f>IFERROR(VLOOKUP(TRIM(SUBSTITUTE(SUBSTITUTE(" "&amp;F350," г "," "),"г.","")),Справочники!$J$3:$K$102,2,0),TRIM(SUBSTITUTE(SUBSTITUTE(" "&amp;F350," г "," "),"г.","")))</f>
        <v>Архангельск</v>
      </c>
    </row>
    <row r="351">
      <c r="A351" s="3" t="s">
        <v>2730</v>
      </c>
      <c r="B351" s="3" t="s">
        <v>5447</v>
      </c>
      <c r="C351" s="3" t="s">
        <v>5448</v>
      </c>
      <c r="D351" s="3" t="s">
        <v>1712</v>
      </c>
      <c r="E351" s="3" t="s">
        <v>5449</v>
      </c>
      <c r="F351" s="3" t="s">
        <v>4305</v>
      </c>
      <c r="G351" s="3" t="s">
        <v>5450</v>
      </c>
      <c r="H351" t="str">
        <f t="shared" si="215"/>
        <v xml:space="preserve">Данильчук Алексей Олегович</v>
      </c>
      <c r="I351" s="5">
        <f>IFERROR(IF(ISNUMBER(FIND("-",C351)),DATE(VALUE(LEFT(C351,4)),VALUE(MID(C351,6,2)),VALUE(RIGHT(C351,2))),IF(ISNUMBER(FIND(".",C351)),DATE(VALUE(RIGHT(C351,4)),VALUE(MID(C351,4,2)),VALUE(LEFT(C351,2))),DATE(VALUE(RIGHT(C351,4)),VLOOKUP(TRIM(MID(C351,FIND(" ",C351)+1,LEN(C351)-FIND(" ",C351)-5)),Справочники!$M$3:$N$14,2,0),VALUE(LEFT(C351,FIND(" ",C351)-1))))),"")</f>
        <v>33554</v>
      </c>
      <c r="J351" s="6">
        <f t="shared" si="216"/>
        <v>34</v>
      </c>
      <c r="K351" t="str">
        <f t="shared" si="217"/>
        <v>ОК</v>
      </c>
      <c r="L351" s="5">
        <f>IFERROR(IF(ISNUMBER(FIND("-",G351)),DATE(VALUE(LEFT(G351,4)),VALUE(MID(G351,6,2)),VALUE(RIGHT(G351,2))),IF(ISNUMBER(FIND(".",G351)),DATE(VALUE(RIGHT(G351,4)),VALUE(MID(G351,4,2)),VALUE(LEFT(G351,2))),DATE(VALUE(RIGHT(G351,4)),VLOOKUP(TRIM(MID(G351,FIND(" ",G351)+1,LEN(G351)-FIND(" ",G351)-5)),Справочники!$M$3:$N$14,2,0),VALUE(LEFT(G351,FIND(" ",G351)-1))))),"")</f>
        <v>48106</v>
      </c>
      <c r="M351" t="str">
        <f t="shared" si="218"/>
        <v xml:space="preserve">+7 (903) 234-56-78</v>
      </c>
      <c r="N351" t="str">
        <f t="shared" si="219"/>
        <v>danilchuk@yandex</v>
      </c>
      <c r="O351" t="str">
        <f t="shared" si="220"/>
        <v xml:space="preserve">Ошибка Email</v>
      </c>
      <c r="P351" t="str">
        <f>IFERROR(VLOOKUP(TRIM(SUBSTITUTE(SUBSTITUTE(" "&amp;F351," г "," "),"г.","")),Справочники!$J$3:$K$102,2,0),TRIM(SUBSTITUTE(SUBSTITUTE(" "&amp;F351," г "," "),"г.","")))</f>
        <v>Благовещенск</v>
      </c>
    </row>
    <row r="352">
      <c r="A352" s="3" t="s">
        <v>2732</v>
      </c>
      <c r="B352" s="3" t="s">
        <v>5451</v>
      </c>
      <c r="C352" s="3" t="s">
        <v>5452</v>
      </c>
      <c r="D352" s="3" t="s">
        <v>1584</v>
      </c>
      <c r="E352" s="3" t="s">
        <v>5453</v>
      </c>
      <c r="F352" s="3" t="s">
        <v>4310</v>
      </c>
      <c r="G352" s="3" t="s">
        <v>5454</v>
      </c>
      <c r="H352" t="str">
        <f t="shared" si="215"/>
        <v xml:space="preserve">Протасова Елена Владимировна</v>
      </c>
      <c r="I352" s="5">
        <f>IFERROR(IF(ISNUMBER(FIND("-",C352)),DATE(VALUE(LEFT(C352,4)),VALUE(MID(C352,6,2)),VALUE(RIGHT(C352,2))),IF(ISNUMBER(FIND(".",C352)),DATE(VALUE(RIGHT(C352,4)),VALUE(MID(C352,4,2)),VALUE(LEFT(C352,2))),DATE(VALUE(RIGHT(C352,4)),VLOOKUP(TRIM(MID(C352,FIND(" ",C352)+1,LEN(C352)-FIND(" ",C352)-5)),Справочники!$M$3:$N$14,2,0),VALUE(LEFT(C352,FIND(" ",C352)-1))))),"")</f>
        <v>27237</v>
      </c>
      <c r="J352" s="6">
        <f t="shared" si="216"/>
        <v>52</v>
      </c>
      <c r="K352" t="str">
        <f t="shared" si="217"/>
        <v>ОК</v>
      </c>
      <c r="L352" s="5">
        <f>IFERROR(IF(ISNUMBER(FIND("-",G352)),DATE(VALUE(LEFT(G352,4)),VALUE(MID(G352,6,2)),VALUE(RIGHT(G352,2))),IF(ISNUMBER(FIND(".",G352)),DATE(VALUE(RIGHT(G352,4)),VALUE(MID(G352,4,2)),VALUE(LEFT(G352,2))),DATE(VALUE(RIGHT(G352,4)),VLOOKUP(TRIM(MID(G352,FIND(" ",G352)+1,LEN(G352)-FIND(" ",G352)-5)),Справочники!$M$3:$N$14,2,0),VALUE(LEFT(G352,FIND(" ",G352)-1))))),"")</f>
        <v>48106</v>
      </c>
      <c r="M352" t="str">
        <f t="shared" si="218"/>
        <v xml:space="preserve">+7 (903) 345-67-89</v>
      </c>
      <c r="N352" t="str">
        <f t="shared" si="219"/>
        <v>protasova@gmail</v>
      </c>
      <c r="O352" t="str">
        <f t="shared" si="220"/>
        <v xml:space="preserve">Ошибка Email</v>
      </c>
      <c r="P352" t="str">
        <f>IFERROR(VLOOKUP(TRIM(SUBSTITUTE(SUBSTITUTE(" "&amp;F352," г "," "),"г.","")),Справочники!$J$3:$K$102,2,0),TRIM(SUBSTITUTE(SUBSTITUTE(" "&amp;F352," г "," "),"г.","")))</f>
        <v>Майкоп</v>
      </c>
    </row>
    <row r="353">
      <c r="A353" s="3" t="s">
        <v>2733</v>
      </c>
      <c r="B353" s="3" t="s">
        <v>5455</v>
      </c>
      <c r="C353" s="3" t="s">
        <v>5456</v>
      </c>
      <c r="D353" s="3" t="s">
        <v>4073</v>
      </c>
      <c r="E353" s="3" t="s">
        <v>5457</v>
      </c>
      <c r="F353" s="3" t="s">
        <v>4315</v>
      </c>
      <c r="G353" s="3" t="s">
        <v>5458</v>
      </c>
      <c r="H353" t="str">
        <f t="shared" si="215"/>
        <v xml:space="preserve">Кувшинов Илья Николаевич</v>
      </c>
      <c r="I353" s="5">
        <f>IFERROR(IF(ISNUMBER(FIND("-",C353)),DATE(VALUE(LEFT(C353,4)),VALUE(MID(C353,6,2)),VALUE(RIGHT(C353,2))),IF(ISNUMBER(FIND(".",C353)),DATE(VALUE(RIGHT(C353,4)),VALUE(MID(C353,4,2)),VALUE(LEFT(C353,2))),DATE(VALUE(RIGHT(C353,4)),VLOOKUP(TRIM(MID(C353,FIND(" ",C353)+1,LEN(C353)-FIND(" ",C353)-5)),Справочники!$M$3:$N$14,2,0),VALUE(LEFT(C353,FIND(" ",C353)-1))))),"")</f>
        <v>30332</v>
      </c>
      <c r="J353" s="6">
        <f t="shared" si="216"/>
        <v>43</v>
      </c>
      <c r="K353" t="str">
        <f t="shared" si="217"/>
        <v>ОК</v>
      </c>
      <c r="L353" s="5">
        <f>IFERROR(IF(ISNUMBER(FIND("-",G353)),DATE(VALUE(LEFT(G353,4)),VALUE(MID(G353,6,2)),VALUE(RIGHT(G353,2))),IF(ISNUMBER(FIND(".",G353)),DATE(VALUE(RIGHT(G353,4)),VALUE(MID(G353,4,2)),VALUE(LEFT(G353,2))),DATE(VALUE(RIGHT(G353,4)),VLOOKUP(TRIM(MID(G353,FIND(" ",G353)+1,LEN(G353)-FIND(" ",G353)-5)),Справочники!$M$3:$N$14,2,0),VALUE(LEFT(G353,FIND(" ",G353)-1))))),"")</f>
        <v>48122</v>
      </c>
      <c r="M353" t="str">
        <f t="shared" si="218"/>
        <v xml:space="preserve">+7 (903) 345-67-89</v>
      </c>
      <c r="N353" t="str">
        <f t="shared" si="219"/>
        <v>kuvshinov@mail</v>
      </c>
      <c r="O353" t="str">
        <f t="shared" si="220"/>
        <v xml:space="preserve">Ошибка Email</v>
      </c>
      <c r="P353" t="str">
        <f>IFERROR(VLOOKUP(TRIM(SUBSTITUTE(SUBSTITUTE(" "&amp;F353," г "," "),"г.","")),Справочники!$J$3:$K$102,2,0),TRIM(SUBSTITUTE(SUBSTITUTE(" "&amp;F353," г "," "),"г.","")))</f>
        <v>Уссурийск</v>
      </c>
    </row>
    <row r="354">
      <c r="A354" s="3" t="s">
        <v>2736</v>
      </c>
      <c r="B354" s="3" t="s">
        <v>5459</v>
      </c>
      <c r="C354" s="3" t="s">
        <v>5460</v>
      </c>
      <c r="D354" s="3" t="s">
        <v>4079</v>
      </c>
      <c r="E354" s="3" t="s">
        <v>5461</v>
      </c>
      <c r="F354" s="3" t="s">
        <v>4320</v>
      </c>
      <c r="G354" s="3" t="s">
        <v>5462</v>
      </c>
      <c r="H354" t="str">
        <f t="shared" si="215"/>
        <v xml:space="preserve">Шумилова Оксана Павловна</v>
      </c>
      <c r="I354" s="5">
        <f>IFERROR(IF(ISNUMBER(FIND("-",C354)),DATE(VALUE(LEFT(C354,4)),VALUE(MID(C354,6,2)),VALUE(RIGHT(C354,2))),IF(ISNUMBER(FIND(".",C354)),DATE(VALUE(RIGHT(C354,4)),VALUE(MID(C354,4,2)),VALUE(LEFT(C354,2))),DATE(VALUE(RIGHT(C354,4)),VLOOKUP(TRIM(MID(C354,FIND(" ",C354)+1,LEN(C354)-FIND(" ",C354)-5)),Справочники!$M$3:$N$14,2,0),VALUE(LEFT(C354,FIND(" ",C354)-1))))),"")</f>
        <v>32421</v>
      </c>
      <c r="J354" s="6">
        <f t="shared" si="216"/>
        <v>38</v>
      </c>
      <c r="K354" t="str">
        <f t="shared" si="217"/>
        <v>ОК</v>
      </c>
      <c r="L354" s="5">
        <f>IFERROR(IF(ISNUMBER(FIND("-",G354)),DATE(VALUE(LEFT(G354,4)),VALUE(MID(G354,6,2)),VALUE(RIGHT(G354,2))),IF(ISNUMBER(FIND(".",G354)),DATE(VALUE(RIGHT(G354,4)),VALUE(MID(G354,4,2)),VALUE(LEFT(G354,2))),DATE(VALUE(RIGHT(G354,4)),VLOOKUP(TRIM(MID(G354,FIND(" ",G354)+1,LEN(G354)-FIND(" ",G354)-5)),Справочники!$M$3:$N$14,2,0),VALUE(LEFT(G354,FIND(" ",G354)-1))))),"")</f>
        <v>48131</v>
      </c>
      <c r="M354" t="str">
        <f t="shared" si="218"/>
        <v xml:space="preserve">+7 (903) 345-67-89</v>
      </c>
      <c r="N354" t="str">
        <f t="shared" si="219"/>
        <v>shumilova@yandex</v>
      </c>
      <c r="O354" t="str">
        <f t="shared" si="220"/>
        <v xml:space="preserve">Ошибка Email</v>
      </c>
      <c r="P354" t="str">
        <f>IFERROR(VLOOKUP(TRIM(SUBSTITUTE(SUBSTITUTE(" "&amp;F354," г "," "),"г.","")),Справочники!$J$3:$K$102,2,0),TRIM(SUBSTITUTE(SUBSTITUTE(" "&amp;F354," г "," "),"г.","")))</f>
        <v>Миасс</v>
      </c>
    </row>
    <row r="355">
      <c r="A355" s="3" t="s">
        <v>2737</v>
      </c>
      <c r="B355" s="3" t="s">
        <v>5463</v>
      </c>
      <c r="C355" s="3" t="s">
        <v>5464</v>
      </c>
      <c r="D355" s="3" t="s">
        <v>4085</v>
      </c>
      <c r="E355" s="3" t="s">
        <v>5465</v>
      </c>
      <c r="F355" s="3" t="s">
        <v>4325</v>
      </c>
      <c r="G355" s="3" t="s">
        <v>5466</v>
      </c>
      <c r="H355" t="str">
        <f t="shared" si="215"/>
        <v xml:space="preserve">Михайличенко Денис Сергеевич</v>
      </c>
      <c r="I355" s="5">
        <f>IFERROR(IF(ISNUMBER(FIND("-",C355)),DATE(VALUE(LEFT(C355,4)),VALUE(MID(C355,6,2)),VALUE(RIGHT(C355,2))),IF(ISNUMBER(FIND(".",C355)),DATE(VALUE(RIGHT(C355,4)),VALUE(MID(C355,4,2)),VALUE(LEFT(C355,2))),DATE(VALUE(RIGHT(C355,4)),VLOOKUP(TRIM(MID(C355,FIND(" ",C355)+1,LEN(C355)-FIND(" ",C355)-5)),Справочники!$M$3:$N$14,2,0),VALUE(LEFT(C355,FIND(" ",C355)-1))))),"")</f>
        <v>25930</v>
      </c>
      <c r="J355" s="6">
        <f t="shared" si="216"/>
        <v>55</v>
      </c>
      <c r="K355" t="str">
        <f t="shared" si="217"/>
        <v>ОК</v>
      </c>
      <c r="L355" s="5">
        <f>IFERROR(IF(ISNUMBER(FIND("-",G355)),DATE(VALUE(LEFT(G355,4)),VALUE(MID(G355,6,2)),VALUE(RIGHT(G355,2))),IF(ISNUMBER(FIND(".",G355)),DATE(VALUE(RIGHT(G355,4)),VALUE(MID(G355,4,2)),VALUE(LEFT(G355,2))),DATE(VALUE(RIGHT(G355,4)),VLOOKUP(TRIM(MID(G355,FIND(" ",G355)+1,LEN(G355)-FIND(" ",G355)-5)),Справочники!$M$3:$N$14,2,0),VALUE(LEFT(G355,FIND(" ",G355)-1))))),"")</f>
        <v>48131</v>
      </c>
      <c r="M355" t="str">
        <f t="shared" si="218"/>
        <v xml:space="preserve">+7 (903) 456-78-90</v>
      </c>
      <c r="N355" t="str">
        <f t="shared" si="219"/>
        <v>mihaylichenko@gmail</v>
      </c>
      <c r="O355" t="str">
        <f t="shared" si="220"/>
        <v xml:space="preserve">Ошибка Email</v>
      </c>
      <c r="P355" t="str">
        <f>IFERROR(VLOOKUP(TRIM(SUBSTITUTE(SUBSTITUTE(" "&amp;F355," г "," "),"г.","")),Справочники!$J$3:$K$102,2,0),TRIM(SUBSTITUTE(SUBSTITUTE(" "&amp;F355," г "," "),"г.","")))</f>
        <v>Кызыл</v>
      </c>
    </row>
    <row r="356">
      <c r="A356" s="3" t="s">
        <v>2739</v>
      </c>
      <c r="B356" s="3" t="s">
        <v>5467</v>
      </c>
      <c r="C356" s="3" t="s">
        <v>5468</v>
      </c>
      <c r="D356" s="3" t="s">
        <v>1591</v>
      </c>
      <c r="E356" s="3" t="s">
        <v>5469</v>
      </c>
      <c r="F356" s="3" t="s">
        <v>4330</v>
      </c>
      <c r="G356" s="3" t="s">
        <v>5470</v>
      </c>
      <c r="H356" t="str">
        <f t="shared" ref="H356:H419" si="221">PROPER(TRIM(B356))</f>
        <v xml:space="preserve">Лысенко Татьяна Александровна</v>
      </c>
      <c r="I356" s="5">
        <f>IFERROR(IF(ISNUMBER(FIND("-",C356)),DATE(VALUE(LEFT(C356,4)),VALUE(MID(C356,6,2)),VALUE(RIGHT(C356,2))),IF(ISNUMBER(FIND(".",C356)),DATE(VALUE(RIGHT(C356,4)),VALUE(MID(C356,4,2)),VALUE(LEFT(C356,2))),DATE(VALUE(RIGHT(C356,4)),VLOOKUP(TRIM(MID(C356,FIND(" ",C356)+1,LEN(C356)-FIND(" ",C356)-5)),Справочники!$M$3:$N$14,2,0),VALUE(LEFT(C356,FIND(" ",C356)-1))))),"")</f>
        <v>29027</v>
      </c>
      <c r="J356" s="6">
        <f t="shared" ref="J356:J419" si="222">IF(I356="","",DATEDIF(I356,TODAY(),"Y"))</f>
        <v>47</v>
      </c>
      <c r="K356" t="str">
        <f t="shared" ref="K356:K419" si="223">IF(OR(I356="",J356&lt;18,J356&gt;120),"Ошибка даты рождения","ОК")</f>
        <v>ОК</v>
      </c>
      <c r="L356" s="5">
        <f>IFERROR(IF(ISNUMBER(FIND("-",G356)),DATE(VALUE(LEFT(G356,4)),VALUE(MID(G356,6,2)),VALUE(RIGHT(G356,2))),IF(ISNUMBER(FIND(".",G356)),DATE(VALUE(RIGHT(G356,4)),VALUE(MID(G356,4,2)),VALUE(LEFT(G356,2))),DATE(VALUE(RIGHT(G356,4)),VLOOKUP(TRIM(MID(G356,FIND(" ",G356)+1,LEN(G356)-FIND(" ",G356)-5)),Справочники!$M$3:$N$14,2,0),VALUE(LEFT(G356,FIND(" ",G356)-1))))),"")</f>
        <v>48153</v>
      </c>
      <c r="M356" t="str">
        <f t="shared" ref="M356:M419" si="224">IF(LEN(SUBSTITUTE(SUBSTITUTE(SUBSTITUTE(SUBSTITUTE(SUBSTITUTE(D356,"+",""),"-","")," ",""),"(",""),")",""))&lt;10,"Ошибка телефона","+7 ("&amp;MID(RIGHT(SUBSTITUTE(SUBSTITUTE(SUBSTITUTE(SUBSTITUTE(SUBSTITUTE(D356,"+",""),"-","")," ",""),"(",""),")",""),10),1,3)&amp;") "&amp;MID(RIGHT(SUBSTITUTE(SUBSTITUTE(SUBSTITUTE(SUBSTITUTE(SUBSTITUTE(D356,"+",""),"-","")," ",""),"(",""),")",""),10),4,3)&amp;"-"&amp;MID(RIGHT(SUBSTITUTE(SUBSTITUTE(SUBSTITUTE(SUBSTITUTE(SUBSTITUTE(D356,"+",""),"-","")," ",""),"(",""),")",""),10),7,2)&amp;"-"&amp;RIGHT(SUBSTITUTE(SUBSTITUTE(SUBSTITUTE(SUBSTITUTE(SUBSTITUTE(D356,"+",""),"-","")," ",""),"(",""),")",""),2))</f>
        <v xml:space="preserve">+7 (903) 456-78-90</v>
      </c>
      <c r="N356" t="str">
        <f t="shared" ref="N356:N419" si="225">LOWER(SUBSTITUTE(TRIM(E356)," ",""))</f>
        <v>lysenko@mail</v>
      </c>
      <c r="O356" t="str">
        <f t="shared" ref="O356:O419" si="226">IF(AND(ISNUMBER(FIND("@",N356)),ISNUMBER(FIND(".",N356,FIND("@",N356)+2))),"ОК","Ошибка Email")</f>
        <v xml:space="preserve">Ошибка Email</v>
      </c>
      <c r="P356" t="str">
        <f>IFERROR(VLOOKUP(TRIM(SUBSTITUTE(SUBSTITUTE(" "&amp;F356," г "," "),"г.","")),Справочники!$J$3:$K$102,2,0),TRIM(SUBSTITUTE(SUBSTITUTE(" "&amp;F356," г "," "),"г.","")))</f>
        <v>Калининград</v>
      </c>
    </row>
    <row r="357">
      <c r="A357" s="3" t="s">
        <v>2741</v>
      </c>
      <c r="B357" s="3" t="s">
        <v>5471</v>
      </c>
      <c r="C357" s="3" t="s">
        <v>5472</v>
      </c>
      <c r="D357" s="3" t="s">
        <v>1660</v>
      </c>
      <c r="E357" s="3" t="s">
        <v>5473</v>
      </c>
      <c r="F357" s="3" t="s">
        <v>4335</v>
      </c>
      <c r="G357" s="3" t="s">
        <v>5474</v>
      </c>
      <c r="H357" t="str">
        <f t="shared" si="221"/>
        <v xml:space="preserve">Назарчук Андрей Викторович</v>
      </c>
      <c r="I357" s="5">
        <f>IFERROR(IF(ISNUMBER(FIND("-",C357)),DATE(VALUE(LEFT(C357,4)),VALUE(MID(C357,6,2)),VALUE(RIGHT(C357,2))),IF(ISNUMBER(FIND(".",C357)),DATE(VALUE(RIGHT(C357,4)),VALUE(MID(C357,4,2)),VALUE(LEFT(C357,2))),DATE(VALUE(RIGHT(C357,4)),VLOOKUP(TRIM(MID(C357,FIND(" ",C357)+1,LEN(C357)-FIND(" ",C357)-5)),Справочники!$M$3:$N$14,2,0),VALUE(LEFT(C357,FIND(" ",C357)-1))))),"")</f>
        <v>33130</v>
      </c>
      <c r="J357" s="6">
        <f t="shared" si="222"/>
        <v>36</v>
      </c>
      <c r="K357" t="str">
        <f t="shared" si="223"/>
        <v>ОК</v>
      </c>
      <c r="L357" s="5">
        <f>IFERROR(IF(ISNUMBER(FIND("-",G357)),DATE(VALUE(LEFT(G357,4)),VALUE(MID(G357,6,2)),VALUE(RIGHT(G357,2))),IF(ISNUMBER(FIND(".",G357)),DATE(VALUE(RIGHT(G357,4)),VALUE(MID(G357,4,2)),VALUE(LEFT(G357,2))),DATE(VALUE(RIGHT(G357,4)),VLOOKUP(TRIM(MID(G357,FIND(" ",G357)+1,LEN(G357)-FIND(" ",G357)-5)),Справочники!$M$3:$N$14,2,0),VALUE(LEFT(G357,FIND(" ",G357)-1))))),"")</f>
        <v>48167</v>
      </c>
      <c r="M357" t="str">
        <f t="shared" si="224"/>
        <v xml:space="preserve">+7 (903) 456-78-90</v>
      </c>
      <c r="N357" t="str">
        <f t="shared" si="225"/>
        <v>nazarchuk@yandex</v>
      </c>
      <c r="O357" t="str">
        <f t="shared" si="226"/>
        <v xml:space="preserve">Ошибка Email</v>
      </c>
      <c r="P357" t="str">
        <f>IFERROR(VLOOKUP(TRIM(SUBSTITUTE(SUBSTITUTE(" "&amp;F357," г "," "),"г.","")),Справочники!$J$3:$K$102,2,0),TRIM(SUBSTITUTE(SUBSTITUTE(" "&amp;F357," г "," "),"г.","")))</f>
        <v>Петрозаводск</v>
      </c>
    </row>
    <row r="358">
      <c r="A358" s="3" t="s">
        <v>2744</v>
      </c>
      <c r="B358" s="3" t="s">
        <v>5475</v>
      </c>
      <c r="C358" s="3" t="s">
        <v>5476</v>
      </c>
      <c r="D358" s="3" t="s">
        <v>3984</v>
      </c>
      <c r="E358" s="3" t="s">
        <v>5477</v>
      </c>
      <c r="F358" s="3" t="s">
        <v>4340</v>
      </c>
      <c r="G358" s="3" t="s">
        <v>5478</v>
      </c>
      <c r="H358" t="str">
        <f t="shared" si="221"/>
        <v xml:space="preserve">Скачкова Мария Игоревна</v>
      </c>
      <c r="I358" s="5">
        <f>IFERROR(IF(ISNUMBER(FIND("-",C358)),DATE(VALUE(LEFT(C358,4)),VALUE(MID(C358,6,2)),VALUE(RIGHT(C358,2))),IF(ISNUMBER(FIND(".",C358)),DATE(VALUE(RIGHT(C358,4)),VALUE(MID(C358,4,2)),VALUE(LEFT(C358,2))),DATE(VALUE(RIGHT(C358,4)),VLOOKUP(TRIM(MID(C358,FIND(" ",C358)+1,LEN(C358)-FIND(" ",C358)-5)),Справочники!$M$3:$N$14,2,0),VALUE(LEFT(C358,FIND(" ",C358)-1))))),"")</f>
        <v>31445</v>
      </c>
      <c r="J358" s="6">
        <f t="shared" si="222"/>
        <v>40</v>
      </c>
      <c r="K358" t="str">
        <f t="shared" si="223"/>
        <v>ОК</v>
      </c>
      <c r="L358" s="5">
        <f>IFERROR(IF(ISNUMBER(FIND("-",G358)),DATE(VALUE(LEFT(G358,4)),VALUE(MID(G358,6,2)),VALUE(RIGHT(G358,2))),IF(ISNUMBER(FIND(".",G358)),DATE(VALUE(RIGHT(G358,4)),VALUE(MID(G358,4,2)),VALUE(LEFT(G358,2))),DATE(VALUE(RIGHT(G358,4)),VLOOKUP(TRIM(MID(G358,FIND(" ",G358)+1,LEN(G358)-FIND(" ",G358)-5)),Справочники!$M$3:$N$14,2,0),VALUE(LEFT(G358,FIND(" ",G358)-1))))),"")</f>
        <v>48167</v>
      </c>
      <c r="M358" t="str">
        <f t="shared" si="224"/>
        <v xml:space="preserve">+7 (903) 567-89-01</v>
      </c>
      <c r="N358" t="str">
        <f t="shared" si="225"/>
        <v>skachkova@gmail</v>
      </c>
      <c r="O358" t="str">
        <f t="shared" si="226"/>
        <v xml:space="preserve">Ошибка Email</v>
      </c>
      <c r="P358" t="str">
        <f>IFERROR(VLOOKUP(TRIM(SUBSTITUTE(SUBSTITUTE(" "&amp;F358," г "," "),"г.","")),Справочники!$J$3:$K$102,2,0),TRIM(SUBSTITUTE(SUBSTITUTE(" "&amp;F358," г "," "),"г.","")))</f>
        <v>Рубцовск</v>
      </c>
    </row>
    <row r="359">
      <c r="A359" s="3" t="s">
        <v>2745</v>
      </c>
      <c r="B359" s="3" t="s">
        <v>5479</v>
      </c>
      <c r="C359" s="3" t="s">
        <v>5480</v>
      </c>
      <c r="D359" s="3" t="s">
        <v>3990</v>
      </c>
      <c r="E359" s="3" t="s">
        <v>5481</v>
      </c>
      <c r="F359" s="3" t="s">
        <v>4345</v>
      </c>
      <c r="G359" s="3" t="s">
        <v>5482</v>
      </c>
      <c r="H359" t="str">
        <f t="shared" si="221"/>
        <v xml:space="preserve">Чернышев Олег Павлович</v>
      </c>
      <c r="I359" s="5">
        <f>IFERROR(IF(ISNUMBER(FIND("-",C359)),DATE(VALUE(LEFT(C359,4)),VALUE(MID(C359,6,2)),VALUE(RIGHT(C359,2))),IF(ISNUMBER(FIND(".",C359)),DATE(VALUE(RIGHT(C359,4)),VALUE(MID(C359,4,2)),VALUE(LEFT(C359,2))),DATE(VALUE(RIGHT(C359,4)),VLOOKUP(TRIM(MID(C359,FIND(" ",C359)+1,LEN(C359)-FIND(" ",C359)-5)),Справочники!$M$3:$N$14,2,0),VALUE(LEFT(C359,FIND(" ",C359)-1))))),"")</f>
        <v>30094</v>
      </c>
      <c r="J359" s="6">
        <f t="shared" si="222"/>
        <v>44</v>
      </c>
      <c r="K359" t="str">
        <f t="shared" si="223"/>
        <v>ОК</v>
      </c>
      <c r="L359" s="5">
        <f>IFERROR(IF(ISNUMBER(FIND("-",G359)),DATE(VALUE(LEFT(G359,4)),VALUE(MID(G359,6,2)),VALUE(RIGHT(G359,2))),IF(ISNUMBER(FIND(".",G359)),DATE(VALUE(RIGHT(G359,4)),VALUE(MID(G359,4,2)),VALUE(LEFT(G359,2))),DATE(VALUE(RIGHT(G359,4)),VLOOKUP(TRIM(MID(G359,FIND(" ",G359)+1,LEN(G359)-FIND(" ",G359)-5)),Справочники!$M$3:$N$14,2,0),VALUE(LEFT(G359,FIND(" ",G359)-1))))),"")</f>
        <v>48183</v>
      </c>
      <c r="M359" t="str">
        <f t="shared" si="224"/>
        <v xml:space="preserve">+7 (903) 567-89-01</v>
      </c>
      <c r="N359" t="str">
        <f t="shared" si="225"/>
        <v>chernyshev@mail</v>
      </c>
      <c r="O359" t="str">
        <f t="shared" si="226"/>
        <v xml:space="preserve">Ошибка Email</v>
      </c>
      <c r="P359" t="str">
        <f>IFERROR(VLOOKUP(TRIM(SUBSTITUTE(SUBSTITUTE(" "&amp;F359," г "," "),"г.","")),Справочники!$J$3:$K$102,2,0),TRIM(SUBSTITUTE(SUBSTITUTE(" "&amp;F359," г "," "),"г.","")))</f>
        <v>Элиста</v>
      </c>
    </row>
    <row r="360">
      <c r="A360" s="3" t="s">
        <v>2748</v>
      </c>
      <c r="B360" s="3" t="s">
        <v>5483</v>
      </c>
      <c r="C360" s="3" t="s">
        <v>5484</v>
      </c>
      <c r="D360" s="3" t="s">
        <v>1598</v>
      </c>
      <c r="E360" s="3" t="s">
        <v>5485</v>
      </c>
      <c r="F360" s="3" t="s">
        <v>4350</v>
      </c>
      <c r="G360" s="3" t="s">
        <v>5486</v>
      </c>
      <c r="H360" t="str">
        <f t="shared" si="221"/>
        <v xml:space="preserve">Покровская Елена Владимировна</v>
      </c>
      <c r="I360" s="5">
        <f>IFERROR(IF(ISNUMBER(FIND("-",C360)),DATE(VALUE(LEFT(C360,4)),VALUE(MID(C360,6,2)),VALUE(RIGHT(C360,2))),IF(ISNUMBER(FIND(".",C360)),DATE(VALUE(RIGHT(C360,4)),VALUE(MID(C360,4,2)),VALUE(LEFT(C360,2))),DATE(VALUE(RIGHT(C360,4)),VLOOKUP(TRIM(MID(C360,FIND(" ",C360)+1,LEN(C360)-FIND(" ",C360)-5)),Справочники!$M$3:$N$14,2,0),VALUE(LEFT(C360,FIND(" ",C360)-1))))),"")</f>
        <v>27616</v>
      </c>
      <c r="J360" s="6">
        <f t="shared" si="222"/>
        <v>51</v>
      </c>
      <c r="K360" t="str">
        <f t="shared" si="223"/>
        <v>ОК</v>
      </c>
      <c r="L360" s="5">
        <f>IFERROR(IF(ISNUMBER(FIND("-",G360)),DATE(VALUE(LEFT(G360,4)),VALUE(MID(G360,6,2)),VALUE(RIGHT(G360,2))),IF(ISNUMBER(FIND(".",G360)),DATE(VALUE(RIGHT(G360,4)),VALUE(MID(G360,4,2)),VALUE(LEFT(G360,2))),DATE(VALUE(RIGHT(G360,4)),VLOOKUP(TRIM(MID(G360,FIND(" ",G360)+1,LEN(G360)-FIND(" ",G360)-5)),Справочники!$M$3:$N$14,2,0),VALUE(LEFT(G360,FIND(" ",G360)-1))))),"")</f>
        <v>48192</v>
      </c>
      <c r="M360" t="str">
        <f t="shared" si="224"/>
        <v xml:space="preserve">+7 (903) 567-89-01</v>
      </c>
      <c r="N360" t="str">
        <f t="shared" si="225"/>
        <v>pokrovskaya@yandex</v>
      </c>
      <c r="O360" t="str">
        <f t="shared" si="226"/>
        <v xml:space="preserve">Ошибка Email</v>
      </c>
      <c r="P360" t="str">
        <f>IFERROR(VLOOKUP(TRIM(SUBSTITUTE(SUBSTITUTE(" "&amp;F360," г "," "),"г.","")),Справочники!$J$3:$K$102,2,0),TRIM(SUBSTITUTE(SUBSTITUTE(" "&amp;F360," г "," "),"г.","")))</f>
        <v>Орск</v>
      </c>
    </row>
    <row r="361">
      <c r="A361" s="3" t="s">
        <v>2750</v>
      </c>
      <c r="B361" s="3" t="s">
        <v>5487</v>
      </c>
      <c r="C361" s="3" t="s">
        <v>5488</v>
      </c>
      <c r="D361" s="3" t="s">
        <v>4116</v>
      </c>
      <c r="E361" s="3" t="s">
        <v>5489</v>
      </c>
      <c r="F361" s="3" t="s">
        <v>4355</v>
      </c>
      <c r="G361" s="3" t="s">
        <v>5490</v>
      </c>
      <c r="H361" t="str">
        <f t="shared" si="221"/>
        <v xml:space="preserve">Шабалин Илья Олегович</v>
      </c>
      <c r="I361" s="5">
        <f>IFERROR(IF(ISNUMBER(FIND("-",C361)),DATE(VALUE(LEFT(C361,4)),VALUE(MID(C361,6,2)),VALUE(RIGHT(C361,2))),IF(ISNUMBER(FIND(".",C361)),DATE(VALUE(RIGHT(C361,4)),VALUE(MID(C361,4,2)),VALUE(LEFT(C361,2))),DATE(VALUE(RIGHT(C361,4)),VLOOKUP(TRIM(MID(C361,FIND(" ",C361)+1,LEN(C361)-FIND(" ",C361)-5)),Справочники!$M$3:$N$14,2,0),VALUE(LEFT(C361,FIND(" ",C361)-1))))),"")</f>
        <v>34292</v>
      </c>
      <c r="J361" s="6">
        <f t="shared" si="222"/>
        <v>32</v>
      </c>
      <c r="K361" t="str">
        <f t="shared" si="223"/>
        <v>ОК</v>
      </c>
      <c r="L361" s="5">
        <f>IFERROR(IF(ISNUMBER(FIND("-",G361)),DATE(VALUE(LEFT(G361,4)),VALUE(MID(G361,6,2)),VALUE(RIGHT(G361,2))),IF(ISNUMBER(FIND(".",G361)),DATE(VALUE(RIGHT(G361,4)),VALUE(MID(G361,4,2)),VALUE(LEFT(G361,2))),DATE(VALUE(RIGHT(G361,4)),VLOOKUP(TRIM(MID(G361,FIND(" ",G361)+1,LEN(G361)-FIND(" ",G361)-5)),Справочники!$M$3:$N$14,2,0),VALUE(LEFT(G361,FIND(" ",G361)-1))))),"")</f>
        <v>48192</v>
      </c>
      <c r="M361" t="str">
        <f t="shared" si="224"/>
        <v xml:space="preserve">+7 (903) 678-90-12</v>
      </c>
      <c r="N361" t="str">
        <f t="shared" si="225"/>
        <v>shabalin@gmail</v>
      </c>
      <c r="O361" t="str">
        <f t="shared" si="226"/>
        <v xml:space="preserve">Ошибка Email</v>
      </c>
      <c r="P361" t="str">
        <f>IFERROR(VLOOKUP(TRIM(SUBSTITUTE(SUBSTITUTE(" "&amp;F361," г "," "),"г.","")),Справочники!$J$3:$K$102,2,0),TRIM(SUBSTITUTE(SUBSTITUTE(" "&amp;F361," г "," "),"г.","")))</f>
        <v>Нижневартовск</v>
      </c>
    </row>
    <row r="362">
      <c r="A362" s="3" t="s">
        <v>2753</v>
      </c>
      <c r="B362" s="3" t="s">
        <v>5491</v>
      </c>
      <c r="C362" s="3" t="s">
        <v>5492</v>
      </c>
      <c r="D362" s="3" t="s">
        <v>4122</v>
      </c>
      <c r="E362" s="3" t="s">
        <v>5493</v>
      </c>
      <c r="F362" s="3" t="s">
        <v>4360</v>
      </c>
      <c r="G362" s="3" t="s">
        <v>5494</v>
      </c>
      <c r="H362" t="str">
        <f t="shared" si="221"/>
        <v xml:space="preserve">Кубасова Наталья Алексеевна</v>
      </c>
      <c r="I362" s="5">
        <f>IFERROR(IF(ISNUMBER(FIND("-",C362)),DATE(VALUE(LEFT(C362,4)),VALUE(MID(C362,6,2)),VALUE(RIGHT(C362,2))),IF(ISNUMBER(FIND(".",C362)),DATE(VALUE(RIGHT(C362,4)),VALUE(MID(C362,4,2)),VALUE(LEFT(C362,2))),DATE(VALUE(RIGHT(C362,4)),VLOOKUP(TRIM(MID(C362,FIND(" ",C362)+1,LEN(C362)-FIND(" ",C362)-5)),Справочники!$M$3:$N$14,2,0),VALUE(LEFT(C362,FIND(" ",C362)-1))))),"")</f>
        <v>28855</v>
      </c>
      <c r="J362" s="6">
        <f t="shared" si="222"/>
        <v>47</v>
      </c>
      <c r="K362" t="str">
        <f t="shared" si="223"/>
        <v>ОК</v>
      </c>
      <c r="L362" s="5">
        <f>IFERROR(IF(ISNUMBER(FIND("-",G362)),DATE(VALUE(LEFT(G362,4)),VALUE(MID(G362,6,2)),VALUE(RIGHT(G362,2))),IF(ISNUMBER(FIND(".",G362)),DATE(VALUE(RIGHT(G362,4)),VALUE(MID(G362,4,2)),VALUE(LEFT(G362,2))),DATE(VALUE(RIGHT(G362,4)),VLOOKUP(TRIM(MID(G362,FIND(" ",G362)+1,LEN(G362)-FIND(" ",G362)-5)),Справочники!$M$3:$N$14,2,0),VALUE(LEFT(G362,FIND(" ",G362)-1))))),"")</f>
        <v>48214</v>
      </c>
      <c r="M362" t="str">
        <f t="shared" si="224"/>
        <v xml:space="preserve">+7 (903) 678-90-12</v>
      </c>
      <c r="N362" t="str">
        <f t="shared" si="225"/>
        <v>kubasova@mail</v>
      </c>
      <c r="O362" t="str">
        <f t="shared" si="226"/>
        <v xml:space="preserve">Ошибка Email</v>
      </c>
      <c r="P362" t="str">
        <f>IFERROR(VLOOKUP(TRIM(SUBSTITUTE(SUBSTITUTE(" "&amp;F362," г "," "),"г.","")),Справочники!$J$3:$K$102,2,0),TRIM(SUBSTITUTE(SUBSTITUTE(" "&amp;F362," г "," "),"г.","")))</f>
        <v>Новороссийск</v>
      </c>
    </row>
    <row r="363">
      <c r="A363" s="3" t="s">
        <v>2754</v>
      </c>
      <c r="B363" s="3" t="s">
        <v>5495</v>
      </c>
      <c r="C363" s="3" t="s">
        <v>5496</v>
      </c>
      <c r="D363" s="3" t="s">
        <v>1605</v>
      </c>
      <c r="E363" s="3" t="s">
        <v>5497</v>
      </c>
      <c r="F363" s="3" t="s">
        <v>4365</v>
      </c>
      <c r="G363" s="3" t="s">
        <v>5498</v>
      </c>
      <c r="H363" t="str">
        <f t="shared" si="221"/>
        <v xml:space="preserve">Логунов Андрей Сергеевич</v>
      </c>
      <c r="I363" s="5">
        <f>IFERROR(IF(ISNUMBER(FIND("-",C363)),DATE(VALUE(LEFT(C363,4)),VALUE(MID(C363,6,2)),VALUE(RIGHT(C363,2))),IF(ISNUMBER(FIND(".",C363)),DATE(VALUE(RIGHT(C363,4)),VALUE(MID(C363,4,2)),VALUE(LEFT(C363,2))),DATE(VALUE(RIGHT(C363,4)),VLOOKUP(TRIM(MID(C363,FIND(" ",C363)+1,LEN(C363)-FIND(" ",C363)-5)),Справочники!$M$3:$N$14,2,0),VALUE(LEFT(C363,FIND(" ",C363)-1))))),"")</f>
        <v>31883</v>
      </c>
      <c r="J363" s="6">
        <f t="shared" si="222"/>
        <v>39</v>
      </c>
      <c r="K363" t="str">
        <f t="shared" si="223"/>
        <v>ОК</v>
      </c>
      <c r="L363" s="5">
        <f>IFERROR(IF(ISNUMBER(FIND("-",G363)),DATE(VALUE(LEFT(G363,4)),VALUE(MID(G363,6,2)),VALUE(RIGHT(G363,2))),IF(ISNUMBER(FIND(".",G363)),DATE(VALUE(RIGHT(G363,4)),VALUE(MID(G363,4,2)),VALUE(LEFT(G363,2))),DATE(VALUE(RIGHT(G363,4)),VLOOKUP(TRIM(MID(G363,FIND(" ",G363)+1,LEN(G363)-FIND(" ",G363)-5)),Справочники!$M$3:$N$14,2,0),VALUE(LEFT(G363,FIND(" ",G363)-1))))),"")</f>
        <v>48228</v>
      </c>
      <c r="M363" t="str">
        <f t="shared" si="224"/>
        <v xml:space="preserve">+7 (903) 678-90-12</v>
      </c>
      <c r="N363" t="str">
        <f t="shared" si="225"/>
        <v>logunov@yandex</v>
      </c>
      <c r="O363" t="str">
        <f t="shared" si="226"/>
        <v xml:space="preserve">Ошибка Email</v>
      </c>
      <c r="P363" t="str">
        <f>IFERROR(VLOOKUP(TRIM(SUBSTITUTE(SUBSTITUTE(" "&amp;F363," г "," "),"г.","")),Справочники!$J$3:$K$102,2,0),TRIM(SUBSTITUTE(SUBSTITUTE(" "&amp;F363," г "," "),"г.","")))</f>
        <v>Химки</v>
      </c>
    </row>
    <row r="364">
      <c r="A364" s="3" t="s">
        <v>2757</v>
      </c>
      <c r="B364" s="3" t="s">
        <v>5499</v>
      </c>
      <c r="C364" s="3" t="s">
        <v>4012</v>
      </c>
      <c r="D364" s="3" t="s">
        <v>4001</v>
      </c>
      <c r="E364" s="3" t="s">
        <v>5500</v>
      </c>
      <c r="F364" s="3" t="s">
        <v>4370</v>
      </c>
      <c r="G364" s="3" t="s">
        <v>5501</v>
      </c>
      <c r="H364" t="str">
        <f t="shared" si="221"/>
        <v xml:space="preserve">Топоркова Ольга Владимировна</v>
      </c>
      <c r="I364" s="5">
        <f>IFERROR(IF(ISNUMBER(FIND("-",C364)),DATE(VALUE(LEFT(C364,4)),VALUE(MID(C364,6,2)),VALUE(RIGHT(C364,2))),IF(ISNUMBER(FIND(".",C364)),DATE(VALUE(RIGHT(C364,4)),VALUE(MID(C364,4,2)),VALUE(LEFT(C364,2))),DATE(VALUE(RIGHT(C364,4)),VLOOKUP(TRIM(MID(C364,FIND(" ",C364)+1,LEN(C364)-FIND(" ",C364)-5)),Справочники!$M$3:$N$14,2,0),VALUE(LEFT(C364,FIND(" ",C364)-1))))),"")</f>
        <v>30891</v>
      </c>
      <c r="J364" s="6">
        <f t="shared" si="222"/>
        <v>42</v>
      </c>
      <c r="K364" t="str">
        <f t="shared" si="223"/>
        <v>ОК</v>
      </c>
      <c r="L364" s="5">
        <f>IFERROR(IF(ISNUMBER(FIND("-",G364)),DATE(VALUE(LEFT(G364,4)),VALUE(MID(G364,6,2)),VALUE(RIGHT(G364,2))),IF(ISNUMBER(FIND(".",G364)),DATE(VALUE(RIGHT(G364,4)),VALUE(MID(G364,4,2)),VALUE(LEFT(G364,2))),DATE(VALUE(RIGHT(G364,4)),VLOOKUP(TRIM(MID(G364,FIND(" ",G364)+1,LEN(G364)-FIND(" ",G364)-5)),Справочники!$M$3:$N$14,2,0),VALUE(LEFT(G364,FIND(" ",G364)-1))))),"")</f>
        <v>48228</v>
      </c>
      <c r="M364" t="str">
        <f t="shared" si="224"/>
        <v xml:space="preserve">+7 (903) 789-01-23</v>
      </c>
      <c r="N364" t="str">
        <f t="shared" si="225"/>
        <v>toporkova@gmail</v>
      </c>
      <c r="O364" t="str">
        <f t="shared" si="226"/>
        <v xml:space="preserve">Ошибка Email</v>
      </c>
      <c r="P364" t="str">
        <f>IFERROR(VLOOKUP(TRIM(SUBSTITUTE(SUBSTITUTE(" "&amp;F364," г "," "),"г.","")),Справочники!$J$3:$K$102,2,0),TRIM(SUBSTITUTE(SUBSTITUTE(" "&amp;F364," г "," "),"г.","")))</f>
        <v>Подольск</v>
      </c>
    </row>
    <row r="365">
      <c r="A365" s="3" t="s">
        <v>2759</v>
      </c>
      <c r="B365" s="3" t="s">
        <v>5502</v>
      </c>
      <c r="C365" s="3" t="s">
        <v>5503</v>
      </c>
      <c r="D365" s="3" t="s">
        <v>4138</v>
      </c>
      <c r="E365" s="3" t="s">
        <v>5504</v>
      </c>
      <c r="F365" s="3" t="s">
        <v>4375</v>
      </c>
      <c r="G365" s="3" t="s">
        <v>5505</v>
      </c>
      <c r="H365" t="str">
        <f t="shared" si="221"/>
        <v xml:space="preserve">Кирьянов Денис Павлович</v>
      </c>
      <c r="I365" s="5">
        <f>IFERROR(IF(ISNUMBER(FIND("-",C365)),DATE(VALUE(LEFT(C365,4)),VALUE(MID(C365,6,2)),VALUE(RIGHT(C365,2))),IF(ISNUMBER(FIND(".",C365)),DATE(VALUE(RIGHT(C365,4)),VALUE(MID(C365,4,2)),VALUE(LEFT(C365,2))),DATE(VALUE(RIGHT(C365,4)),VLOOKUP(TRIM(MID(C365,FIND(" ",C365)+1,LEN(C365)-FIND(" ",C365)-5)),Справочники!$M$3:$N$14,2,0),VALUE(LEFT(C365,FIND(" ",C365)-1))))),"")</f>
        <v>27803</v>
      </c>
      <c r="J365" s="6">
        <f t="shared" si="222"/>
        <v>50</v>
      </c>
      <c r="K365" t="str">
        <f t="shared" si="223"/>
        <v>ОК</v>
      </c>
      <c r="L365" s="5">
        <f>IFERROR(IF(ISNUMBER(FIND("-",G365)),DATE(VALUE(LEFT(G365,4)),VALUE(MID(G365,6,2)),VALUE(RIGHT(G365,2))),IF(ISNUMBER(FIND(".",G365)),DATE(VALUE(RIGHT(G365,4)),VALUE(MID(G365,4,2)),VALUE(LEFT(G365,2))),DATE(VALUE(RIGHT(G365,4)),VLOOKUP(TRIM(MID(G365,FIND(" ",G365)+1,LEN(G365)-FIND(" ",G365)-5)),Справочники!$M$3:$N$14,2,0),VALUE(LEFT(G365,FIND(" ",G365)-1))))),"")</f>
        <v>48245</v>
      </c>
      <c r="M365" t="str">
        <f t="shared" si="224"/>
        <v xml:space="preserve">+7 (903) 789-01-23</v>
      </c>
      <c r="N365" t="str">
        <f t="shared" si="225"/>
        <v>kiryanov@mail</v>
      </c>
      <c r="O365" t="str">
        <f t="shared" si="226"/>
        <v xml:space="preserve">Ошибка Email</v>
      </c>
      <c r="P365" t="str">
        <f>IFERROR(VLOOKUP(TRIM(SUBSTITUTE(SUBSTITUTE(" "&amp;F365," г "," "),"г.","")),Справочники!$J$3:$K$102,2,0),TRIM(SUBSTITUTE(SUBSTITUTE(" "&amp;F365," г "," "),"г.","")))</f>
        <v>Балашиха</v>
      </c>
    </row>
    <row r="366">
      <c r="A366" s="3" t="s">
        <v>2762</v>
      </c>
      <c r="B366" s="3" t="s">
        <v>5506</v>
      </c>
      <c r="C366" s="3" t="s">
        <v>5507</v>
      </c>
      <c r="D366" s="3" t="s">
        <v>4144</v>
      </c>
      <c r="E366" s="3" t="s">
        <v>5508</v>
      </c>
      <c r="F366" s="3" t="s">
        <v>4380</v>
      </c>
      <c r="G366" s="3" t="s">
        <v>5509</v>
      </c>
      <c r="H366" t="str">
        <f t="shared" si="221"/>
        <v xml:space="preserve">Басырова Ирина Сергеевна</v>
      </c>
      <c r="I366" s="5">
        <f>IFERROR(IF(ISNUMBER(FIND("-",C366)),DATE(VALUE(LEFT(C366,4)),VALUE(MID(C366,6,2)),VALUE(RIGHT(C366,2))),IF(ISNUMBER(FIND(".",C366)),DATE(VALUE(RIGHT(C366,4)),VALUE(MID(C366,4,2)),VALUE(LEFT(C366,2))),DATE(VALUE(RIGHT(C366,4)),VLOOKUP(TRIM(MID(C366,FIND(" ",C366)+1,LEN(C366)-FIND(" ",C366)-5)),Справочники!$M$3:$N$14,2,0),VALUE(LEFT(C366,FIND(" ",C366)-1))))),"")</f>
        <v>32805</v>
      </c>
      <c r="J366" s="6">
        <f t="shared" si="222"/>
        <v>36</v>
      </c>
      <c r="K366" t="str">
        <f t="shared" si="223"/>
        <v>ОК</v>
      </c>
      <c r="L366" s="5">
        <f>IFERROR(IF(ISNUMBER(FIND("-",G366)),DATE(VALUE(LEFT(G366,4)),VALUE(MID(G366,6,2)),VALUE(RIGHT(G366,2))),IF(ISNUMBER(FIND(".",G366)),DATE(VALUE(RIGHT(G366,4)),VALUE(MID(G366,4,2)),VALUE(LEFT(G366,2))),DATE(VALUE(RIGHT(G366,4)),VLOOKUP(TRIM(MID(G366,FIND(" ",G366)+1,LEN(G366)-FIND(" ",G366)-5)),Справочники!$M$3:$N$14,2,0),VALUE(LEFT(G366,FIND(" ",G366)-1))))),"")</f>
        <v>48254</v>
      </c>
      <c r="M366" t="str">
        <f t="shared" si="224"/>
        <v xml:space="preserve">+7 (903) 789-01-23</v>
      </c>
      <c r="N366" t="str">
        <f t="shared" si="225"/>
        <v>basyrova@yandex</v>
      </c>
      <c r="O366" t="str">
        <f t="shared" si="226"/>
        <v xml:space="preserve">Ошибка Email</v>
      </c>
      <c r="P366" t="str">
        <f>IFERROR(VLOOKUP(TRIM(SUBSTITUTE(SUBSTITUTE(" "&amp;F366," г "," "),"г.","")),Справочники!$J$3:$K$102,2,0),TRIM(SUBSTITUTE(SUBSTITUTE(" "&amp;F366," г "," "),"г.","")))</f>
        <v>Сургут</v>
      </c>
    </row>
    <row r="367">
      <c r="A367" s="3" t="s">
        <v>2763</v>
      </c>
      <c r="B367" s="3" t="s">
        <v>5510</v>
      </c>
      <c r="C367" s="3" t="s">
        <v>5511</v>
      </c>
      <c r="D367" s="3" t="s">
        <v>4150</v>
      </c>
      <c r="E367" s="3" t="s">
        <v>5512</v>
      </c>
      <c r="F367" s="3" t="s">
        <v>4385</v>
      </c>
      <c r="G367" s="3" t="s">
        <v>5513</v>
      </c>
      <c r="H367" t="str">
        <f t="shared" si="221"/>
        <v xml:space="preserve">Фокин Александр Николаевич</v>
      </c>
      <c r="I367" s="5">
        <f>IFERROR(IF(ISNUMBER(FIND("-",C367)),DATE(VALUE(LEFT(C367,4)),VALUE(MID(C367,6,2)),VALUE(RIGHT(C367,2))),IF(ISNUMBER(FIND(".",C367)),DATE(VALUE(RIGHT(C367,4)),VALUE(MID(C367,4,2)),VALUE(LEFT(C367,2))),DATE(VALUE(RIGHT(C367,4)),VLOOKUP(TRIM(MID(C367,FIND(" ",C367)+1,LEN(C367)-FIND(" ",C367)-5)),Справочники!$M$3:$N$14,2,0),VALUE(LEFT(C367,FIND(" ",C367)-1))))),"")</f>
        <v>29804</v>
      </c>
      <c r="J367" s="6">
        <f t="shared" si="222"/>
        <v>45</v>
      </c>
      <c r="K367" t="str">
        <f t="shared" si="223"/>
        <v>ОК</v>
      </c>
      <c r="L367" s="5">
        <f>IFERROR(IF(ISNUMBER(FIND("-",G367)),DATE(VALUE(LEFT(G367,4)),VALUE(MID(G367,6,2)),VALUE(RIGHT(G367,2))),IF(ISNUMBER(FIND(".",G367)),DATE(VALUE(RIGHT(G367,4)),VALUE(MID(G367,4,2)),VALUE(LEFT(G367,2))),DATE(VALUE(RIGHT(G367,4)),VLOOKUP(TRIM(MID(G367,FIND(" ",G367)+1,LEN(G367)-FIND(" ",G367)-5)),Справочники!$M$3:$N$14,2,0),VALUE(LEFT(G367,FIND(" ",G367)-1))))),"")</f>
        <v>48254</v>
      </c>
      <c r="M367" t="str">
        <f t="shared" si="224"/>
        <v xml:space="preserve">+7 (903) 890-12-34</v>
      </c>
      <c r="N367" t="str">
        <f t="shared" si="225"/>
        <v>fokin@gmail</v>
      </c>
      <c r="O367" t="str">
        <f t="shared" si="226"/>
        <v xml:space="preserve">Ошибка Email</v>
      </c>
      <c r="P367" t="str">
        <f>IFERROR(VLOOKUP(TRIM(SUBSTITUTE(SUBSTITUTE(" "&amp;F367," г "," "),"г.","")),Справочники!$J$3:$K$102,2,0),TRIM(SUBSTITUTE(SUBSTITUTE(" "&amp;F367," г "," "),"г.","")))</f>
        <v>Армавир</v>
      </c>
    </row>
    <row r="368">
      <c r="A368" s="3" t="s">
        <v>2766</v>
      </c>
      <c r="B368" s="3" t="s">
        <v>5514</v>
      </c>
      <c r="C368" s="3" t="s">
        <v>5515</v>
      </c>
      <c r="D368" s="3" t="s">
        <v>4007</v>
      </c>
      <c r="E368" s="3" t="s">
        <v>5516</v>
      </c>
      <c r="F368" s="3" t="s">
        <v>4390</v>
      </c>
      <c r="G368" s="3" t="s">
        <v>5517</v>
      </c>
      <c r="H368" t="str">
        <f t="shared" si="221"/>
        <v xml:space="preserve">Рябинина Екатерина Алексеевна</v>
      </c>
      <c r="I368" s="5">
        <f>IFERROR(IF(ISNUMBER(FIND("-",C368)),DATE(VALUE(LEFT(C368,4)),VALUE(MID(C368,6,2)),VALUE(RIGHT(C368,2))),IF(ISNUMBER(FIND(".",C368)),DATE(VALUE(RIGHT(C368,4)),VALUE(MID(C368,4,2)),VALUE(LEFT(C368,2))),DATE(VALUE(RIGHT(C368,4)),VLOOKUP(TRIM(MID(C368,FIND(" ",C368)+1,LEN(C368)-FIND(" ",C368)-5)),Справочники!$M$3:$N$14,2,0),VALUE(LEFT(C368,FIND(" ",C368)-1))))),"")</f>
        <v>26651</v>
      </c>
      <c r="J368" s="6">
        <f t="shared" si="222"/>
        <v>53</v>
      </c>
      <c r="K368" t="str">
        <f t="shared" si="223"/>
        <v>ОК</v>
      </c>
      <c r="L368" s="5">
        <f>IFERROR(IF(ISNUMBER(FIND("-",G368)),DATE(VALUE(LEFT(G368,4)),VALUE(MID(G368,6,2)),VALUE(RIGHT(G368,2))),IF(ISNUMBER(FIND(".",G368)),DATE(VALUE(RIGHT(G368,4)),VALUE(MID(G368,4,2)),VALUE(LEFT(G368,2))),DATE(VALUE(RIGHT(G368,4)),VLOOKUP(TRIM(MID(G368,FIND(" ",G368)+1,LEN(G368)-FIND(" ",G368)-5)),Справочники!$M$3:$N$14,2,0),VALUE(LEFT(G368,FIND(" ",G368)-1))))),"")</f>
        <v>48274</v>
      </c>
      <c r="M368" t="str">
        <f t="shared" si="224"/>
        <v xml:space="preserve">+7 (903) 890-12-34</v>
      </c>
      <c r="N368" t="str">
        <f t="shared" si="225"/>
        <v>ryabinina@mail</v>
      </c>
      <c r="O368" t="str">
        <f t="shared" si="226"/>
        <v xml:space="preserve">Ошибка Email</v>
      </c>
      <c r="P368" t="str">
        <f>IFERROR(VLOOKUP(TRIM(SUBSTITUTE(SUBSTITUTE(" "&amp;F368," г "," "),"г.","")),Справочники!$J$3:$K$102,2,0),TRIM(SUBSTITUTE(SUBSTITUTE(" "&amp;F368," г "," "),"г.","")))</f>
        <v>Волжский</v>
      </c>
    </row>
    <row r="369">
      <c r="A369" s="3" t="s">
        <v>2768</v>
      </c>
      <c r="B369" s="3" t="s">
        <v>5518</v>
      </c>
      <c r="C369" s="3" t="s">
        <v>5519</v>
      </c>
      <c r="D369" s="3" t="s">
        <v>1619</v>
      </c>
      <c r="E369" s="3" t="s">
        <v>5520</v>
      </c>
      <c r="F369" s="3" t="s">
        <v>4395</v>
      </c>
      <c r="G369" s="3" t="s">
        <v>5521</v>
      </c>
      <c r="H369" t="str">
        <f t="shared" si="221"/>
        <v xml:space="preserve">Смолин Илья Викторович</v>
      </c>
      <c r="I369" s="5">
        <f>IFERROR(IF(ISNUMBER(FIND("-",C369)),DATE(VALUE(LEFT(C369,4)),VALUE(MID(C369,6,2)),VALUE(RIGHT(C369,2))),IF(ISNUMBER(FIND(".",C369)),DATE(VALUE(RIGHT(C369,4)),VALUE(MID(C369,4,2)),VALUE(LEFT(C369,2))),DATE(VALUE(RIGHT(C369,4)),VLOOKUP(TRIM(MID(C369,FIND(" ",C369)+1,LEN(C369)-FIND(" ",C369)-5)),Справочники!$M$3:$N$14,2,0),VALUE(LEFT(C369,FIND(" ",C369)-1))))),"")</f>
        <v>31207</v>
      </c>
      <c r="J369" s="6">
        <f t="shared" si="222"/>
        <v>41</v>
      </c>
      <c r="K369" t="str">
        <f t="shared" si="223"/>
        <v>ОК</v>
      </c>
      <c r="L369" s="5">
        <f>IFERROR(IF(ISNUMBER(FIND("-",G369)),DATE(VALUE(LEFT(G369,4)),VALUE(MID(G369,6,2)),VALUE(RIGHT(G369,2))),IF(ISNUMBER(FIND(".",G369)),DATE(VALUE(RIGHT(G369,4)),VALUE(MID(G369,4,2)),VALUE(LEFT(G369,2))),DATE(VALUE(RIGHT(G369,4)),VLOOKUP(TRIM(MID(G369,FIND(" ",G369)+1,LEN(G369)-FIND(" ",G369)-5)),Справочники!$M$3:$N$14,2,0),VALUE(LEFT(G369,FIND(" ",G369)-1))))),"")</f>
        <v>48288</v>
      </c>
      <c r="M369" t="str">
        <f t="shared" si="224"/>
        <v xml:space="preserve">+7 (903) 890-12-34</v>
      </c>
      <c r="N369" t="str">
        <f t="shared" si="225"/>
        <v>smolin@yandex</v>
      </c>
      <c r="O369" t="str">
        <f t="shared" si="226"/>
        <v xml:space="preserve">Ошибка Email</v>
      </c>
      <c r="P369" t="str">
        <f>IFERROR(VLOOKUP(TRIM(SUBSTITUTE(SUBSTITUTE(" "&amp;F369," г "," "),"г.","")),Справочники!$J$3:$K$102,2,0),TRIM(SUBSTITUTE(SUBSTITUTE(" "&amp;F369," г "," "),"г.","")))</f>
        <v>Шахты</v>
      </c>
    </row>
    <row r="370">
      <c r="A370" s="3" t="s">
        <v>2771</v>
      </c>
      <c r="B370" s="3" t="s">
        <v>5522</v>
      </c>
      <c r="C370" s="3" t="s">
        <v>5523</v>
      </c>
      <c r="D370" s="3" t="s">
        <v>4018</v>
      </c>
      <c r="E370" s="3" t="s">
        <v>5524</v>
      </c>
      <c r="F370" s="3" t="s">
        <v>4400</v>
      </c>
      <c r="G370" s="3" t="s">
        <v>5525</v>
      </c>
      <c r="H370" t="str">
        <f t="shared" si="221"/>
        <v xml:space="preserve">Труфанова Мария Сергеевна</v>
      </c>
      <c r="I370" s="5">
        <f>IFERROR(IF(ISNUMBER(FIND("-",C370)),DATE(VALUE(LEFT(C370,4)),VALUE(MID(C370,6,2)),VALUE(RIGHT(C370,2))),IF(ISNUMBER(FIND(".",C370)),DATE(VALUE(RIGHT(C370,4)),VALUE(MID(C370,4,2)),VALUE(LEFT(C370,2))),DATE(VALUE(RIGHT(C370,4)),VLOOKUP(TRIM(MID(C370,FIND(" ",C370)+1,LEN(C370)-FIND(" ",C370)-5)),Справочники!$M$3:$N$14,2,0),VALUE(LEFT(C370,FIND(" ",C370)-1))))),"")</f>
        <v>33260</v>
      </c>
      <c r="J370" s="6">
        <f t="shared" si="222"/>
        <v>35</v>
      </c>
      <c r="K370" t="str">
        <f t="shared" si="223"/>
        <v>ОК</v>
      </c>
      <c r="L370" s="5">
        <f>IFERROR(IF(ISNUMBER(FIND("-",G370)),DATE(VALUE(LEFT(G370,4)),VALUE(MID(G370,6,2)),VALUE(RIGHT(G370,2))),IF(ISNUMBER(FIND(".",G370)),DATE(VALUE(RIGHT(G370,4)),VALUE(MID(G370,4,2)),VALUE(LEFT(G370,2))),DATE(VALUE(RIGHT(G370,4)),VLOOKUP(TRIM(MID(G370,FIND(" ",G370)+1,LEN(G370)-FIND(" ",G370)-5)),Справочники!$M$3:$N$14,2,0),VALUE(LEFT(G370,FIND(" ",G370)-1))))),"")</f>
        <v>48288</v>
      </c>
      <c r="M370" t="str">
        <f t="shared" si="224"/>
        <v xml:space="preserve">+7 (903) 901-23-45</v>
      </c>
      <c r="N370" t="str">
        <f t="shared" si="225"/>
        <v>trufanova@gmail</v>
      </c>
      <c r="O370" t="str">
        <f t="shared" si="226"/>
        <v xml:space="preserve">Ошибка Email</v>
      </c>
      <c r="P370" t="str">
        <f>IFERROR(VLOOKUP(TRIM(SUBSTITUTE(SUBSTITUTE(" "&amp;F370," г "," "),"г.","")),Справочники!$J$3:$K$102,2,0),TRIM(SUBSTITUTE(SUBSTITUTE(" "&amp;F370," г "," "),"г.","")))</f>
        <v>Златоуст</v>
      </c>
    </row>
    <row r="371">
      <c r="A371" s="3" t="s">
        <v>2773</v>
      </c>
      <c r="B371" s="3" t="s">
        <v>5526</v>
      </c>
      <c r="C371" s="3" t="s">
        <v>5527</v>
      </c>
      <c r="D371" s="3" t="s">
        <v>1626</v>
      </c>
      <c r="E371" s="3" t="s">
        <v>5528</v>
      </c>
      <c r="F371" s="3" t="s">
        <v>4405</v>
      </c>
      <c r="G371" s="3" t="s">
        <v>5529</v>
      </c>
      <c r="H371" t="str">
        <f t="shared" si="221"/>
        <v xml:space="preserve">Кулиш Андрей Олегович</v>
      </c>
      <c r="I371" s="5">
        <f>IFERROR(IF(ISNUMBER(FIND("-",C371)),DATE(VALUE(LEFT(C371,4)),VALUE(MID(C371,6,2)),VALUE(RIGHT(C371,2))),IF(ISNUMBER(FIND(".",C371)),DATE(VALUE(RIGHT(C371,4)),VALUE(MID(C371,4,2)),VALUE(LEFT(C371,2))),DATE(VALUE(RIGHT(C371,4)),VLOOKUP(TRIM(MID(C371,FIND(" ",C371)+1,LEN(C371)-FIND(" ",C371)-5)),Справочники!$M$3:$N$14,2,0),VALUE(LEFT(C371,FIND(" ",C371)-1))))),"")</f>
        <v>28382</v>
      </c>
      <c r="J371" s="6">
        <f t="shared" si="222"/>
        <v>49</v>
      </c>
      <c r="K371" t="str">
        <f t="shared" si="223"/>
        <v>ОК</v>
      </c>
      <c r="L371" s="5">
        <f>IFERROR(IF(ISNUMBER(FIND("-",G371)),DATE(VALUE(LEFT(G371,4)),VALUE(MID(G371,6,2)),VALUE(RIGHT(G371,2))),IF(ISNUMBER(FIND(".",G371)),DATE(VALUE(RIGHT(G371,4)),VALUE(MID(G371,4,2)),VALUE(LEFT(G371,2))),DATE(VALUE(RIGHT(G371,4)),VLOOKUP(TRIM(MID(G371,FIND(" ",G371)+1,LEN(G371)-FIND(" ",G371)-5)),Справочники!$M$3:$N$14,2,0),VALUE(LEFT(G371,FIND(" ",G371)-1))))),"")</f>
        <v>48305</v>
      </c>
      <c r="M371" t="str">
        <f t="shared" si="224"/>
        <v xml:space="preserve">+7 (903) 901-23-45</v>
      </c>
      <c r="N371" t="str">
        <f t="shared" si="225"/>
        <v>kulish@mail</v>
      </c>
      <c r="O371" t="str">
        <f t="shared" si="226"/>
        <v xml:space="preserve">Ошибка Email</v>
      </c>
      <c r="P371" t="str">
        <f>IFERROR(VLOOKUP(TRIM(SUBSTITUTE(SUBSTITUTE(" "&amp;F371," г "," "),"г.","")),Справочники!$J$3:$K$102,2,0),TRIM(SUBSTITUTE(SUBSTITUTE(" "&amp;F371," г "," "),"г.","")))</f>
        <v>Ангарск</v>
      </c>
    </row>
    <row r="372">
      <c r="A372" s="3" t="s">
        <v>2776</v>
      </c>
      <c r="B372" s="3" t="s">
        <v>5530</v>
      </c>
      <c r="C372" s="3" t="s">
        <v>5531</v>
      </c>
      <c r="D372" s="3" t="s">
        <v>4176</v>
      </c>
      <c r="E372" s="3" t="s">
        <v>5532</v>
      </c>
      <c r="F372" s="3" t="s">
        <v>4410</v>
      </c>
      <c r="G372" s="3" t="s">
        <v>5533</v>
      </c>
      <c r="H372" t="str">
        <f t="shared" si="221"/>
        <v xml:space="preserve">Евсеева Ольга Павловна</v>
      </c>
      <c r="I372" s="5">
        <f>IFERROR(IF(ISNUMBER(FIND("-",C372)),DATE(VALUE(LEFT(C372,4)),VALUE(MID(C372,6,2)),VALUE(RIGHT(C372,2))),IF(ISNUMBER(FIND(".",C372)),DATE(VALUE(RIGHT(C372,4)),VALUE(MID(C372,4,2)),VALUE(LEFT(C372,2))),DATE(VALUE(RIGHT(C372,4)),VLOOKUP(TRIM(MID(C372,FIND(" ",C372)+1,LEN(C372)-FIND(" ",C372)-5)),Справочники!$M$3:$N$14,2,0),VALUE(LEFT(C372,FIND(" ",C372)-1))))),"")</f>
        <v>32259</v>
      </c>
      <c r="J372" s="6">
        <f t="shared" si="222"/>
        <v>38</v>
      </c>
      <c r="K372" t="str">
        <f t="shared" si="223"/>
        <v>ОК</v>
      </c>
      <c r="L372" s="5">
        <f>IFERROR(IF(ISNUMBER(FIND("-",G372)),DATE(VALUE(LEFT(G372,4)),VALUE(MID(G372,6,2)),VALUE(RIGHT(G372,2))),IF(ISNUMBER(FIND(".",G372)),DATE(VALUE(RIGHT(G372,4)),VALUE(MID(G372,4,2)),VALUE(LEFT(G372,2))),DATE(VALUE(RIGHT(G372,4)),VLOOKUP(TRIM(MID(G372,FIND(" ",G372)+1,LEN(G372)-FIND(" ",G372)-5)),Справочники!$M$3:$N$14,2,0),VALUE(LEFT(G372,FIND(" ",G372)-1))))),"")</f>
        <v>48314</v>
      </c>
      <c r="M372" t="str">
        <f t="shared" si="224"/>
        <v xml:space="preserve">+7 (903) 901-23-45</v>
      </c>
      <c r="N372" t="str">
        <f t="shared" si="225"/>
        <v>evseeva@yandex</v>
      </c>
      <c r="O372" t="str">
        <f t="shared" si="226"/>
        <v xml:space="preserve">Ошибка Email</v>
      </c>
      <c r="P372" t="str">
        <f>IFERROR(VLOOKUP(TRIM(SUBSTITUTE(SUBSTITUTE(" "&amp;F372," г "," "),"г.","")),Справочники!$J$3:$K$102,2,0),TRIM(SUBSTITUTE(SUBSTITUTE(" "&amp;F372," г "," "),"г.","")))</f>
        <v>Озёрск</v>
      </c>
    </row>
    <row r="373">
      <c r="A373" s="3" t="s">
        <v>2777</v>
      </c>
      <c r="B373" s="3" t="s">
        <v>5534</v>
      </c>
      <c r="C373" s="3" t="s">
        <v>5535</v>
      </c>
      <c r="D373" s="3" t="s">
        <v>4182</v>
      </c>
      <c r="E373" s="3" t="s">
        <v>5536</v>
      </c>
      <c r="F373" s="3" t="s">
        <v>4415</v>
      </c>
      <c r="G373" s="3" t="s">
        <v>5537</v>
      </c>
      <c r="H373" t="str">
        <f t="shared" si="221"/>
        <v xml:space="preserve">Малков Денис Александрович</v>
      </c>
      <c r="I373" s="5">
        <f>IFERROR(IF(ISNUMBER(FIND("-",C373)),DATE(VALUE(LEFT(C373,4)),VALUE(MID(C373,6,2)),VALUE(RIGHT(C373,2))),IF(ISNUMBER(FIND(".",C373)),DATE(VALUE(RIGHT(C373,4)),VALUE(MID(C373,4,2)),VALUE(LEFT(C373,2))),DATE(VALUE(RIGHT(C373,4)),VLOOKUP(TRIM(MID(C373,FIND(" ",C373)+1,LEN(C373)-FIND(" ",C373)-5)),Справочники!$M$3:$N$14,2,0),VALUE(LEFT(C373,FIND(" ",C373)-1))))),"")</f>
        <v>29555</v>
      </c>
      <c r="J373" s="6">
        <f t="shared" si="222"/>
        <v>45</v>
      </c>
      <c r="K373" t="str">
        <f t="shared" si="223"/>
        <v>ОК</v>
      </c>
      <c r="L373" s="5">
        <f>IFERROR(IF(ISNUMBER(FIND("-",G373)),DATE(VALUE(LEFT(G373,4)),VALUE(MID(G373,6,2)),VALUE(RIGHT(G373,2))),IF(ISNUMBER(FIND(".",G373)),DATE(VALUE(RIGHT(G373,4)),VALUE(MID(G373,4,2)),VALUE(LEFT(G373,2))),DATE(VALUE(RIGHT(G373,4)),VLOOKUP(TRIM(MID(G373,FIND(" ",G373)+1,LEN(G373)-FIND(" ",G373)-5)),Справочники!$M$3:$N$14,2,0),VALUE(LEFT(G373,FIND(" ",G373)-1))))),"")</f>
        <v>48314</v>
      </c>
      <c r="M373" t="str">
        <f t="shared" si="224"/>
        <v xml:space="preserve">+7 (903) 012-34-56</v>
      </c>
      <c r="N373" t="str">
        <f t="shared" si="225"/>
        <v>malkov@gmail</v>
      </c>
      <c r="O373" t="str">
        <f t="shared" si="226"/>
        <v xml:space="preserve">Ошибка Email</v>
      </c>
      <c r="P373" t="str">
        <f>IFERROR(VLOOKUP(TRIM(SUBSTITUTE(SUBSTITUTE(" "&amp;F373," г "," "),"г.","")),Справочники!$J$3:$K$102,2,0),TRIM(SUBSTITUTE(SUBSTITUTE(" "&amp;F373," г "," "),"г.","")))</f>
        <v>Орел</v>
      </c>
    </row>
    <row r="374">
      <c r="A374" s="3" t="s">
        <v>2779</v>
      </c>
      <c r="B374" s="3" t="s">
        <v>5538</v>
      </c>
      <c r="C374" s="3" t="s">
        <v>4628</v>
      </c>
      <c r="D374" s="3" t="s">
        <v>4188</v>
      </c>
      <c r="E374" s="3" t="s">
        <v>5539</v>
      </c>
      <c r="F374" s="3" t="s">
        <v>4205</v>
      </c>
      <c r="G374" s="3" t="s">
        <v>5540</v>
      </c>
      <c r="H374" t="str">
        <f t="shared" si="221"/>
        <v xml:space="preserve">Курепина Наталья Владимировна</v>
      </c>
      <c r="I374" s="5">
        <f>IFERROR(IF(ISNUMBER(FIND("-",C374)),DATE(VALUE(LEFT(C374,4)),VALUE(MID(C374,6,2)),VALUE(RIGHT(C374,2))),IF(ISNUMBER(FIND(".",C374)),DATE(VALUE(RIGHT(C374,4)),VALUE(MID(C374,4,2)),VALUE(LEFT(C374,2))),DATE(VALUE(RIGHT(C374,4)),VLOOKUP(TRIM(MID(C374,FIND(" ",C374)+1,LEN(C374)-FIND(" ",C374)-5)),Справочники!$M$3:$N$14,2,0),VALUE(LEFT(C374,FIND(" ",C374)-1))))),"")</f>
        <v>27221</v>
      </c>
      <c r="J374" s="6">
        <f t="shared" si="222"/>
        <v>52</v>
      </c>
      <c r="K374" t="str">
        <f t="shared" si="223"/>
        <v>ОК</v>
      </c>
      <c r="L374" s="5">
        <f>IFERROR(IF(ISNUMBER(FIND("-",G374)),DATE(VALUE(LEFT(G374,4)),VALUE(MID(G374,6,2)),VALUE(RIGHT(G374,2))),IF(ISNUMBER(FIND(".",G374)),DATE(VALUE(RIGHT(G374,4)),VALUE(MID(G374,4,2)),VALUE(LEFT(G374,2))),DATE(VALUE(RIGHT(G374,4)),VLOOKUP(TRIM(MID(G374,FIND(" ",G374)+1,LEN(G374)-FIND(" ",G374)-5)),Справочники!$M$3:$N$14,2,0),VALUE(LEFT(G374,FIND(" ",G374)-1))))),"")</f>
        <v>48335</v>
      </c>
      <c r="M374" t="str">
        <f t="shared" si="224"/>
        <v xml:space="preserve">+7 (903) 012-34-56</v>
      </c>
      <c r="N374" t="str">
        <f t="shared" si="225"/>
        <v>kurepina@mail</v>
      </c>
      <c r="O374" t="str">
        <f t="shared" si="226"/>
        <v xml:space="preserve">Ошибка Email</v>
      </c>
      <c r="P374" t="str">
        <f>IFERROR(VLOOKUP(TRIM(SUBSTITUTE(SUBSTITUTE(" "&amp;F374," г "," "),"г.","")),Справочники!$J$3:$K$102,2,0),TRIM(SUBSTITUTE(SUBSTITUTE(" "&amp;F374," г "," "),"г.","")))</f>
        <v>Якутск</v>
      </c>
    </row>
    <row r="375">
      <c r="A375" s="3" t="s">
        <v>2781</v>
      </c>
      <c r="B375" s="3" t="s">
        <v>5541</v>
      </c>
      <c r="C375" s="3" t="s">
        <v>5542</v>
      </c>
      <c r="D375" s="3" t="s">
        <v>1633</v>
      </c>
      <c r="E375" s="3" t="s">
        <v>5543</v>
      </c>
      <c r="F375" s="3" t="s">
        <v>4152</v>
      </c>
      <c r="G375" s="3" t="s">
        <v>5544</v>
      </c>
      <c r="H375" t="str">
        <f t="shared" si="221"/>
        <v xml:space="preserve">Меркушев Илья Юрьевич</v>
      </c>
      <c r="I375" s="5">
        <f>IFERROR(IF(ISNUMBER(FIND("-",C375)),DATE(VALUE(LEFT(C375,4)),VALUE(MID(C375,6,2)),VALUE(RIGHT(C375,2))),IF(ISNUMBER(FIND(".",C375)),DATE(VALUE(RIGHT(C375,4)),VALUE(MID(C375,4,2)),VALUE(LEFT(C375,2))),DATE(VALUE(RIGHT(C375,4)),VLOOKUP(TRIM(MID(C375,FIND(" ",C375)+1,LEN(C375)-FIND(" ",C375)-5)),Справочники!$M$3:$N$14,2,0),VALUE(LEFT(C375,FIND(" ",C375)-1))))),"")</f>
        <v>31476</v>
      </c>
      <c r="J375" s="6">
        <f t="shared" si="222"/>
        <v>40</v>
      </c>
      <c r="K375" t="str">
        <f t="shared" si="223"/>
        <v>ОК</v>
      </c>
      <c r="L375" s="5">
        <f>IFERROR(IF(ISNUMBER(FIND("-",G375)),DATE(VALUE(LEFT(G375,4)),VALUE(MID(G375,6,2)),VALUE(RIGHT(G375,2))),IF(ISNUMBER(FIND(".",G375)),DATE(VALUE(RIGHT(G375,4)),VALUE(MID(G375,4,2)),VALUE(LEFT(G375,2))),DATE(VALUE(RIGHT(G375,4)),VLOOKUP(TRIM(MID(G375,FIND(" ",G375)+1,LEN(G375)-FIND(" ",G375)-5)),Справочники!$M$3:$N$14,2,0),VALUE(LEFT(G375,FIND(" ",G375)-1))))),"")</f>
        <v>48349</v>
      </c>
      <c r="M375" t="str">
        <f t="shared" si="224"/>
        <v xml:space="preserve">+7 (903) 012-34-56</v>
      </c>
      <c r="N375" t="str">
        <f t="shared" si="225"/>
        <v>merkushev@yandex</v>
      </c>
      <c r="O375" t="str">
        <f t="shared" si="226"/>
        <v xml:space="preserve">Ошибка Email</v>
      </c>
      <c r="P375" t="str">
        <f>IFERROR(VLOOKUP(TRIM(SUBSTITUTE(SUBSTITUTE(" "&amp;F375," г "," "),"г.","")),Справочники!$J$3:$K$102,2,0),TRIM(SUBSTITUTE(SUBSTITUTE(" "&amp;F375," г "," "),"г.","")))</f>
        <v>Чебоксары</v>
      </c>
    </row>
    <row r="376">
      <c r="A376" s="3" t="s">
        <v>2784</v>
      </c>
      <c r="B376" s="3" t="s">
        <v>5545</v>
      </c>
      <c r="C376" s="3" t="s">
        <v>5546</v>
      </c>
      <c r="D376" s="3" t="s">
        <v>4034</v>
      </c>
      <c r="E376" s="3" t="s">
        <v>5547</v>
      </c>
      <c r="F376" s="3" t="s">
        <v>4245</v>
      </c>
      <c r="G376" s="3" t="s">
        <v>5548</v>
      </c>
      <c r="H376" t="str">
        <f t="shared" si="221"/>
        <v xml:space="preserve">Панкратова Елена Игоревна</v>
      </c>
      <c r="I376" s="5">
        <f>IFERROR(IF(ISNUMBER(FIND("-",C376)),DATE(VALUE(LEFT(C376,4)),VALUE(MID(C376,6,2)),VALUE(RIGHT(C376,2))),IF(ISNUMBER(FIND(".",C376)),DATE(VALUE(RIGHT(C376,4)),VALUE(MID(C376,4,2)),VALUE(LEFT(C376,2))),DATE(VALUE(RIGHT(C376,4)),VLOOKUP(TRIM(MID(C376,FIND(" ",C376)+1,LEN(C376)-FIND(" ",C376)-5)),Справочники!$M$3:$N$14,2,0),VALUE(LEFT(C376,FIND(" ",C376)-1))))),"")</f>
        <v>33839</v>
      </c>
      <c r="J376" s="6">
        <f t="shared" si="222"/>
        <v>34</v>
      </c>
      <c r="K376" t="str">
        <f t="shared" si="223"/>
        <v>ОК</v>
      </c>
      <c r="L376" s="5">
        <f>IFERROR(IF(ISNUMBER(FIND("-",G376)),DATE(VALUE(LEFT(G376,4)),VALUE(MID(G376,6,2)),VALUE(RIGHT(G376,2))),IF(ISNUMBER(FIND(".",G376)),DATE(VALUE(RIGHT(G376,4)),VALUE(MID(G376,4,2)),VALUE(LEFT(G376,2))),DATE(VALUE(RIGHT(G376,4)),VLOOKUP(TRIM(MID(G376,FIND(" ",G376)+1,LEN(G376)-FIND(" ",G376)-5)),Справочники!$M$3:$N$14,2,0),VALUE(LEFT(G376,FIND(" ",G376)-1))))),"")</f>
        <v>48349</v>
      </c>
      <c r="M376" t="str">
        <f t="shared" si="224"/>
        <v xml:space="preserve">+7 (903) 123-45-67</v>
      </c>
      <c r="N376" t="str">
        <f t="shared" si="225"/>
        <v>pankratova@gmail</v>
      </c>
      <c r="O376" t="str">
        <f t="shared" si="226"/>
        <v xml:space="preserve">Ошибка Email</v>
      </c>
      <c r="P376" t="str">
        <f>IFERROR(VLOOKUP(TRIM(SUBSTITUTE(SUBSTITUTE(" "&amp;F376," г "," "),"г.","")),Справочники!$J$3:$K$102,2,0),TRIM(SUBSTITUTE(SUBSTITUTE(" "&amp;F376," г "," "),"г.","")))</f>
        <v>Мурманск</v>
      </c>
    </row>
    <row r="377">
      <c r="A377" s="3" t="s">
        <v>2785</v>
      </c>
      <c r="B377" s="3" t="s">
        <v>5549</v>
      </c>
      <c r="C377" s="3" t="s">
        <v>5550</v>
      </c>
      <c r="D377" s="3" t="s">
        <v>4040</v>
      </c>
      <c r="E377" s="3" t="s">
        <v>5551</v>
      </c>
      <c r="F377" s="3" t="s">
        <v>4235</v>
      </c>
      <c r="G377" s="3" t="s">
        <v>5552</v>
      </c>
      <c r="H377" t="str">
        <f t="shared" si="221"/>
        <v xml:space="preserve">Сазонов Олег Викторович</v>
      </c>
      <c r="I377" s="5">
        <f>IFERROR(IF(ISNUMBER(FIND("-",C377)),DATE(VALUE(LEFT(C377,4)),VALUE(MID(C377,6,2)),VALUE(RIGHT(C377,2))),IF(ISNUMBER(FIND(".",C377)),DATE(VALUE(RIGHT(C377,4)),VALUE(MID(C377,4,2)),VALUE(LEFT(C377,2))),DATE(VALUE(RIGHT(C377,4)),VLOOKUP(TRIM(MID(C377,FIND(" ",C377)+1,LEN(C377)-FIND(" ",C377)-5)),Справочники!$M$3:$N$14,2,0),VALUE(LEFT(C377,FIND(" ",C377)-1))))),"")</f>
        <v>27744</v>
      </c>
      <c r="J377" s="6">
        <f t="shared" si="222"/>
        <v>50</v>
      </c>
      <c r="K377" t="str">
        <f t="shared" si="223"/>
        <v>ОК</v>
      </c>
      <c r="L377" s="5">
        <f>IFERROR(IF(ISNUMBER(FIND("-",G377)),DATE(VALUE(LEFT(G377,4)),VALUE(MID(G377,6,2)),VALUE(RIGHT(G377,2))),IF(ISNUMBER(FIND(".",G377)),DATE(VALUE(RIGHT(G377,4)),VALUE(MID(G377,4,2)),VALUE(LEFT(G377,2))),DATE(VALUE(RIGHT(G377,4)),VLOOKUP(TRIM(MID(G377,FIND(" ",G377)+1,LEN(G377)-FIND(" ",G377)-5)),Справочники!$M$3:$N$14,2,0),VALUE(LEFT(G377,FIND(" ",G377)-1))))),"")</f>
        <v>48366</v>
      </c>
      <c r="M377" t="str">
        <f t="shared" si="224"/>
        <v xml:space="preserve">+7 (903) 123-45-67</v>
      </c>
      <c r="N377" t="str">
        <f t="shared" si="225"/>
        <v>sazonov@mail</v>
      </c>
      <c r="O377" t="str">
        <f t="shared" si="226"/>
        <v xml:space="preserve">Ошибка Email</v>
      </c>
      <c r="P377" t="str">
        <f>IFERROR(VLOOKUP(TRIM(SUBSTITUTE(SUBSTITUTE(" "&amp;F377," г "," "),"г.","")),Справочники!$J$3:$K$102,2,0),TRIM(SUBSTITUTE(SUBSTITUTE(" "&amp;F377," г "," "),"г.","")))</f>
        <v>Смоленск</v>
      </c>
    </row>
    <row r="378">
      <c r="A378" s="3" t="s">
        <v>2788</v>
      </c>
      <c r="B378" s="3" t="s">
        <v>5553</v>
      </c>
      <c r="C378" s="3" t="s">
        <v>5554</v>
      </c>
      <c r="D378" s="3" t="s">
        <v>1570</v>
      </c>
      <c r="E378" s="3" t="s">
        <v>5555</v>
      </c>
      <c r="F378" s="3" t="s">
        <v>4220</v>
      </c>
      <c r="G378" s="3" t="s">
        <v>5556</v>
      </c>
      <c r="H378" t="str">
        <f t="shared" si="221"/>
        <v xml:space="preserve">Князева Светлана Николаевна</v>
      </c>
      <c r="I378" s="5">
        <f>IFERROR(IF(ISNUMBER(FIND("-",C378)),DATE(VALUE(LEFT(C378,4)),VALUE(MID(C378,6,2)),VALUE(RIGHT(C378,2))),IF(ISNUMBER(FIND(".",C378)),DATE(VALUE(RIGHT(C378,4)),VALUE(MID(C378,4,2)),VALUE(LEFT(C378,2))),DATE(VALUE(RIGHT(C378,4)),VLOOKUP(TRIM(MID(C378,FIND(" ",C378)+1,LEN(C378)-FIND(" ",C378)-5)),Справочники!$M$3:$N$14,2,0),VALUE(LEFT(C378,FIND(" ",C378)-1))))),"")</f>
        <v>30616</v>
      </c>
      <c r="J378" s="6">
        <f t="shared" si="222"/>
        <v>42</v>
      </c>
      <c r="K378" t="str">
        <f t="shared" si="223"/>
        <v>ОК</v>
      </c>
      <c r="L378" s="5">
        <f>IFERROR(IF(ISNUMBER(FIND("-",G378)),DATE(VALUE(LEFT(G378,4)),VALUE(MID(G378,6,2)),VALUE(RIGHT(G378,2))),IF(ISNUMBER(FIND(".",G378)),DATE(VALUE(RIGHT(G378,4)),VALUE(MID(G378,4,2)),VALUE(LEFT(G378,2))),DATE(VALUE(RIGHT(G378,4)),VLOOKUP(TRIM(MID(G378,FIND(" ",G378)+1,LEN(G378)-FIND(" ",G378)-5)),Справочники!$M$3:$N$14,2,0),VALUE(LEFT(G378,FIND(" ",G378)-1))))),"")</f>
        <v>48375</v>
      </c>
      <c r="M378" t="str">
        <f t="shared" si="224"/>
        <v xml:space="preserve">+7 (903) 123-45-67</v>
      </c>
      <c r="N378" t="str">
        <f t="shared" si="225"/>
        <v>knyazeva@yandex</v>
      </c>
      <c r="O378" t="str">
        <f t="shared" si="226"/>
        <v xml:space="preserve">Ошибка Email</v>
      </c>
      <c r="P378" t="str">
        <f>IFERROR(VLOOKUP(TRIM(SUBSTITUTE(SUBSTITUTE(" "&amp;F378," г "," "),"г.","")),Справочники!$J$3:$K$102,2,0),TRIM(SUBSTITUTE(SUBSTITUTE(" "&amp;F378," г "," "),"г.","")))</f>
        <v>Тула</v>
      </c>
    </row>
    <row r="379">
      <c r="A379" s="3" t="s">
        <v>2790</v>
      </c>
      <c r="B379" s="3" t="s">
        <v>5557</v>
      </c>
      <c r="C379" s="3" t="s">
        <v>5558</v>
      </c>
      <c r="D379" s="3" t="s">
        <v>4051</v>
      </c>
      <c r="E379" s="3" t="s">
        <v>5559</v>
      </c>
      <c r="F379" s="3" t="s">
        <v>4225</v>
      </c>
      <c r="G379" s="3" t="s">
        <v>5560</v>
      </c>
      <c r="H379" t="str">
        <f t="shared" si="221"/>
        <v xml:space="preserve">Куприенко Денис Павлович</v>
      </c>
      <c r="I379" s="5">
        <f>IFERROR(IF(ISNUMBER(FIND("-",C379)),DATE(VALUE(LEFT(C379,4)),VALUE(MID(C379,6,2)),VALUE(RIGHT(C379,2))),IF(ISNUMBER(FIND(".",C379)),DATE(VALUE(RIGHT(C379,4)),VALUE(MID(C379,4,2)),VALUE(LEFT(C379,2))),DATE(VALUE(RIGHT(C379,4)),VLOOKUP(TRIM(MID(C379,FIND(" ",C379)+1,LEN(C379)-FIND(" ",C379)-5)),Справочники!$M$3:$N$14,2,0),VALUE(LEFT(C379,FIND(" ",C379)-1))))),"")</f>
        <v>33038</v>
      </c>
      <c r="J379" s="6">
        <f t="shared" si="222"/>
        <v>36</v>
      </c>
      <c r="K379" t="str">
        <f t="shared" si="223"/>
        <v>ОК</v>
      </c>
      <c r="L379" s="5">
        <f>IFERROR(IF(ISNUMBER(FIND("-",G379)),DATE(VALUE(LEFT(G379,4)),VALUE(MID(G379,6,2)),VALUE(RIGHT(G379,2))),IF(ISNUMBER(FIND(".",G379)),DATE(VALUE(RIGHT(G379,4)),VALUE(MID(G379,4,2)),VALUE(LEFT(G379,2))),DATE(VALUE(RIGHT(G379,4)),VLOOKUP(TRIM(MID(G379,FIND(" ",G379)+1,LEN(G379)-FIND(" ",G379)-5)),Справочники!$M$3:$N$14,2,0),VALUE(LEFT(G379,FIND(" ",G379)-1))))),"")</f>
        <v>48375</v>
      </c>
      <c r="M379" t="str">
        <f t="shared" si="224"/>
        <v xml:space="preserve">+7 (903) 234-56-78</v>
      </c>
      <c r="N379" t="str">
        <f t="shared" si="225"/>
        <v>kuprienko@gmail</v>
      </c>
      <c r="O379" t="str">
        <f t="shared" si="226"/>
        <v xml:space="preserve">Ошибка Email</v>
      </c>
      <c r="P379" t="str">
        <f>IFERROR(VLOOKUP(TRIM(SUBSTITUTE(SUBSTITUTE(" "&amp;F379," г "," "),"г.","")),Справочники!$J$3:$K$102,2,0),TRIM(SUBSTITUTE(SUBSTITUTE(" "&amp;F379," г "," "),"г.","")))</f>
        <v>Калуга</v>
      </c>
    </row>
    <row r="380">
      <c r="A380" s="3" t="s">
        <v>2793</v>
      </c>
      <c r="B380" s="3" t="s">
        <v>5561</v>
      </c>
      <c r="C380" s="3" t="s">
        <v>5562</v>
      </c>
      <c r="D380" s="3" t="s">
        <v>4057</v>
      </c>
      <c r="E380" s="3" t="s">
        <v>5563</v>
      </c>
      <c r="F380" s="3" t="s">
        <v>4230</v>
      </c>
      <c r="G380" s="3" t="s">
        <v>5564</v>
      </c>
      <c r="H380" t="str">
        <f t="shared" si="221"/>
        <v xml:space="preserve">Марчук Ольга Алексеевна</v>
      </c>
      <c r="I380" s="5">
        <f>IFERROR(IF(ISNUMBER(FIND("-",C380)),DATE(VALUE(LEFT(C380,4)),VALUE(MID(C380,6,2)),VALUE(RIGHT(C380,2))),IF(ISNUMBER(FIND(".",C380)),DATE(VALUE(RIGHT(C380,4)),VALUE(MID(C380,4,2)),VALUE(LEFT(C380,2))),DATE(VALUE(RIGHT(C380,4)),VLOOKUP(TRIM(MID(C380,FIND(" ",C380)+1,LEN(C380)-FIND(" ",C380)-5)),Справочники!$M$3:$N$14,2,0),VALUE(LEFT(C380,FIND(" ",C380)-1))))),"")</f>
        <v>28540</v>
      </c>
      <c r="J380" s="6">
        <f t="shared" si="222"/>
        <v>48</v>
      </c>
      <c r="K380" t="str">
        <f t="shared" si="223"/>
        <v>ОК</v>
      </c>
      <c r="L380" s="5">
        <f>IFERROR(IF(ISNUMBER(FIND("-",G380)),DATE(VALUE(LEFT(G380,4)),VALUE(MID(G380,6,2)),VALUE(RIGHT(G380,2))),IF(ISNUMBER(FIND(".",G380)),DATE(VALUE(RIGHT(G380,4)),VALUE(MID(G380,4,2)),VALUE(LEFT(G380,2))),DATE(VALUE(RIGHT(G380,4)),VLOOKUP(TRIM(MID(G380,FIND(" ",G380)+1,LEN(G380)-FIND(" ",G380)-5)),Справочники!$M$3:$N$14,2,0),VALUE(LEFT(G380,FIND(" ",G380)-1))))),"")</f>
        <v>48396</v>
      </c>
      <c r="M380" t="str">
        <f t="shared" si="224"/>
        <v xml:space="preserve">+7 (903) 234-56-78</v>
      </c>
      <c r="N380" t="str">
        <f t="shared" si="225"/>
        <v>marchuk@mail</v>
      </c>
      <c r="O380" t="str">
        <f t="shared" si="226"/>
        <v xml:space="preserve">Ошибка Email</v>
      </c>
      <c r="P380" t="str">
        <f>IFERROR(VLOOKUP(TRIM(SUBSTITUTE(SUBSTITUTE(" "&amp;F380," г "," "),"г.","")),Справочники!$J$3:$K$102,2,0),TRIM(SUBSTITUTE(SUBSTITUTE(" "&amp;F380," г "," "),"г.","")))</f>
        <v>Владикавказ</v>
      </c>
    </row>
    <row r="381">
      <c r="A381" s="3" t="s">
        <v>2794</v>
      </c>
      <c r="B381" s="3" t="s">
        <v>5565</v>
      </c>
      <c r="C381" s="3" t="s">
        <v>5566</v>
      </c>
      <c r="D381" s="3" t="s">
        <v>1712</v>
      </c>
      <c r="E381" s="3" t="s">
        <v>5567</v>
      </c>
      <c r="F381" s="3" t="s">
        <v>4235</v>
      </c>
      <c r="G381" s="3" t="s">
        <v>5568</v>
      </c>
      <c r="H381" t="str">
        <f t="shared" si="221"/>
        <v xml:space="preserve">Золотов Александр Сергеевич</v>
      </c>
      <c r="I381" s="5">
        <f>IFERROR(IF(ISNUMBER(FIND("-",C381)),DATE(VALUE(LEFT(C381,4)),VALUE(MID(C381,6,2)),VALUE(RIGHT(C381,2))),IF(ISNUMBER(FIND(".",C381)),DATE(VALUE(RIGHT(C381,4)),VALUE(MID(C381,4,2)),VALUE(LEFT(C381,2))),DATE(VALUE(RIGHT(C381,4)),VLOOKUP(TRIM(MID(C381,FIND(" ",C381)+1,LEN(C381)-FIND(" ",C381)-5)),Справочники!$M$3:$N$14,2,0),VALUE(LEFT(C381,FIND(" ",C381)-1))))),"")</f>
        <v>31298</v>
      </c>
      <c r="J381" s="6">
        <f t="shared" si="222"/>
        <v>41</v>
      </c>
      <c r="K381" t="str">
        <f t="shared" si="223"/>
        <v>ОК</v>
      </c>
      <c r="L381" s="5">
        <f>IFERROR(IF(ISNUMBER(FIND("-",G381)),DATE(VALUE(LEFT(G381,4)),VALUE(MID(G381,6,2)),VALUE(RIGHT(G381,2))),IF(ISNUMBER(FIND(".",G381)),DATE(VALUE(RIGHT(G381,4)),VALUE(MID(G381,4,2)),VALUE(LEFT(G381,2))),DATE(VALUE(RIGHT(G381,4)),VLOOKUP(TRIM(MID(G381,FIND(" ",G381)+1,LEN(G381)-FIND(" ",G381)-5)),Справочники!$M$3:$N$14,2,0),VALUE(LEFT(G381,FIND(" ",G381)-1))))),"")</f>
        <v>48410</v>
      </c>
      <c r="M381" t="str">
        <f t="shared" si="224"/>
        <v xml:space="preserve">+7 (903) 234-56-78</v>
      </c>
      <c r="N381" t="str">
        <f t="shared" si="225"/>
        <v>zolotov@yandex</v>
      </c>
      <c r="O381" t="str">
        <f t="shared" si="226"/>
        <v xml:space="preserve">Ошибка Email</v>
      </c>
      <c r="P381" t="str">
        <f>IFERROR(VLOOKUP(TRIM(SUBSTITUTE(SUBSTITUTE(" "&amp;F381," г "," "),"г.","")),Справочники!$J$3:$K$102,2,0),TRIM(SUBSTITUTE(SUBSTITUTE(" "&amp;F381," г "," "),"г.","")))</f>
        <v>Смоленск</v>
      </c>
    </row>
    <row r="382">
      <c r="A382" s="3" t="s">
        <v>2797</v>
      </c>
      <c r="B382" s="3" t="s">
        <v>5569</v>
      </c>
      <c r="C382" s="3" t="s">
        <v>5570</v>
      </c>
      <c r="D382" s="3" t="s">
        <v>1584</v>
      </c>
      <c r="E382" s="3" t="s">
        <v>5571</v>
      </c>
      <c r="F382" s="3" t="s">
        <v>4240</v>
      </c>
      <c r="G382" s="3" t="s">
        <v>5572</v>
      </c>
      <c r="H382" t="str">
        <f t="shared" si="221"/>
        <v xml:space="preserve">Никифорова Мария Владимировна</v>
      </c>
      <c r="I382" s="5">
        <f>IFERROR(IF(ISNUMBER(FIND("-",C382)),DATE(VALUE(LEFT(C382,4)),VALUE(MID(C382,6,2)),VALUE(RIGHT(C382,2))),IF(ISNUMBER(FIND(".",C382)),DATE(VALUE(RIGHT(C382,4)),VALUE(MID(C382,4,2)),VALUE(LEFT(C382,2))),DATE(VALUE(RIGHT(C382,4)),VLOOKUP(TRIM(MID(C382,FIND(" ",C382)+1,LEN(C382)-FIND(" ",C382)-5)),Справочники!$M$3:$N$14,2,0),VALUE(LEFT(C382,FIND(" ",C382)-1))))),"")</f>
        <v>34659</v>
      </c>
      <c r="J382" s="6">
        <f t="shared" si="222"/>
        <v>31</v>
      </c>
      <c r="K382" t="str">
        <f t="shared" si="223"/>
        <v>ОК</v>
      </c>
      <c r="L382" s="5">
        <f>IFERROR(IF(ISNUMBER(FIND("-",G382)),DATE(VALUE(LEFT(G382,4)),VALUE(MID(G382,6,2)),VALUE(RIGHT(G382,2))),IF(ISNUMBER(FIND(".",G382)),DATE(VALUE(RIGHT(G382,4)),VALUE(MID(G382,4,2)),VALUE(LEFT(G382,2))),DATE(VALUE(RIGHT(G382,4)),VLOOKUP(TRIM(MID(G382,FIND(" ",G382)+1,LEN(G382)-FIND(" ",G382)-5)),Справочники!$M$3:$N$14,2,0),VALUE(LEFT(G382,FIND(" ",G382)-1))))),"")</f>
        <v>48410</v>
      </c>
      <c r="M382" t="str">
        <f t="shared" si="224"/>
        <v xml:space="preserve">+7 (903) 345-67-89</v>
      </c>
      <c r="N382" t="str">
        <f t="shared" si="225"/>
        <v>nikiforova@gmail</v>
      </c>
      <c r="O382" t="str">
        <f t="shared" si="226"/>
        <v xml:space="preserve">Ошибка Email</v>
      </c>
      <c r="P382" t="str">
        <f>IFERROR(VLOOKUP(TRIM(SUBSTITUTE(SUBSTITUTE(" "&amp;F382," г "," "),"г.","")),Справочники!$J$3:$K$102,2,0),TRIM(SUBSTITUTE(SUBSTITUTE(" "&amp;F382," г "," "),"г.","")))</f>
        <v>Белгород</v>
      </c>
    </row>
    <row r="383">
      <c r="A383" s="3" t="s">
        <v>2798</v>
      </c>
      <c r="B383" s="3" t="s">
        <v>5573</v>
      </c>
      <c r="C383" s="3" t="s">
        <v>5574</v>
      </c>
      <c r="D383" s="3" t="s">
        <v>4073</v>
      </c>
      <c r="E383" s="3" t="s">
        <v>5575</v>
      </c>
      <c r="F383" s="3" t="s">
        <v>4245</v>
      </c>
      <c r="G383" s="3" t="s">
        <v>5576</v>
      </c>
      <c r="H383" t="str">
        <f t="shared" si="221"/>
        <v xml:space="preserve">Колосков Илья Алексеевич</v>
      </c>
      <c r="I383" s="5">
        <f>IFERROR(IF(ISNUMBER(FIND("-",C383)),DATE(VALUE(LEFT(C383,4)),VALUE(MID(C383,6,2)),VALUE(RIGHT(C383,2))),IF(ISNUMBER(FIND(".",C383)),DATE(VALUE(RIGHT(C383,4)),VALUE(MID(C383,4,2)),VALUE(LEFT(C383,2))),DATE(VALUE(RIGHT(C383,4)),VLOOKUP(TRIM(MID(C383,FIND(" ",C383)+1,LEN(C383)-FIND(" ",C383)-5)),Справочники!$M$3:$N$14,2,0),VALUE(LEFT(C383,FIND(" ",C383)-1))))),"")</f>
        <v>27853</v>
      </c>
      <c r="J383" s="6">
        <f t="shared" si="222"/>
        <v>50</v>
      </c>
      <c r="K383" t="str">
        <f t="shared" si="223"/>
        <v>ОК</v>
      </c>
      <c r="L383" s="5">
        <f>IFERROR(IF(ISNUMBER(FIND("-",G383)),DATE(VALUE(LEFT(G383,4)),VALUE(MID(G383,6,2)),VALUE(RIGHT(G383,2))),IF(ISNUMBER(FIND(".",G383)),DATE(VALUE(RIGHT(G383,4)),VALUE(MID(G383,4,2)),VALUE(LEFT(G383,2))),DATE(VALUE(RIGHT(G383,4)),VLOOKUP(TRIM(MID(G383,FIND(" ",G383)+1,LEN(G383)-FIND(" ",G383)-5)),Справочники!$M$3:$N$14,2,0),VALUE(LEFT(G383,FIND(" ",G383)-1))))),"")</f>
        <v>48427</v>
      </c>
      <c r="M383" t="str">
        <f t="shared" si="224"/>
        <v xml:space="preserve">+7 (903) 345-67-89</v>
      </c>
      <c r="N383" t="str">
        <f t="shared" si="225"/>
        <v>koloskov@mail</v>
      </c>
      <c r="O383" t="str">
        <f t="shared" si="226"/>
        <v xml:space="preserve">Ошибка Email</v>
      </c>
      <c r="P383" t="str">
        <f>IFERROR(VLOOKUP(TRIM(SUBSTITUTE(SUBSTITUTE(" "&amp;F383," г "," "),"г.","")),Справочники!$J$3:$K$102,2,0),TRIM(SUBSTITUTE(SUBSTITUTE(" "&amp;F383," г "," "),"г.","")))</f>
        <v>Мурманск</v>
      </c>
    </row>
    <row r="384">
      <c r="A384" s="3" t="s">
        <v>2801</v>
      </c>
      <c r="B384" s="3" t="s">
        <v>5577</v>
      </c>
      <c r="C384" s="3" t="s">
        <v>5578</v>
      </c>
      <c r="D384" s="3" t="s">
        <v>4079</v>
      </c>
      <c r="E384" s="3" t="s">
        <v>5579</v>
      </c>
      <c r="F384" s="3" t="s">
        <v>4250</v>
      </c>
      <c r="G384" s="3" t="s">
        <v>5580</v>
      </c>
      <c r="H384" t="str">
        <f t="shared" si="221"/>
        <v xml:space="preserve">Устинова Екатерина Олеговна</v>
      </c>
      <c r="I384" s="5">
        <f>IFERROR(IF(ISNUMBER(FIND("-",C384)),DATE(VALUE(LEFT(C384,4)),VALUE(MID(C384,6,2)),VALUE(RIGHT(C384,2))),IF(ISNUMBER(FIND(".",C384)),DATE(VALUE(RIGHT(C384,4)),VALUE(MID(C384,4,2)),VALUE(LEFT(C384,2))),DATE(VALUE(RIGHT(C384,4)),VLOOKUP(TRIM(MID(C384,FIND(" ",C384)+1,LEN(C384)-FIND(" ",C384)-5)),Справочники!$M$3:$N$14,2,0),VALUE(LEFT(C384,FIND(" ",C384)-1))))),"")</f>
        <v>30144</v>
      </c>
      <c r="J384" s="6">
        <f t="shared" si="222"/>
        <v>44</v>
      </c>
      <c r="K384" t="str">
        <f t="shared" si="223"/>
        <v>ОК</v>
      </c>
      <c r="L384" s="5">
        <f>IFERROR(IF(ISNUMBER(FIND("-",G384)),DATE(VALUE(LEFT(G384,4)),VALUE(MID(G384,6,2)),VALUE(RIGHT(G384,2))),IF(ISNUMBER(FIND(".",G384)),DATE(VALUE(RIGHT(G384,4)),VALUE(MID(G384,4,2)),VALUE(LEFT(G384,2))),DATE(VALUE(RIGHT(G384,4)),VLOOKUP(TRIM(MID(G384,FIND(" ",G384)+1,LEN(G384)-FIND(" ",G384)-5)),Справочники!$M$3:$N$14,2,0),VALUE(LEFT(G384,FIND(" ",G384)-1))))),"")</f>
        <v>48436</v>
      </c>
      <c r="M384" t="str">
        <f t="shared" si="224"/>
        <v xml:space="preserve">+7 (903) 345-67-89</v>
      </c>
      <c r="N384" t="str">
        <f t="shared" si="225"/>
        <v>ustinova@yandex</v>
      </c>
      <c r="O384" t="str">
        <f t="shared" si="226"/>
        <v xml:space="preserve">Ошибка Email</v>
      </c>
      <c r="P384" t="str">
        <f>IFERROR(VLOOKUP(TRIM(SUBSTITUTE(SUBSTITUTE(" "&amp;F384," г "," "),"г.","")),Справочники!$J$3:$K$102,2,0),TRIM(SUBSTITUTE(SUBSTITUTE(" "&amp;F384," г "," "),"г.","")))</f>
        <v>Ставрополь</v>
      </c>
    </row>
    <row r="385">
      <c r="A385" s="3" t="s">
        <v>2803</v>
      </c>
      <c r="B385" s="3" t="s">
        <v>5581</v>
      </c>
      <c r="C385" s="3" t="s">
        <v>5582</v>
      </c>
      <c r="D385" s="3" t="s">
        <v>4085</v>
      </c>
      <c r="E385" s="3" t="s">
        <v>5583</v>
      </c>
      <c r="F385" s="3" t="s">
        <v>4255</v>
      </c>
      <c r="G385" s="3" t="s">
        <v>5584</v>
      </c>
      <c r="H385" t="str">
        <f t="shared" si="221"/>
        <v xml:space="preserve">Сидорчук Андрей Павлович</v>
      </c>
      <c r="I385" s="5">
        <f>IFERROR(IF(ISNUMBER(FIND("-",C385)),DATE(VALUE(LEFT(C385,4)),VALUE(MID(C385,6,2)),VALUE(RIGHT(C385,2))),IF(ISNUMBER(FIND(".",C385)),DATE(VALUE(RIGHT(C385,4)),VALUE(MID(C385,4,2)),VALUE(LEFT(C385,2))),DATE(VALUE(RIGHT(C385,4)),VLOOKUP(TRIM(MID(C385,FIND(" ",C385)+1,LEN(C385)-FIND(" ",C385)-5)),Справочники!$M$3:$N$14,2,0),VALUE(LEFT(C385,FIND(" ",C385)-1))))),"")</f>
        <v>32508</v>
      </c>
      <c r="J385" s="6">
        <f t="shared" si="222"/>
        <v>37</v>
      </c>
      <c r="K385" t="str">
        <f t="shared" si="223"/>
        <v>ОК</v>
      </c>
      <c r="L385" s="5">
        <f>IFERROR(IF(ISNUMBER(FIND("-",G385)),DATE(VALUE(LEFT(G385,4)),VALUE(MID(G385,6,2)),VALUE(RIGHT(G385,2))),IF(ISNUMBER(FIND(".",G385)),DATE(VALUE(RIGHT(G385,4)),VALUE(MID(G385,4,2)),VALUE(LEFT(G385,2))),DATE(VALUE(RIGHT(G385,4)),VLOOKUP(TRIM(MID(G385,FIND(" ",G385)+1,LEN(G385)-FIND(" ",G385)-5)),Справочники!$M$3:$N$14,2,0),VALUE(LEFT(G385,FIND(" ",G385)-1))))),"")</f>
        <v>48436</v>
      </c>
      <c r="M385" t="str">
        <f t="shared" si="224"/>
        <v xml:space="preserve">+7 (903) 456-78-90</v>
      </c>
      <c r="N385" t="str">
        <f t="shared" si="225"/>
        <v>sidorchuk@gmail</v>
      </c>
      <c r="O385" t="str">
        <f t="shared" si="226"/>
        <v xml:space="preserve">Ошибка Email</v>
      </c>
      <c r="P385" t="str">
        <f>IFERROR(VLOOKUP(TRIM(SUBSTITUTE(SUBSTITUTE(" "&amp;F385," г "," "),"г.","")),Справочники!$J$3:$K$102,2,0),TRIM(SUBSTITUTE(SUBSTITUTE(" "&amp;F385," г "," "),"г.","")))</f>
        <v>Севастополь</v>
      </c>
    </row>
    <row r="386">
      <c r="A386" s="3" t="s">
        <v>2805</v>
      </c>
      <c r="B386" s="3" t="s">
        <v>5585</v>
      </c>
      <c r="C386" s="3" t="s">
        <v>5586</v>
      </c>
      <c r="D386" s="3" t="s">
        <v>1591</v>
      </c>
      <c r="E386" s="3" t="s">
        <v>5587</v>
      </c>
      <c r="F386" s="3" t="s">
        <v>4260</v>
      </c>
      <c r="G386" s="3" t="s">
        <v>5588</v>
      </c>
      <c r="H386" t="str">
        <f t="shared" si="221"/>
        <v xml:space="preserve">Горчакова Ольга Сергеевна</v>
      </c>
      <c r="I386" s="5">
        <f>IFERROR(IF(ISNUMBER(FIND("-",C386)),DATE(VALUE(LEFT(C386,4)),VALUE(MID(C386,6,2)),VALUE(RIGHT(C386,2))),IF(ISNUMBER(FIND(".",C386)),DATE(VALUE(RIGHT(C386,4)),VALUE(MID(C386,4,2)),VALUE(LEFT(C386,2))),DATE(VALUE(RIGHT(C386,4)),VLOOKUP(TRIM(MID(C386,FIND(" ",C386)+1,LEN(C386)-FIND(" ",C386)-5)),Справочники!$M$3:$N$14,2,0),VALUE(LEFT(C386,FIND(" ",C386)-1))))),"")</f>
        <v>26801</v>
      </c>
      <c r="J386" s="6">
        <f t="shared" si="222"/>
        <v>53</v>
      </c>
      <c r="K386" t="str">
        <f t="shared" si="223"/>
        <v>ОК</v>
      </c>
      <c r="L386" s="5">
        <f>IFERROR(IF(ISNUMBER(FIND("-",G386)),DATE(VALUE(LEFT(G386,4)),VALUE(MID(G386,6,2)),VALUE(RIGHT(G386,2))),IF(ISNUMBER(FIND(".",G386)),DATE(VALUE(RIGHT(G386,4)),VALUE(MID(G386,4,2)),VALUE(LEFT(G386,2))),DATE(VALUE(RIGHT(G386,4)),VLOOKUP(TRIM(MID(G386,FIND(" ",G386)+1,LEN(G386)-FIND(" ",G386)-5)),Справочники!$M$3:$N$14,2,0),VALUE(LEFT(G386,FIND(" ",G386)-1))))),"")</f>
        <v>48458</v>
      </c>
      <c r="M386" t="str">
        <f t="shared" si="224"/>
        <v xml:space="preserve">+7 (903) 456-78-90</v>
      </c>
      <c r="N386" t="str">
        <f t="shared" si="225"/>
        <v>gorchakova@mail</v>
      </c>
      <c r="O386" t="str">
        <f t="shared" si="226"/>
        <v xml:space="preserve">Ошибка Email</v>
      </c>
      <c r="P386" t="str">
        <f>IFERROR(VLOOKUP(TRIM(SUBSTITUTE(SUBSTITUTE(" "&amp;F386," г "," "),"г.","")),Справочники!$J$3:$K$102,2,0),TRIM(SUBSTITUTE(SUBSTITUTE(" "&amp;F386," г "," "),"г.","")))</f>
        <v>Сочи</v>
      </c>
    </row>
    <row r="387">
      <c r="A387" s="3" t="s">
        <v>2807</v>
      </c>
      <c r="B387" s="3" t="s">
        <v>5589</v>
      </c>
      <c r="C387" s="3" t="s">
        <v>5590</v>
      </c>
      <c r="D387" s="3" t="s">
        <v>1660</v>
      </c>
      <c r="E387" s="3" t="s">
        <v>5591</v>
      </c>
      <c r="F387" s="3" t="s">
        <v>4265</v>
      </c>
      <c r="G387" s="3" t="s">
        <v>5592</v>
      </c>
      <c r="H387" t="str">
        <f t="shared" si="221"/>
        <v xml:space="preserve">Васюков Денис Викторович</v>
      </c>
      <c r="I387" s="5">
        <f>IFERROR(IF(ISNUMBER(FIND("-",C387)),DATE(VALUE(LEFT(C387,4)),VALUE(MID(C387,6,2)),VALUE(RIGHT(C387,2))),IF(ISNUMBER(FIND(".",C387)),DATE(VALUE(RIGHT(C387,4)),VALUE(MID(C387,4,2)),VALUE(LEFT(C387,2))),DATE(VALUE(RIGHT(C387,4)),VLOOKUP(TRIM(MID(C387,FIND(" ",C387)+1,LEN(C387)-FIND(" ",C387)-5)),Справочники!$M$3:$N$14,2,0),VALUE(LEFT(C387,FIND(" ",C387)-1))))),"")</f>
        <v>29156</v>
      </c>
      <c r="J387" s="6">
        <f t="shared" si="222"/>
        <v>46</v>
      </c>
      <c r="K387" t="str">
        <f t="shared" si="223"/>
        <v>ОК</v>
      </c>
      <c r="L387" s="5">
        <f>IFERROR(IF(ISNUMBER(FIND("-",G387)),DATE(VALUE(LEFT(G387,4)),VALUE(MID(G387,6,2)),VALUE(RIGHT(G387,2))),IF(ISNUMBER(FIND(".",G387)),DATE(VALUE(RIGHT(G387,4)),VALUE(MID(G387,4,2)),VALUE(LEFT(G387,2))),DATE(VALUE(RIGHT(G387,4)),VLOOKUP(TRIM(MID(G387,FIND(" ",G387)+1,LEN(G387)-FIND(" ",G387)-5)),Справочники!$M$3:$N$14,2,0),VALUE(LEFT(G387,FIND(" ",G387)-1))))),"")</f>
        <v>48472</v>
      </c>
      <c r="M387" t="str">
        <f t="shared" si="224"/>
        <v xml:space="preserve">+7 (903) 456-78-90</v>
      </c>
      <c r="N387" t="str">
        <f t="shared" si="225"/>
        <v>vasyukov@yandex</v>
      </c>
      <c r="O387" t="str">
        <f t="shared" si="226"/>
        <v xml:space="preserve">Ошибка Email</v>
      </c>
      <c r="P387" t="str">
        <f>IFERROR(VLOOKUP(TRIM(SUBSTITUTE(SUBSTITUTE(" "&amp;F387," г "," "),"г.","")),Справочники!$J$3:$K$102,2,0),TRIM(SUBSTITUTE(SUBSTITUTE(" "&amp;F387," г "," "),"г.","")))</f>
        <v>Симферополь</v>
      </c>
    </row>
    <row r="388">
      <c r="A388" s="3" t="s">
        <v>2809</v>
      </c>
      <c r="B388" s="3" t="s">
        <v>5593</v>
      </c>
      <c r="C388" s="3" t="s">
        <v>5594</v>
      </c>
      <c r="D388" s="3" t="s">
        <v>3984</v>
      </c>
      <c r="E388" s="3" t="s">
        <v>5595</v>
      </c>
      <c r="F388" s="3" t="s">
        <v>4270</v>
      </c>
      <c r="G388" s="3" t="s">
        <v>5596</v>
      </c>
      <c r="H388" t="str">
        <f t="shared" si="221"/>
        <v xml:space="preserve">Кузьминова Елена Игоревна</v>
      </c>
      <c r="I388" s="5">
        <f>IFERROR(IF(ISNUMBER(FIND("-",C388)),DATE(VALUE(LEFT(C388,4)),VALUE(MID(C388,6,2)),VALUE(RIGHT(C388,2))),IF(ISNUMBER(FIND(".",C388)),DATE(VALUE(RIGHT(C388,4)),VALUE(MID(C388,4,2)),VALUE(LEFT(C388,2))),DATE(VALUE(RIGHT(C388,4)),VLOOKUP(TRIM(MID(C388,FIND(" ",C388)+1,LEN(C388)-FIND(" ",C388)-5)),Справочники!$M$3:$N$14,2,0),VALUE(LEFT(C388,FIND(" ",C388)-1))))),"")</f>
        <v>31496</v>
      </c>
      <c r="J388" s="6">
        <f t="shared" si="222"/>
        <v>40</v>
      </c>
      <c r="K388" t="str">
        <f t="shared" si="223"/>
        <v>ОК</v>
      </c>
      <c r="L388" s="5">
        <f>IFERROR(IF(ISNUMBER(FIND("-",G388)),DATE(VALUE(LEFT(G388,4)),VALUE(MID(G388,6,2)),VALUE(RIGHT(G388,2))),IF(ISNUMBER(FIND(".",G388)),DATE(VALUE(RIGHT(G388,4)),VALUE(MID(G388,4,2)),VALUE(LEFT(G388,2))),DATE(VALUE(RIGHT(G388,4)),VLOOKUP(TRIM(MID(G388,FIND(" ",G388)+1,LEN(G388)-FIND(" ",G388)-5)),Справочники!$M$3:$N$14,2,0),VALUE(LEFT(G388,FIND(" ",G388)-1))))),"")</f>
        <v>48472</v>
      </c>
      <c r="M388" t="str">
        <f t="shared" si="224"/>
        <v xml:space="preserve">+7 (903) 567-89-01</v>
      </c>
      <c r="N388" t="str">
        <f t="shared" si="225"/>
        <v>kuzminova@gmail</v>
      </c>
      <c r="O388" t="str">
        <f t="shared" si="226"/>
        <v xml:space="preserve">Ошибка Email</v>
      </c>
      <c r="P388" t="str">
        <f>IFERROR(VLOOKUP(TRIM(SUBSTITUTE(SUBSTITUTE(" "&amp;F388," г "," "),"г.","")),Справочники!$J$3:$K$102,2,0),TRIM(SUBSTITUTE(SUBSTITUTE(" "&amp;F388," г "," "),"г.","")))</f>
        <v>Брянск</v>
      </c>
    </row>
    <row r="389">
      <c r="A389" s="3" t="s">
        <v>2811</v>
      </c>
      <c r="B389" s="3" t="s">
        <v>5597</v>
      </c>
      <c r="C389" s="3" t="s">
        <v>4787</v>
      </c>
      <c r="D389" s="3" t="s">
        <v>3990</v>
      </c>
      <c r="E389" s="3" t="s">
        <v>5598</v>
      </c>
      <c r="F389" s="3" t="s">
        <v>4275</v>
      </c>
      <c r="G389" s="3" t="s">
        <v>5599</v>
      </c>
      <c r="H389" t="str">
        <f t="shared" si="221"/>
        <v xml:space="preserve">Стрелков Илья Александрович</v>
      </c>
      <c r="I389" s="5">
        <f>IFERROR(IF(ISNUMBER(FIND("-",C389)),DATE(VALUE(LEFT(C389,4)),VALUE(MID(C389,6,2)),VALUE(RIGHT(C389,2))),IF(ISNUMBER(FIND(".",C389)),DATE(VALUE(RIGHT(C389,4)),VALUE(MID(C389,4,2)),VALUE(LEFT(C389,2))),DATE(VALUE(RIGHT(C389,4)),VLOOKUP(TRIM(MID(C389,FIND(" ",C389)+1,LEN(C389)-FIND(" ",C389)-5)),Справочники!$M$3:$N$14,2,0),VALUE(LEFT(C389,FIND(" ",C389)-1))))),"")</f>
        <v>33464</v>
      </c>
      <c r="J389" s="6">
        <f t="shared" si="222"/>
        <v>35</v>
      </c>
      <c r="K389" t="str">
        <f t="shared" si="223"/>
        <v>ОК</v>
      </c>
      <c r="L389" s="5">
        <f>IFERROR(IF(ISNUMBER(FIND("-",G389)),DATE(VALUE(LEFT(G389,4)),VALUE(MID(G389,6,2)),VALUE(RIGHT(G389,2))),IF(ISNUMBER(FIND(".",G389)),DATE(VALUE(RIGHT(G389,4)),VALUE(MID(G389,4,2)),VALUE(LEFT(G389,2))),DATE(VALUE(RIGHT(G389,4)),VLOOKUP(TRIM(MID(G389,FIND(" ",G389)+1,LEN(G389)-FIND(" ",G389)-5)),Справочники!$M$3:$N$14,2,0),VALUE(LEFT(G389,FIND(" ",G389)-1))))),"")</f>
        <v>48488</v>
      </c>
      <c r="M389" t="str">
        <f t="shared" si="224"/>
        <v xml:space="preserve">+7 (903) 567-89-01</v>
      </c>
      <c r="N389" t="str">
        <f t="shared" si="225"/>
        <v>strelkov@mail</v>
      </c>
      <c r="O389" t="str">
        <f t="shared" si="226"/>
        <v xml:space="preserve">Ошибка Email</v>
      </c>
      <c r="P389" t="str">
        <f>IFERROR(VLOOKUP(TRIM(SUBSTITUTE(SUBSTITUTE(" "&amp;F389," г "," "),"г.","")),Справочники!$J$3:$K$102,2,0),TRIM(SUBSTITUTE(SUBSTITUTE(" "&amp;F389," г "," "),"г.","")))</f>
        <v>Абакан</v>
      </c>
    </row>
    <row r="390">
      <c r="A390" s="3" t="s">
        <v>2814</v>
      </c>
      <c r="B390" s="3" t="s">
        <v>5600</v>
      </c>
      <c r="C390" s="3" t="s">
        <v>5601</v>
      </c>
      <c r="D390" s="3" t="s">
        <v>1598</v>
      </c>
      <c r="E390" s="3" t="s">
        <v>5602</v>
      </c>
      <c r="F390" s="3" t="s">
        <v>4280</v>
      </c>
      <c r="G390" s="3" t="s">
        <v>5603</v>
      </c>
      <c r="H390" t="str">
        <f t="shared" si="221"/>
        <v xml:space="preserve">Волкова Оксана Владимировна</v>
      </c>
      <c r="I390" s="5">
        <f>IFERROR(IF(ISNUMBER(FIND("-",C390)),DATE(VALUE(LEFT(C390,4)),VALUE(MID(C390,6,2)),VALUE(RIGHT(C390,2))),IF(ISNUMBER(FIND(".",C390)),DATE(VALUE(RIGHT(C390,4)),VALUE(MID(C390,4,2)),VALUE(LEFT(C390,2))),DATE(VALUE(RIGHT(C390,4)),VLOOKUP(TRIM(MID(C390,FIND(" ",C390)+1,LEN(C390)-FIND(" ",C390)-5)),Справочники!$M$3:$N$14,2,0),VALUE(LEFT(C390,FIND(" ",C390)-1))))),"")</f>
        <v>28282</v>
      </c>
      <c r="J390" s="6">
        <f t="shared" si="222"/>
        <v>49</v>
      </c>
      <c r="K390" t="str">
        <f t="shared" si="223"/>
        <v>ОК</v>
      </c>
      <c r="L390" s="5">
        <f>IFERROR(IF(ISNUMBER(FIND("-",G390)),DATE(VALUE(LEFT(G390,4)),VALUE(MID(G390,6,2)),VALUE(RIGHT(G390,2))),IF(ISNUMBER(FIND(".",G390)),DATE(VALUE(RIGHT(G390,4)),VALUE(MID(G390,4,2)),VALUE(LEFT(G390,2))),DATE(VALUE(RIGHT(G390,4)),VLOOKUP(TRIM(MID(G390,FIND(" ",G390)+1,LEN(G390)-FIND(" ",G390)-5)),Справочники!$M$3:$N$14,2,0),VALUE(LEFT(G390,FIND(" ",G390)-1))))),"")</f>
        <v>48497</v>
      </c>
      <c r="M390" t="str">
        <f t="shared" si="224"/>
        <v xml:space="preserve">+7 (903) 567-89-01</v>
      </c>
      <c r="N390" t="str">
        <f t="shared" si="225"/>
        <v>volkova@yandex</v>
      </c>
      <c r="O390" t="str">
        <f t="shared" si="226"/>
        <v xml:space="preserve">Ошибка Email</v>
      </c>
      <c r="P390" t="str">
        <f>IFERROR(VLOOKUP(TRIM(SUBSTITUTE(SUBSTITUTE(" "&amp;F390," г "," "),"г.","")),Справочники!$J$3:$K$102,2,0),TRIM(SUBSTITUTE(SUBSTITUTE(" "&amp;F390," г "," "),"г.","")))</f>
        <v>Грозный</v>
      </c>
    </row>
    <row r="391">
      <c r="A391" s="3" t="s">
        <v>2816</v>
      </c>
      <c r="B391" s="3" t="s">
        <v>5604</v>
      </c>
      <c r="C391" s="3" t="s">
        <v>5605</v>
      </c>
      <c r="D391" s="3" t="s">
        <v>4116</v>
      </c>
      <c r="E391" s="3" t="s">
        <v>5606</v>
      </c>
      <c r="F391" s="3" t="s">
        <v>4285</v>
      </c>
      <c r="G391" s="3" t="s">
        <v>5607</v>
      </c>
      <c r="H391" t="str">
        <f t="shared" si="221"/>
        <v xml:space="preserve">Пронин Алексей Петрович</v>
      </c>
      <c r="I391" s="5">
        <f>IFERROR(IF(ISNUMBER(FIND("-",C391)),DATE(VALUE(LEFT(C391,4)),VALUE(MID(C391,6,2)),VALUE(RIGHT(C391,2))),IF(ISNUMBER(FIND(".",C391)),DATE(VALUE(RIGHT(C391,4)),VALUE(MID(C391,4,2)),VALUE(LEFT(C391,2))),DATE(VALUE(RIGHT(C391,4)),VLOOKUP(TRIM(MID(C391,FIND(" ",C391)+1,LEN(C391)-FIND(" ",C391)-5)),Справочники!$M$3:$N$14,2,0),VALUE(LEFT(C391,FIND(" ",C391)-1))))),"")</f>
        <v>31034</v>
      </c>
      <c r="J391" s="6">
        <f t="shared" si="222"/>
        <v>41</v>
      </c>
      <c r="K391" t="str">
        <f t="shared" si="223"/>
        <v>ОК</v>
      </c>
      <c r="L391" s="5">
        <f>IFERROR(IF(ISNUMBER(FIND("-",G391)),DATE(VALUE(LEFT(G391,4)),VALUE(MID(G391,6,2)),VALUE(RIGHT(G391,2))),IF(ISNUMBER(FIND(".",G391)),DATE(VALUE(RIGHT(G391,4)),VALUE(MID(G391,4,2)),VALUE(LEFT(G391,2))),DATE(VALUE(RIGHT(G391,4)),VLOOKUP(TRIM(MID(G391,FIND(" ",G391)+1,LEN(G391)-FIND(" ",G391)-5)),Справочники!$M$3:$N$14,2,0),VALUE(LEFT(G391,FIND(" ",G391)-1))))),"")</f>
        <v>48497</v>
      </c>
      <c r="M391" t="str">
        <f t="shared" si="224"/>
        <v xml:space="preserve">+7 (903) 678-90-12</v>
      </c>
      <c r="N391" t="str">
        <f t="shared" si="225"/>
        <v>pronin@gmail</v>
      </c>
      <c r="O391" t="str">
        <f t="shared" si="226"/>
        <v xml:space="preserve">Ошибка Email</v>
      </c>
      <c r="P391" t="str">
        <f>IFERROR(VLOOKUP(TRIM(SUBSTITUTE(SUBSTITUTE(" "&amp;F391," г "," "),"г.","")),Справочники!$J$3:$K$102,2,0),TRIM(SUBSTITUTE(SUBSTITUTE(" "&amp;F391," г "," "),"г.","")))</f>
        <v>Бийск</v>
      </c>
    </row>
    <row r="392">
      <c r="A392" s="3" t="s">
        <v>2819</v>
      </c>
      <c r="B392" s="3" t="s">
        <v>5608</v>
      </c>
      <c r="C392" s="3" t="s">
        <v>5609</v>
      </c>
      <c r="D392" s="3" t="s">
        <v>4122</v>
      </c>
      <c r="E392" s="3" t="s">
        <v>5610</v>
      </c>
      <c r="F392" s="3" t="s">
        <v>4290</v>
      </c>
      <c r="G392" s="3" t="s">
        <v>5611</v>
      </c>
      <c r="H392" t="str">
        <f t="shared" si="221"/>
        <v xml:space="preserve">Иваницкая Мария Николаевна</v>
      </c>
      <c r="I392" s="5">
        <f>IFERROR(IF(ISNUMBER(FIND("-",C392)),DATE(VALUE(LEFT(C392,4)),VALUE(MID(C392,6,2)),VALUE(RIGHT(C392,2))),IF(ISNUMBER(FIND(".",C392)),DATE(VALUE(RIGHT(C392,4)),VALUE(MID(C392,4,2)),VALUE(LEFT(C392,2))),DATE(VALUE(RIGHT(C392,4)),VLOOKUP(TRIM(MID(C392,FIND(" ",C392)+1,LEN(C392)-FIND(" ",C392)-5)),Справочники!$M$3:$N$14,2,0),VALUE(LEFT(C392,FIND(" ",C392)-1))))),"")</f>
        <v>33869</v>
      </c>
      <c r="J392" s="6">
        <f t="shared" si="222"/>
        <v>34</v>
      </c>
      <c r="K392" t="str">
        <f t="shared" si="223"/>
        <v>ОК</v>
      </c>
      <c r="L392" s="5">
        <f>IFERROR(IF(ISNUMBER(FIND("-",G392)),DATE(VALUE(LEFT(G392,4)),VALUE(MID(G392,6,2)),VALUE(RIGHT(G392,2))),IF(ISNUMBER(FIND(".",G392)),DATE(VALUE(RIGHT(G392,4)),VALUE(MID(G392,4,2)),VALUE(LEFT(G392,2))),DATE(VALUE(RIGHT(G392,4)),VLOOKUP(TRIM(MID(G392,FIND(" ",G392)+1,LEN(G392)-FIND(" ",G392)-5)),Справочники!$M$3:$N$14,2,0),VALUE(LEFT(G392,FIND(" ",G392)-1))))),"")</f>
        <v>48519</v>
      </c>
      <c r="M392" t="str">
        <f t="shared" si="224"/>
        <v xml:space="preserve">+7 (903) 678-90-12</v>
      </c>
      <c r="N392" t="str">
        <f t="shared" si="225"/>
        <v>ivanitskaya@mail</v>
      </c>
      <c r="O392" t="str">
        <f t="shared" si="226"/>
        <v xml:space="preserve">Ошибка Email</v>
      </c>
      <c r="P392" t="str">
        <f>IFERROR(VLOOKUP(TRIM(SUBSTITUTE(SUBSTITUTE(" "&amp;F392," г "," "),"г.","")),Справочники!$J$3:$K$102,2,0),TRIM(SUBSTITUTE(SUBSTITUTE(" "&amp;F392," г "," "),"г.","")))</f>
        <v>Йошкар-Ола</v>
      </c>
    </row>
    <row r="393">
      <c r="A393" s="3" t="s">
        <v>2821</v>
      </c>
      <c r="B393" s="3" t="s">
        <v>5612</v>
      </c>
      <c r="C393" s="3" t="s">
        <v>5613</v>
      </c>
      <c r="D393" s="3" t="s">
        <v>1605</v>
      </c>
      <c r="E393" s="3" t="s">
        <v>5614</v>
      </c>
      <c r="F393" s="3" t="s">
        <v>4295</v>
      </c>
      <c r="G393" s="3" t="s">
        <v>5615</v>
      </c>
      <c r="H393" t="str">
        <f t="shared" si="221"/>
        <v xml:space="preserve">Серпиков Андрей Олегович</v>
      </c>
      <c r="I393" s="5">
        <f>IFERROR(IF(ISNUMBER(FIND("-",C393)),DATE(VALUE(LEFT(C393,4)),VALUE(MID(C393,6,2)),VALUE(RIGHT(C393,2))),IF(ISNUMBER(FIND(".",C393)),DATE(VALUE(RIGHT(C393,4)),VALUE(MID(C393,4,2)),VALUE(LEFT(C393,2))),DATE(VALUE(RIGHT(C393,4)),VLOOKUP(TRIM(MID(C393,FIND(" ",C393)+1,LEN(C393)-FIND(" ",C393)-5)),Справочники!$M$3:$N$14,2,0),VALUE(LEFT(C393,FIND(" ",C393)-1))))),"")</f>
        <v>27591</v>
      </c>
      <c r="J393" s="6">
        <f t="shared" si="222"/>
        <v>51</v>
      </c>
      <c r="K393" t="str">
        <f t="shared" si="223"/>
        <v>ОК</v>
      </c>
      <c r="L393" s="5">
        <f>IFERROR(IF(ISNUMBER(FIND("-",G393)),DATE(VALUE(LEFT(G393,4)),VALUE(MID(G393,6,2)),VALUE(RIGHT(G393,2))),IF(ISNUMBER(FIND(".",G393)),DATE(VALUE(RIGHT(G393,4)),VALUE(MID(G393,4,2)),VALUE(LEFT(G393,2))),DATE(VALUE(RIGHT(G393,4)),VLOOKUP(TRIM(MID(G393,FIND(" ",G393)+1,LEN(G393)-FIND(" ",G393)-5)),Справочники!$M$3:$N$14,2,0),VALUE(LEFT(G393,FIND(" ",G393)-1))))),"")</f>
        <v>48533</v>
      </c>
      <c r="M393" t="str">
        <f t="shared" si="224"/>
        <v xml:space="preserve">+7 (903) 678-90-12</v>
      </c>
      <c r="N393" t="str">
        <f t="shared" si="225"/>
        <v>serpikov@yandex</v>
      </c>
      <c r="O393" t="str">
        <f t="shared" si="226"/>
        <v xml:space="preserve">Ошибка Email</v>
      </c>
      <c r="P393" t="str">
        <f>IFERROR(VLOOKUP(TRIM(SUBSTITUTE(SUBSTITUTE(" "&amp;F393," г "," "),"г.","")),Справочники!$J$3:$K$102,2,0),TRIM(SUBSTITUTE(SUBSTITUTE(" "&amp;F393," г "," "),"г.","")))</f>
        <v>Курган</v>
      </c>
    </row>
    <row r="394">
      <c r="A394" s="3" t="s">
        <v>2823</v>
      </c>
      <c r="B394" s="3" t="s">
        <v>5616</v>
      </c>
      <c r="C394" s="3" t="s">
        <v>5617</v>
      </c>
      <c r="D394" s="3" t="s">
        <v>4001</v>
      </c>
      <c r="E394" s="3" t="s">
        <v>5618</v>
      </c>
      <c r="F394" s="3" t="s">
        <v>4300</v>
      </c>
      <c r="G394" s="3" t="s">
        <v>5619</v>
      </c>
      <c r="H394" t="str">
        <f t="shared" si="221"/>
        <v xml:space="preserve">Рыбакова Елена Сергеевна</v>
      </c>
      <c r="I394" s="5">
        <f>IFERROR(IF(ISNUMBER(FIND("-",C394)),DATE(VALUE(LEFT(C394,4)),VALUE(MID(C394,6,2)),VALUE(RIGHT(C394,2))),IF(ISNUMBER(FIND(".",C394)),DATE(VALUE(RIGHT(C394,4)),VALUE(MID(C394,4,2)),VALUE(LEFT(C394,2))),DATE(VALUE(RIGHT(C394,4)),VLOOKUP(TRIM(MID(C394,FIND(" ",C394)+1,LEN(C394)-FIND(" ",C394)-5)),Справочники!$M$3:$N$14,2,0),VALUE(LEFT(C394,FIND(" ",C394)-1))))),"")</f>
        <v>29534</v>
      </c>
      <c r="J394" s="6">
        <f t="shared" si="222"/>
        <v>45</v>
      </c>
      <c r="K394" t="str">
        <f t="shared" si="223"/>
        <v>ОК</v>
      </c>
      <c r="L394" s="5">
        <f>IFERROR(IF(ISNUMBER(FIND("-",G394)),DATE(VALUE(LEFT(G394,4)),VALUE(MID(G394,6,2)),VALUE(RIGHT(G394,2))),IF(ISNUMBER(FIND(".",G394)),DATE(VALUE(RIGHT(G394,4)),VALUE(MID(G394,4,2)),VALUE(LEFT(G394,2))),DATE(VALUE(RIGHT(G394,4)),VLOOKUP(TRIM(MID(G394,FIND(" ",G394)+1,LEN(G394)-FIND(" ",G394)-5)),Справочники!$M$3:$N$14,2,0),VALUE(LEFT(G394,FIND(" ",G394)-1))))),"")</f>
        <v>48533</v>
      </c>
      <c r="M394" t="str">
        <f t="shared" si="224"/>
        <v xml:space="preserve">+7 (903) 789-01-23</v>
      </c>
      <c r="N394" t="str">
        <f t="shared" si="225"/>
        <v>rybakova@gmail</v>
      </c>
      <c r="O394" t="str">
        <f t="shared" si="226"/>
        <v xml:space="preserve">Ошибка Email</v>
      </c>
      <c r="P394" t="str">
        <f>IFERROR(VLOOKUP(TRIM(SUBSTITUTE(SUBSTITUTE(" "&amp;F394," г "," "),"г.","")),Справочники!$J$3:$K$102,2,0),TRIM(SUBSTITUTE(SUBSTITUTE(" "&amp;F394," г "," "),"г.","")))</f>
        <v>Архангельск</v>
      </c>
    </row>
    <row r="395">
      <c r="A395" s="3" t="s">
        <v>2825</v>
      </c>
      <c r="B395" s="3" t="s">
        <v>5620</v>
      </c>
      <c r="C395" s="3" t="s">
        <v>5621</v>
      </c>
      <c r="D395" s="3" t="s">
        <v>4138</v>
      </c>
      <c r="E395" s="3" t="s">
        <v>5622</v>
      </c>
      <c r="F395" s="3" t="s">
        <v>4305</v>
      </c>
      <c r="G395" s="3" t="s">
        <v>5623</v>
      </c>
      <c r="H395" t="str">
        <f t="shared" si="221"/>
        <v xml:space="preserve">Соломатин Денис Алексеевич</v>
      </c>
      <c r="I395" s="5">
        <f>IFERROR(IF(ISNUMBER(FIND("-",C395)),DATE(VALUE(LEFT(C395,4)),VALUE(MID(C395,6,2)),VALUE(RIGHT(C395,2))),IF(ISNUMBER(FIND(".",C395)),DATE(VALUE(RIGHT(C395,4)),VALUE(MID(C395,4,2)),VALUE(LEFT(C395,2))),DATE(VALUE(RIGHT(C395,4)),VLOOKUP(TRIM(MID(C395,FIND(" ",C395)+1,LEN(C395)-FIND(" ",C395)-5)),Справочники!$M$3:$N$14,2,0),VALUE(LEFT(C395,FIND(" ",C395)-1))))),"")</f>
        <v>31470</v>
      </c>
      <c r="J395" s="6">
        <f t="shared" si="222"/>
        <v>40</v>
      </c>
      <c r="K395" t="str">
        <f t="shared" si="223"/>
        <v>ОК</v>
      </c>
      <c r="L395" s="5">
        <f>IFERROR(IF(ISNUMBER(FIND("-",G395)),DATE(VALUE(LEFT(G395,4)),VALUE(MID(G395,6,2)),VALUE(RIGHT(G395,2))),IF(ISNUMBER(FIND(".",G395)),DATE(VALUE(RIGHT(G395,4)),VALUE(MID(G395,4,2)),VALUE(LEFT(G395,2))),DATE(VALUE(RIGHT(G395,4)),VLOOKUP(TRIM(MID(G395,FIND(" ",G395)+1,LEN(G395)-FIND(" ",G395)-5)),Справочники!$M$3:$N$14,2,0),VALUE(LEFT(G395,FIND(" ",G395)-1))))),"")</f>
        <v>48549</v>
      </c>
      <c r="M395" t="str">
        <f t="shared" si="224"/>
        <v xml:space="preserve">+7 (903) 789-01-23</v>
      </c>
      <c r="N395" t="str">
        <f t="shared" si="225"/>
        <v>solomatin@mail</v>
      </c>
      <c r="O395" t="str">
        <f t="shared" si="226"/>
        <v xml:space="preserve">Ошибка Email</v>
      </c>
      <c r="P395" t="str">
        <f>IFERROR(VLOOKUP(TRIM(SUBSTITUTE(SUBSTITUTE(" "&amp;F395," г "," "),"г.","")),Справочники!$J$3:$K$102,2,0),TRIM(SUBSTITUTE(SUBSTITUTE(" "&amp;F395," г "," "),"г.","")))</f>
        <v>Благовещенск</v>
      </c>
    </row>
    <row r="396">
      <c r="A396" s="3" t="s">
        <v>2827</v>
      </c>
      <c r="B396" s="3" t="s">
        <v>5624</v>
      </c>
      <c r="C396" s="3" t="s">
        <v>5625</v>
      </c>
      <c r="D396" s="3" t="s">
        <v>4144</v>
      </c>
      <c r="E396" s="3" t="s">
        <v>4431</v>
      </c>
      <c r="F396" s="3" t="s">
        <v>4310</v>
      </c>
      <c r="G396" s="3" t="s">
        <v>5626</v>
      </c>
      <c r="H396" t="str">
        <f t="shared" si="221"/>
        <v xml:space="preserve">Королева Ольга Игоревна</v>
      </c>
      <c r="I396" s="5">
        <f>IFERROR(IF(ISNUMBER(FIND("-",C396)),DATE(VALUE(LEFT(C396,4)),VALUE(MID(C396,6,2)),VALUE(RIGHT(C396,2))),IF(ISNUMBER(FIND(".",C396)),DATE(VALUE(RIGHT(C396,4)),VALUE(MID(C396,4,2)),VALUE(LEFT(C396,2))),DATE(VALUE(RIGHT(C396,4)),VLOOKUP(TRIM(MID(C396,FIND(" ",C396)+1,LEN(C396)-FIND(" ",C396)-5)),Справочники!$M$3:$N$14,2,0),VALUE(LEFT(C396,FIND(" ",C396)-1))))),"")</f>
        <v>33007</v>
      </c>
      <c r="J396" s="6">
        <f t="shared" si="222"/>
        <v>36</v>
      </c>
      <c r="K396" t="str">
        <f t="shared" si="223"/>
        <v>ОК</v>
      </c>
      <c r="L396" s="5">
        <f>IFERROR(IF(ISNUMBER(FIND("-",G396)),DATE(VALUE(LEFT(G396,4)),VALUE(MID(G396,6,2)),VALUE(RIGHT(G396,2))),IF(ISNUMBER(FIND(".",G396)),DATE(VALUE(RIGHT(G396,4)),VALUE(MID(G396,4,2)),VALUE(LEFT(G396,2))),DATE(VALUE(RIGHT(G396,4)),VLOOKUP(TRIM(MID(G396,FIND(" ",G396)+1,LEN(G396)-FIND(" ",G396)-5)),Справочники!$M$3:$N$14,2,0),VALUE(LEFT(G396,FIND(" ",G396)-1))))),"")</f>
        <v>48558</v>
      </c>
      <c r="M396" t="str">
        <f t="shared" si="224"/>
        <v xml:space="preserve">+7 (903) 789-01-23</v>
      </c>
      <c r="N396" t="str">
        <f t="shared" si="225"/>
        <v>koroleva@yandex</v>
      </c>
      <c r="O396" t="str">
        <f t="shared" si="226"/>
        <v xml:space="preserve">Ошибка Email</v>
      </c>
      <c r="P396" t="str">
        <f>IFERROR(VLOOKUP(TRIM(SUBSTITUTE(SUBSTITUTE(" "&amp;F396," г "," "),"г.","")),Справочники!$J$3:$K$102,2,0),TRIM(SUBSTITUTE(SUBSTITUTE(" "&amp;F396," г "," "),"г.","")))</f>
        <v>Майкоп</v>
      </c>
    </row>
    <row r="397">
      <c r="A397" s="3" t="s">
        <v>2828</v>
      </c>
      <c r="B397" s="3" t="s">
        <v>5627</v>
      </c>
      <c r="C397" s="3" t="s">
        <v>5628</v>
      </c>
      <c r="D397" s="3" t="s">
        <v>4150</v>
      </c>
      <c r="E397" s="3" t="s">
        <v>5629</v>
      </c>
      <c r="F397" s="3" t="s">
        <v>4315</v>
      </c>
      <c r="G397" s="3" t="s">
        <v>5630</v>
      </c>
      <c r="H397" t="str">
        <f t="shared" si="221"/>
        <v xml:space="preserve">Симонов Илья Владимирович</v>
      </c>
      <c r="I397" s="5">
        <f>IFERROR(IF(ISNUMBER(FIND("-",C397)),DATE(VALUE(LEFT(C397,4)),VALUE(MID(C397,6,2)),VALUE(RIGHT(C397,2))),IF(ISNUMBER(FIND(".",C397)),DATE(VALUE(RIGHT(C397,4)),VALUE(MID(C397,4,2)),VALUE(LEFT(C397,2))),DATE(VALUE(RIGHT(C397,4)),VLOOKUP(TRIM(MID(C397,FIND(" ",C397)+1,LEN(C397)-FIND(" ",C397)-5)),Справочники!$M$3:$N$14,2,0),VALUE(LEFT(C397,FIND(" ",C397)-1))))),"")</f>
        <v>26534</v>
      </c>
      <c r="J397" s="6">
        <f t="shared" si="222"/>
        <v>54</v>
      </c>
      <c r="K397" t="str">
        <f t="shared" si="223"/>
        <v>ОК</v>
      </c>
      <c r="L397" s="5">
        <f>IFERROR(IF(ISNUMBER(FIND("-",G397)),DATE(VALUE(LEFT(G397,4)),VALUE(MID(G397,6,2)),VALUE(RIGHT(G397,2))),IF(ISNUMBER(FIND(".",G397)),DATE(VALUE(RIGHT(G397,4)),VALUE(MID(G397,4,2)),VALUE(LEFT(G397,2))),DATE(VALUE(RIGHT(G397,4)),VLOOKUP(TRIM(MID(G397,FIND(" ",G397)+1,LEN(G397)-FIND(" ",G397)-5)),Справочники!$M$3:$N$14,2,0),VALUE(LEFT(G397,FIND(" ",G397)-1))))),"")</f>
        <v>48558</v>
      </c>
      <c r="M397" t="str">
        <f t="shared" si="224"/>
        <v xml:space="preserve">+7 (903) 890-12-34</v>
      </c>
      <c r="N397" t="str">
        <f t="shared" si="225"/>
        <v>simonov@gmail</v>
      </c>
      <c r="O397" t="str">
        <f t="shared" si="226"/>
        <v xml:space="preserve">Ошибка Email</v>
      </c>
      <c r="P397" t="str">
        <f>IFERROR(VLOOKUP(TRIM(SUBSTITUTE(SUBSTITUTE(" "&amp;F397," г "," "),"г.","")),Справочники!$J$3:$K$102,2,0),TRIM(SUBSTITUTE(SUBSTITUTE(" "&amp;F397," г "," "),"г.","")))</f>
        <v>Уссурийск</v>
      </c>
    </row>
    <row r="398">
      <c r="A398" s="3" t="s">
        <v>2831</v>
      </c>
      <c r="B398" s="3" t="s">
        <v>5631</v>
      </c>
      <c r="C398" s="3" t="s">
        <v>5632</v>
      </c>
      <c r="D398" s="3" t="s">
        <v>4007</v>
      </c>
      <c r="E398" s="3" t="s">
        <v>5633</v>
      </c>
      <c r="F398" s="3" t="s">
        <v>4320</v>
      </c>
      <c r="G398" s="3" t="s">
        <v>5634</v>
      </c>
      <c r="H398" t="str">
        <f t="shared" si="221"/>
        <v xml:space="preserve">Гонтарь Татьяна Алексеевна</v>
      </c>
      <c r="I398" s="5">
        <f>IFERROR(IF(ISNUMBER(FIND("-",C398)),DATE(VALUE(LEFT(C398,4)),VALUE(MID(C398,6,2)),VALUE(RIGHT(C398,2))),IF(ISNUMBER(FIND(".",C398)),DATE(VALUE(RIGHT(C398,4)),VALUE(MID(C398,4,2)),VALUE(LEFT(C398,2))),DATE(VALUE(RIGHT(C398,4)),VLOOKUP(TRIM(MID(C398,FIND(" ",C398)+1,LEN(C398)-FIND(" ",C398)-5)),Справочники!$M$3:$N$14,2,0),VALUE(LEFT(C398,FIND(" ",C398)-1))))),"")</f>
        <v>31851</v>
      </c>
      <c r="J398" s="6">
        <f t="shared" si="222"/>
        <v>39</v>
      </c>
      <c r="K398" t="str">
        <f t="shared" si="223"/>
        <v>ОК</v>
      </c>
      <c r="L398" s="5">
        <f>IFERROR(IF(ISNUMBER(FIND("-",G398)),DATE(VALUE(LEFT(G398,4)),VALUE(MID(G398,6,2)),VALUE(RIGHT(G398,2))),IF(ISNUMBER(FIND(".",G398)),DATE(VALUE(RIGHT(G398,4)),VALUE(MID(G398,4,2)),VALUE(LEFT(G398,2))),DATE(VALUE(RIGHT(G398,4)),VLOOKUP(TRIM(MID(G398,FIND(" ",G398)+1,LEN(G398)-FIND(" ",G398)-5)),Справочники!$M$3:$N$14,2,0),VALUE(LEFT(G398,FIND(" ",G398)-1))))),"")</f>
        <v>48580</v>
      </c>
      <c r="M398" t="str">
        <f t="shared" si="224"/>
        <v xml:space="preserve">+7 (903) 890-12-34</v>
      </c>
      <c r="N398" t="str">
        <f t="shared" si="225"/>
        <v>gontar@mail</v>
      </c>
      <c r="O398" t="str">
        <f t="shared" si="226"/>
        <v xml:space="preserve">Ошибка Email</v>
      </c>
      <c r="P398" t="str">
        <f>IFERROR(VLOOKUP(TRIM(SUBSTITUTE(SUBSTITUTE(" "&amp;F398," г "," "),"г.","")),Справочники!$J$3:$K$102,2,0),TRIM(SUBSTITUTE(SUBSTITUTE(" "&amp;F398," г "," "),"г.","")))</f>
        <v>Миасс</v>
      </c>
    </row>
    <row r="399">
      <c r="A399" s="3" t="s">
        <v>2833</v>
      </c>
      <c r="B399" s="3" t="s">
        <v>5635</v>
      </c>
      <c r="C399" s="3" t="s">
        <v>5636</v>
      </c>
      <c r="D399" s="3" t="s">
        <v>1619</v>
      </c>
      <c r="E399" s="3" t="s">
        <v>5637</v>
      </c>
      <c r="F399" s="3" t="s">
        <v>4325</v>
      </c>
      <c r="G399" s="3" t="s">
        <v>5638</v>
      </c>
      <c r="H399" t="str">
        <f t="shared" si="221"/>
        <v xml:space="preserve">Ивановский Денис Павлович</v>
      </c>
      <c r="I399" s="5">
        <f>IFERROR(IF(ISNUMBER(FIND("-",C399)),DATE(VALUE(LEFT(C399,4)),VALUE(MID(C399,6,2)),VALUE(RIGHT(C399,2))),IF(ISNUMBER(FIND(".",C399)),DATE(VALUE(RIGHT(C399,4)),VALUE(MID(C399,4,2)),VALUE(LEFT(C399,2))),DATE(VALUE(RIGHT(C399,4)),VLOOKUP(TRIM(MID(C399,FIND(" ",C399)+1,LEN(C399)-FIND(" ",C399)-5)),Справочники!$M$3:$N$14,2,0),VALUE(LEFT(C399,FIND(" ",C399)-1))))),"")</f>
        <v>34306</v>
      </c>
      <c r="J399" s="6">
        <f t="shared" si="222"/>
        <v>32</v>
      </c>
      <c r="K399" t="str">
        <f t="shared" si="223"/>
        <v>ОК</v>
      </c>
      <c r="L399" s="5">
        <f>IFERROR(IF(ISNUMBER(FIND("-",G399)),DATE(VALUE(LEFT(G399,4)),VALUE(MID(G399,6,2)),VALUE(RIGHT(G399,2))),IF(ISNUMBER(FIND(".",G399)),DATE(VALUE(RIGHT(G399,4)),VALUE(MID(G399,4,2)),VALUE(LEFT(G399,2))),DATE(VALUE(RIGHT(G399,4)),VLOOKUP(TRIM(MID(G399,FIND(" ",G399)+1,LEN(G399)-FIND(" ",G399)-5)),Справочники!$M$3:$N$14,2,0),VALUE(LEFT(G399,FIND(" ",G399)-1))))),"")</f>
        <v>48594</v>
      </c>
      <c r="M399" t="str">
        <f t="shared" si="224"/>
        <v xml:space="preserve">+7 (903) 890-12-34</v>
      </c>
      <c r="N399" t="str">
        <f t="shared" si="225"/>
        <v>ivanovsky@yandex</v>
      </c>
      <c r="O399" t="str">
        <f t="shared" si="226"/>
        <v xml:space="preserve">Ошибка Email</v>
      </c>
      <c r="P399" t="str">
        <f>IFERROR(VLOOKUP(TRIM(SUBSTITUTE(SUBSTITUTE(" "&amp;F399," г "," "),"г.","")),Справочники!$J$3:$K$102,2,0),TRIM(SUBSTITUTE(SUBSTITUTE(" "&amp;F399," г "," "),"г.","")))</f>
        <v>Кызыл</v>
      </c>
    </row>
    <row r="400">
      <c r="A400" s="3" t="s">
        <v>2836</v>
      </c>
      <c r="B400" s="3" t="s">
        <v>5639</v>
      </c>
      <c r="C400" s="3" t="s">
        <v>5640</v>
      </c>
      <c r="D400" s="3" t="s">
        <v>4018</v>
      </c>
      <c r="E400" s="3" t="s">
        <v>5641</v>
      </c>
      <c r="F400" s="3" t="s">
        <v>4330</v>
      </c>
      <c r="G400" s="3" t="s">
        <v>5642</v>
      </c>
      <c r="H400" t="str">
        <f t="shared" si="221"/>
        <v xml:space="preserve">Савинкова Екатерина Сергеевна</v>
      </c>
      <c r="I400" s="5">
        <f>IFERROR(IF(ISNUMBER(FIND("-",C400)),DATE(VALUE(LEFT(C400,4)),VALUE(MID(C400,6,2)),VALUE(RIGHT(C400,2))),IF(ISNUMBER(FIND(".",C400)),DATE(VALUE(RIGHT(C400,4)),VALUE(MID(C400,4,2)),VALUE(LEFT(C400,2))),DATE(VALUE(RIGHT(C400,4)),VLOOKUP(TRIM(MID(C400,FIND(" ",C400)+1,LEN(C400)-FIND(" ",C400)-5)),Справочники!$M$3:$N$14,2,0),VALUE(LEFT(C400,FIND(" ",C400)-1))))),"")</f>
        <v>28789</v>
      </c>
      <c r="J400" s="6">
        <f t="shared" si="222"/>
        <v>47</v>
      </c>
      <c r="K400" t="str">
        <f t="shared" si="223"/>
        <v>ОК</v>
      </c>
      <c r="L400" s="5">
        <f>IFERROR(IF(ISNUMBER(FIND("-",G400)),DATE(VALUE(LEFT(G400,4)),VALUE(MID(G400,6,2)),VALUE(RIGHT(G400,2))),IF(ISNUMBER(FIND(".",G400)),DATE(VALUE(RIGHT(G400,4)),VALUE(MID(G400,4,2)),VALUE(LEFT(G400,2))),DATE(VALUE(RIGHT(G400,4)),VLOOKUP(TRIM(MID(G400,FIND(" ",G400)+1,LEN(G400)-FIND(" ",G400)-5)),Справочники!$M$3:$N$14,2,0),VALUE(LEFT(G400,FIND(" ",G400)-1))))),"")</f>
        <v>48594</v>
      </c>
      <c r="M400" t="str">
        <f t="shared" si="224"/>
        <v xml:space="preserve">+7 (903) 901-23-45</v>
      </c>
      <c r="N400" t="str">
        <f t="shared" si="225"/>
        <v>savinkova@gmail</v>
      </c>
      <c r="O400" t="str">
        <f t="shared" si="226"/>
        <v xml:space="preserve">Ошибка Email</v>
      </c>
      <c r="P400" t="str">
        <f>IFERROR(VLOOKUP(TRIM(SUBSTITUTE(SUBSTITUTE(" "&amp;F400," г "," "),"г.","")),Справочники!$J$3:$K$102,2,0),TRIM(SUBSTITUTE(SUBSTITUTE(" "&amp;F400," г "," "),"г.","")))</f>
        <v>Калининград</v>
      </c>
    </row>
    <row r="401">
      <c r="A401" s="3" t="s">
        <v>2837</v>
      </c>
      <c r="B401" s="3" t="s">
        <v>5643</v>
      </c>
      <c r="C401" s="3" t="s">
        <v>5644</v>
      </c>
      <c r="D401" s="3" t="s">
        <v>1626</v>
      </c>
      <c r="E401" s="3" t="s">
        <v>5645</v>
      </c>
      <c r="F401" s="3" t="s">
        <v>4335</v>
      </c>
      <c r="G401" s="3" t="s">
        <v>5646</v>
      </c>
      <c r="H401" t="str">
        <f t="shared" si="221"/>
        <v xml:space="preserve">Бирюков Андрей Викторович</v>
      </c>
      <c r="I401" s="5">
        <f>IFERROR(IF(ISNUMBER(FIND("-",C401)),DATE(VALUE(LEFT(C401,4)),VALUE(MID(C401,6,2)),VALUE(RIGHT(C401,2))),IF(ISNUMBER(FIND(".",C401)),DATE(VALUE(RIGHT(C401,4)),VALUE(MID(C401,4,2)),VALUE(LEFT(C401,2))),DATE(VALUE(RIGHT(C401,4)),VLOOKUP(TRIM(MID(C401,FIND(" ",C401)+1,LEN(C401)-FIND(" ",C401)-5)),Справочники!$M$3:$N$14,2,0),VALUE(LEFT(C401,FIND(" ",C401)-1))))),"")</f>
        <v>30844</v>
      </c>
      <c r="J401" s="6">
        <f t="shared" si="222"/>
        <v>42</v>
      </c>
      <c r="K401" t="str">
        <f t="shared" si="223"/>
        <v>ОК</v>
      </c>
      <c r="L401" s="5">
        <f>IFERROR(IF(ISNUMBER(FIND("-",G401)),DATE(VALUE(LEFT(G401,4)),VALUE(MID(G401,6,2)),VALUE(RIGHT(G401,2))),IF(ISNUMBER(FIND(".",G401)),DATE(VALUE(RIGHT(G401,4)),VALUE(MID(G401,4,2)),VALUE(LEFT(G401,2))),DATE(VALUE(RIGHT(G401,4)),VLOOKUP(TRIM(MID(G401,FIND(" ",G401)+1,LEN(G401)-FIND(" ",G401)-5)),Справочники!$M$3:$N$14,2,0),VALUE(LEFT(G401,FIND(" ",G401)-1))))),"")</f>
        <v>48611</v>
      </c>
      <c r="M401" t="str">
        <f t="shared" si="224"/>
        <v xml:space="preserve">+7 (903) 901-23-45</v>
      </c>
      <c r="N401" t="str">
        <f t="shared" si="225"/>
        <v>biryukov@mail</v>
      </c>
      <c r="O401" t="str">
        <f t="shared" si="226"/>
        <v xml:space="preserve">Ошибка Email</v>
      </c>
      <c r="P401" t="str">
        <f>IFERROR(VLOOKUP(TRIM(SUBSTITUTE(SUBSTITUTE(" "&amp;F401," г "," "),"г.","")),Справочники!$J$3:$K$102,2,0),TRIM(SUBSTITUTE(SUBSTITUTE(" "&amp;F401," г "," "),"г.","")))</f>
        <v>Петрозаводск</v>
      </c>
    </row>
    <row r="402">
      <c r="A402" s="3" t="s">
        <v>2840</v>
      </c>
      <c r="B402" s="3" t="s">
        <v>5647</v>
      </c>
      <c r="C402" s="3" t="s">
        <v>5648</v>
      </c>
      <c r="D402" s="3" t="s">
        <v>4176</v>
      </c>
      <c r="E402" s="3" t="s">
        <v>5649</v>
      </c>
      <c r="F402" s="3" t="s">
        <v>4340</v>
      </c>
      <c r="G402" s="3" t="s">
        <v>5650</v>
      </c>
      <c r="H402" t="str">
        <f t="shared" si="221"/>
        <v xml:space="preserve">Шевель Ольга Павловна</v>
      </c>
      <c r="I402" s="5">
        <f>IFERROR(IF(ISNUMBER(FIND("-",C402)),DATE(VALUE(LEFT(C402,4)),VALUE(MID(C402,6,2)),VALUE(RIGHT(C402,2))),IF(ISNUMBER(FIND(".",C402)),DATE(VALUE(RIGHT(C402,4)),VALUE(MID(C402,4,2)),VALUE(LEFT(C402,2))),DATE(VALUE(RIGHT(C402,4)),VLOOKUP(TRIM(MID(C402,FIND(" ",C402)+1,LEN(C402)-FIND(" ",C402)-5)),Справочники!$M$3:$N$14,2,0),VALUE(LEFT(C402,FIND(" ",C402)-1))))),"")</f>
        <v>32708</v>
      </c>
      <c r="J402" s="6">
        <f t="shared" si="222"/>
        <v>37</v>
      </c>
      <c r="K402" t="str">
        <f t="shared" si="223"/>
        <v>ОК</v>
      </c>
      <c r="L402" s="5">
        <f>IFERROR(IF(ISNUMBER(FIND("-",G402)),DATE(VALUE(LEFT(G402,4)),VALUE(MID(G402,6,2)),VALUE(RIGHT(G402,2))),IF(ISNUMBER(FIND(".",G402)),DATE(VALUE(RIGHT(G402,4)),VALUE(MID(G402,4,2)),VALUE(LEFT(G402,2))),DATE(VALUE(RIGHT(G402,4)),VLOOKUP(TRIM(MID(G402,FIND(" ",G402)+1,LEN(G402)-FIND(" ",G402)-5)),Справочники!$M$3:$N$14,2,0),VALUE(LEFT(G402,FIND(" ",G402)-1))))),"")</f>
        <v>48620</v>
      </c>
      <c r="M402" t="str">
        <f t="shared" si="224"/>
        <v xml:space="preserve">+7 (903) 901-23-45</v>
      </c>
      <c r="N402" t="str">
        <f t="shared" si="225"/>
        <v>shevel@yandex</v>
      </c>
      <c r="O402" t="str">
        <f t="shared" si="226"/>
        <v xml:space="preserve">Ошибка Email</v>
      </c>
      <c r="P402" t="str">
        <f>IFERROR(VLOOKUP(TRIM(SUBSTITUTE(SUBSTITUTE(" "&amp;F402," г "," "),"г.","")),Справочники!$J$3:$K$102,2,0),TRIM(SUBSTITUTE(SUBSTITUTE(" "&amp;F402," г "," "),"г.","")))</f>
        <v>Рубцовск</v>
      </c>
    </row>
    <row r="403">
      <c r="A403" s="3" t="s">
        <v>2842</v>
      </c>
      <c r="B403" s="3" t="s">
        <v>5651</v>
      </c>
      <c r="C403" s="3" t="s">
        <v>5652</v>
      </c>
      <c r="D403" s="3" t="s">
        <v>4182</v>
      </c>
      <c r="E403" s="3" t="s">
        <v>5653</v>
      </c>
      <c r="F403" s="3" t="s">
        <v>4345</v>
      </c>
      <c r="G403" s="3" t="s">
        <v>5654</v>
      </c>
      <c r="H403" t="str">
        <f t="shared" si="221"/>
        <v xml:space="preserve">Коновалов Илья Олегович</v>
      </c>
      <c r="I403" s="5">
        <f>IFERROR(IF(ISNUMBER(FIND("-",C403)),DATE(VALUE(LEFT(C403,4)),VALUE(MID(C403,6,2)),VALUE(RIGHT(C403,2))),IF(ISNUMBER(FIND(".",C403)),DATE(VALUE(RIGHT(C403,4)),VALUE(MID(C403,4,2)),VALUE(LEFT(C403,2))),DATE(VALUE(RIGHT(C403,4)),VLOOKUP(TRIM(MID(C403,FIND(" ",C403)+1,LEN(C403)-FIND(" ",C403)-5)),Справочники!$M$3:$N$14,2,0),VALUE(LEFT(C403,FIND(" ",C403)-1))))),"")</f>
        <v>27518</v>
      </c>
      <c r="J403" s="6">
        <f t="shared" si="222"/>
        <v>51</v>
      </c>
      <c r="K403" t="str">
        <f t="shared" si="223"/>
        <v>ОК</v>
      </c>
      <c r="L403" s="5">
        <f>IFERROR(IF(ISNUMBER(FIND("-",G403)),DATE(VALUE(LEFT(G403,4)),VALUE(MID(G403,6,2)),VALUE(RIGHT(G403,2))),IF(ISNUMBER(FIND(".",G403)),DATE(VALUE(RIGHT(G403,4)),VALUE(MID(G403,4,2)),VALUE(LEFT(G403,2))),DATE(VALUE(RIGHT(G403,4)),VLOOKUP(TRIM(MID(G403,FIND(" ",G403)+1,LEN(G403)-FIND(" ",G403)-5)),Справочники!$M$3:$N$14,2,0),VALUE(LEFT(G403,FIND(" ",G403)-1))))),"")</f>
        <v>48620</v>
      </c>
      <c r="M403" t="str">
        <f t="shared" si="224"/>
        <v xml:space="preserve">+7 (903) 012-34-56</v>
      </c>
      <c r="N403" t="str">
        <f t="shared" si="225"/>
        <v>konovalov@gmail</v>
      </c>
      <c r="O403" t="str">
        <f t="shared" si="226"/>
        <v xml:space="preserve">Ошибка Email</v>
      </c>
      <c r="P403" t="str">
        <f>IFERROR(VLOOKUP(TRIM(SUBSTITUTE(SUBSTITUTE(" "&amp;F403," г "," "),"г.","")),Справочники!$J$3:$K$102,2,0),TRIM(SUBSTITUTE(SUBSTITUTE(" "&amp;F403," г "," "),"г.","")))</f>
        <v>Элиста</v>
      </c>
    </row>
    <row r="404">
      <c r="A404" s="3" t="s">
        <v>2844</v>
      </c>
      <c r="B404" s="3" t="s">
        <v>5655</v>
      </c>
      <c r="C404" s="3" t="s">
        <v>5656</v>
      </c>
      <c r="D404" s="3" t="s">
        <v>4188</v>
      </c>
      <c r="E404" s="3" t="s">
        <v>5657</v>
      </c>
      <c r="F404" s="3" t="s">
        <v>4350</v>
      </c>
      <c r="G404" s="3" t="s">
        <v>5658</v>
      </c>
      <c r="H404" t="str">
        <f t="shared" si="221"/>
        <v xml:space="preserve">Щербаков Виталий Николаевич</v>
      </c>
      <c r="I404" s="5">
        <f>IFERROR(IF(ISNUMBER(FIND("-",C404)),DATE(VALUE(LEFT(C404,4)),VALUE(MID(C404,6,2)),VALUE(RIGHT(C404,2))),IF(ISNUMBER(FIND(".",C404)),DATE(VALUE(RIGHT(C404,4)),VALUE(MID(C404,4,2)),VALUE(LEFT(C404,2))),DATE(VALUE(RIGHT(C404,4)),VLOOKUP(TRIM(MID(C404,FIND(" ",C404)+1,LEN(C404)-FIND(" ",C404)-5)),Справочники!$M$3:$N$14,2,0),VALUE(LEFT(C404,FIND(" ",C404)-1))))),"")</f>
        <v>30313</v>
      </c>
      <c r="J404" s="6">
        <f t="shared" si="222"/>
        <v>43</v>
      </c>
      <c r="K404" t="str">
        <f t="shared" si="223"/>
        <v>ОК</v>
      </c>
      <c r="L404" s="5">
        <f>IFERROR(IF(ISNUMBER(FIND("-",G404)),DATE(VALUE(LEFT(G404,4)),VALUE(MID(G404,6,2)),VALUE(RIGHT(G404,2))),IF(ISNUMBER(FIND(".",G404)),DATE(VALUE(RIGHT(G404,4)),VALUE(MID(G404,4,2)),VALUE(LEFT(G404,2))),DATE(VALUE(RIGHT(G404,4)),VLOOKUP(TRIM(MID(G404,FIND(" ",G404)+1,LEN(G404)-FIND(" ",G404)-5)),Справочники!$M$3:$N$14,2,0),VALUE(LEFT(G404,FIND(" ",G404)-1))))),"")</f>
        <v>48639</v>
      </c>
      <c r="M404" t="str">
        <f t="shared" si="224"/>
        <v xml:space="preserve">+7 (903) 012-34-56</v>
      </c>
      <c r="N404" t="str">
        <f t="shared" si="225"/>
        <v>scherbakov@mail</v>
      </c>
      <c r="O404" t="str">
        <f t="shared" si="226"/>
        <v xml:space="preserve">Ошибка Email</v>
      </c>
      <c r="P404" t="str">
        <f>IFERROR(VLOOKUP(TRIM(SUBSTITUTE(SUBSTITUTE(" "&amp;F404," г "," "),"г.","")),Справочники!$J$3:$K$102,2,0),TRIM(SUBSTITUTE(SUBSTITUTE(" "&amp;F404," г "," "),"г.","")))</f>
        <v>Орск</v>
      </c>
    </row>
    <row r="405">
      <c r="A405" s="3" t="s">
        <v>2846</v>
      </c>
      <c r="B405" s="3" t="s">
        <v>5659</v>
      </c>
      <c r="C405" s="3" t="s">
        <v>5660</v>
      </c>
      <c r="D405" s="3" t="s">
        <v>1633</v>
      </c>
      <c r="E405" s="3" t="s">
        <v>5661</v>
      </c>
      <c r="F405" s="3" t="s">
        <v>4355</v>
      </c>
      <c r="G405" s="3" t="s">
        <v>5662</v>
      </c>
      <c r="H405" t="str">
        <f t="shared" si="221"/>
        <v xml:space="preserve">Макеева Анастасия Игоревна</v>
      </c>
      <c r="I405" s="5">
        <f>IFERROR(IF(ISNUMBER(FIND("-",C405)),DATE(VALUE(LEFT(C405,4)),VALUE(MID(C405,6,2)),VALUE(RIGHT(C405,2))),IF(ISNUMBER(FIND(".",C405)),DATE(VALUE(RIGHT(C405,4)),VALUE(MID(C405,4,2)),VALUE(LEFT(C405,2))),DATE(VALUE(RIGHT(C405,4)),VLOOKUP(TRIM(MID(C405,FIND(" ",C405)+1,LEN(C405)-FIND(" ",C405)-5)),Справочники!$M$3:$N$14,2,0),VALUE(LEFT(C405,FIND(" ",C405)-1))))),"")</f>
        <v>33498</v>
      </c>
      <c r="J405" s="6">
        <f t="shared" si="222"/>
        <v>35</v>
      </c>
      <c r="K405" t="str">
        <f t="shared" si="223"/>
        <v>ОК</v>
      </c>
      <c r="L405" s="5">
        <f>IFERROR(IF(ISNUMBER(FIND("-",G405)),DATE(VALUE(LEFT(G405,4)),VALUE(MID(G405,6,2)),VALUE(RIGHT(G405,2))),IF(ISNUMBER(FIND(".",G405)),DATE(VALUE(RIGHT(G405,4)),VALUE(MID(G405,4,2)),VALUE(LEFT(G405,2))),DATE(VALUE(RIGHT(G405,4)),VLOOKUP(TRIM(MID(G405,FIND(" ",G405)+1,LEN(G405)-FIND(" ",G405)-5)),Справочники!$M$3:$N$14,2,0),VALUE(LEFT(G405,FIND(" ",G405)-1))))),"")</f>
        <v>48653</v>
      </c>
      <c r="M405" t="str">
        <f t="shared" si="224"/>
        <v xml:space="preserve">+7 (903) 012-34-56</v>
      </c>
      <c r="N405" t="str">
        <f t="shared" si="225"/>
        <v>makeeva@yandex</v>
      </c>
      <c r="O405" t="str">
        <f t="shared" si="226"/>
        <v xml:space="preserve">Ошибка Email</v>
      </c>
      <c r="P405" t="str">
        <f>IFERROR(VLOOKUP(TRIM(SUBSTITUTE(SUBSTITUTE(" "&amp;F405," г "," "),"г.","")),Справочники!$J$3:$K$102,2,0),TRIM(SUBSTITUTE(SUBSTITUTE(" "&amp;F405," г "," "),"г.","")))</f>
        <v>Нижневартовск</v>
      </c>
    </row>
    <row r="406">
      <c r="A406" s="3" t="s">
        <v>2848</v>
      </c>
      <c r="B406" s="3" t="s">
        <v>5663</v>
      </c>
      <c r="C406" s="3" t="s">
        <v>5664</v>
      </c>
      <c r="D406" s="3" t="s">
        <v>4034</v>
      </c>
      <c r="E406" s="3" t="s">
        <v>5665</v>
      </c>
      <c r="F406" s="3" t="s">
        <v>4360</v>
      </c>
      <c r="G406" s="3" t="s">
        <v>5666</v>
      </c>
      <c r="H406" t="str">
        <f t="shared" si="221"/>
        <v xml:space="preserve">Дорофеев Денис Александрович</v>
      </c>
      <c r="I406" s="5">
        <f>IFERROR(IF(ISNUMBER(FIND("-",C406)),DATE(VALUE(LEFT(C406,4)),VALUE(MID(C406,6,2)),VALUE(RIGHT(C406,2))),IF(ISNUMBER(FIND(".",C406)),DATE(VALUE(RIGHT(C406,4)),VALUE(MID(C406,4,2)),VALUE(LEFT(C406,2))),DATE(VALUE(RIGHT(C406,4)),VLOOKUP(TRIM(MID(C406,FIND(" ",C406)+1,LEN(C406)-FIND(" ",C406)-5)),Справочники!$M$3:$N$14,2,0),VALUE(LEFT(C406,FIND(" ",C406)-1))))),"")</f>
        <v>28920</v>
      </c>
      <c r="J406" s="6">
        <f t="shared" si="222"/>
        <v>47</v>
      </c>
      <c r="K406" t="str">
        <f t="shared" si="223"/>
        <v>ОК</v>
      </c>
      <c r="L406" s="5">
        <f>IFERROR(IF(ISNUMBER(FIND("-",G406)),DATE(VALUE(LEFT(G406,4)),VALUE(MID(G406,6,2)),VALUE(RIGHT(G406,2))),IF(ISNUMBER(FIND(".",G406)),DATE(VALUE(RIGHT(G406,4)),VALUE(MID(G406,4,2)),VALUE(LEFT(G406,2))),DATE(VALUE(RIGHT(G406,4)),VLOOKUP(TRIM(MID(G406,FIND(" ",G406)+1,LEN(G406)-FIND(" ",G406)-5)),Справочники!$M$3:$N$14,2,0),VALUE(LEFT(G406,FIND(" ",G406)-1))))),"")</f>
        <v>48653</v>
      </c>
      <c r="M406" t="str">
        <f t="shared" si="224"/>
        <v xml:space="preserve">+7 (903) 123-45-67</v>
      </c>
      <c r="N406" t="str">
        <f t="shared" si="225"/>
        <v>dorofeev@gmail</v>
      </c>
      <c r="O406" t="str">
        <f t="shared" si="226"/>
        <v xml:space="preserve">Ошибка Email</v>
      </c>
      <c r="P406" t="str">
        <f>IFERROR(VLOOKUP(TRIM(SUBSTITUTE(SUBSTITUTE(" "&amp;F406," г "," "),"г.","")),Справочники!$J$3:$K$102,2,0),TRIM(SUBSTITUTE(SUBSTITUTE(" "&amp;F406," г "," "),"г.","")))</f>
        <v>Новороссийск</v>
      </c>
    </row>
    <row r="407">
      <c r="A407" s="3" t="s">
        <v>2850</v>
      </c>
      <c r="B407" s="3" t="s">
        <v>5667</v>
      </c>
      <c r="C407" s="3" t="s">
        <v>5668</v>
      </c>
      <c r="D407" s="3" t="s">
        <v>4040</v>
      </c>
      <c r="E407" s="3" t="s">
        <v>5669</v>
      </c>
      <c r="F407" s="3" t="s">
        <v>4365</v>
      </c>
      <c r="G407" s="3" t="s">
        <v>5670</v>
      </c>
      <c r="H407" t="str">
        <f t="shared" si="221"/>
        <v xml:space="preserve">Слободчикова Елена Владимировна</v>
      </c>
      <c r="I407" s="5">
        <f>IFERROR(IF(ISNUMBER(FIND("-",C407)),DATE(VALUE(LEFT(C407,4)),VALUE(MID(C407,6,2)),VALUE(RIGHT(C407,2))),IF(ISNUMBER(FIND(".",C407)),DATE(VALUE(RIGHT(C407,4)),VALUE(MID(C407,4,2)),VALUE(LEFT(C407,2))),DATE(VALUE(RIGHT(C407,4)),VLOOKUP(TRIM(MID(C407,FIND(" ",C407)+1,LEN(C407)-FIND(" ",C407)-5)),Справочники!$M$3:$N$14,2,0),VALUE(LEFT(C407,FIND(" ",C407)-1))))),"")</f>
        <v>31740</v>
      </c>
      <c r="J407" s="6">
        <f t="shared" si="222"/>
        <v>39</v>
      </c>
      <c r="K407" t="str">
        <f t="shared" si="223"/>
        <v>ОК</v>
      </c>
      <c r="L407" s="5">
        <f>IFERROR(IF(ISNUMBER(FIND("-",G407)),DATE(VALUE(LEFT(G407,4)),VALUE(MID(G407,6,2)),VALUE(RIGHT(G407,2))),IF(ISNUMBER(FIND(".",G407)),DATE(VALUE(RIGHT(G407,4)),VALUE(MID(G407,4,2)),VALUE(LEFT(G407,2))),DATE(VALUE(RIGHT(G407,4)),VLOOKUP(TRIM(MID(G407,FIND(" ",G407)+1,LEN(G407)-FIND(" ",G407)-5)),Справочники!$M$3:$N$14,2,0),VALUE(LEFT(G407,FIND(" ",G407)-1))))),"")</f>
        <v>48670</v>
      </c>
      <c r="M407" t="str">
        <f t="shared" si="224"/>
        <v xml:space="preserve">+7 (903) 123-45-67</v>
      </c>
      <c r="N407" t="str">
        <f t="shared" si="225"/>
        <v>slobodchikova@mail</v>
      </c>
      <c r="O407" t="str">
        <f t="shared" si="226"/>
        <v xml:space="preserve">Ошибка Email</v>
      </c>
      <c r="P407" t="str">
        <f>IFERROR(VLOOKUP(TRIM(SUBSTITUTE(SUBSTITUTE(" "&amp;F407," г "," "),"г.","")),Справочники!$J$3:$K$102,2,0),TRIM(SUBSTITUTE(SUBSTITUTE(" "&amp;F407," г "," "),"г.","")))</f>
        <v>Химки</v>
      </c>
    </row>
    <row r="408">
      <c r="A408" s="3" t="s">
        <v>2852</v>
      </c>
      <c r="B408" s="3" t="s">
        <v>5671</v>
      </c>
      <c r="C408" s="3" t="s">
        <v>5241</v>
      </c>
      <c r="D408" s="3" t="s">
        <v>1570</v>
      </c>
      <c r="E408" s="3" t="s">
        <v>5672</v>
      </c>
      <c r="F408" s="3" t="s">
        <v>4370</v>
      </c>
      <c r="G408" s="3" t="s">
        <v>5673</v>
      </c>
      <c r="H408" t="str">
        <f t="shared" si="221"/>
        <v xml:space="preserve">Толкунов Олег Сергеевич</v>
      </c>
      <c r="I408" s="5">
        <f>IFERROR(IF(ISNUMBER(FIND("-",C408)),DATE(VALUE(LEFT(C408,4)),VALUE(MID(C408,6,2)),VALUE(RIGHT(C408,2))),IF(ISNUMBER(FIND(".",C408)),DATE(VALUE(RIGHT(C408,4)),VALUE(MID(C408,4,2)),VALUE(LEFT(C408,2))),DATE(VALUE(RIGHT(C408,4)),VLOOKUP(TRIM(MID(C408,FIND(" ",C408)+1,LEN(C408)-FIND(" ",C408)-5)),Справочники!$M$3:$N$14,2,0),VALUE(LEFT(C408,FIND(" ",C408)-1))))),"")</f>
        <v>26482</v>
      </c>
      <c r="J408" s="6">
        <f t="shared" si="222"/>
        <v>54</v>
      </c>
      <c r="K408" t="str">
        <f t="shared" si="223"/>
        <v>ОК</v>
      </c>
      <c r="L408" s="5">
        <f>IFERROR(IF(ISNUMBER(FIND("-",G408)),DATE(VALUE(LEFT(G408,4)),VALUE(MID(G408,6,2)),VALUE(RIGHT(G408,2))),IF(ISNUMBER(FIND(".",G408)),DATE(VALUE(RIGHT(G408,4)),VALUE(MID(G408,4,2)),VALUE(LEFT(G408,2))),DATE(VALUE(RIGHT(G408,4)),VLOOKUP(TRIM(MID(G408,FIND(" ",G408)+1,LEN(G408)-FIND(" ",G408)-5)),Справочники!$M$3:$N$14,2,0),VALUE(LEFT(G408,FIND(" ",G408)-1))))),"")</f>
        <v>48679</v>
      </c>
      <c r="M408" t="str">
        <f t="shared" si="224"/>
        <v xml:space="preserve">+7 (903) 123-45-67</v>
      </c>
      <c r="N408" t="str">
        <f t="shared" si="225"/>
        <v>tolkunov@yandex</v>
      </c>
      <c r="O408" t="str">
        <f t="shared" si="226"/>
        <v xml:space="preserve">Ошибка Email</v>
      </c>
      <c r="P408" t="str">
        <f>IFERROR(VLOOKUP(TRIM(SUBSTITUTE(SUBSTITUTE(" "&amp;F408," г "," "),"г.","")),Справочники!$J$3:$K$102,2,0),TRIM(SUBSTITUTE(SUBSTITUTE(" "&amp;F408," г "," "),"г.","")))</f>
        <v>Подольск</v>
      </c>
    </row>
    <row r="409">
      <c r="A409" s="3" t="s">
        <v>2854</v>
      </c>
      <c r="B409" s="3" t="s">
        <v>5674</v>
      </c>
      <c r="C409" s="3" t="s">
        <v>5675</v>
      </c>
      <c r="D409" s="3" t="s">
        <v>4051</v>
      </c>
      <c r="E409" s="3" t="s">
        <v>5676</v>
      </c>
      <c r="F409" s="3" t="s">
        <v>4375</v>
      </c>
      <c r="G409" s="3" t="s">
        <v>5677</v>
      </c>
      <c r="H409" t="str">
        <f t="shared" si="221"/>
        <v xml:space="preserve">Ушакова Ирина Павловна</v>
      </c>
      <c r="I409" s="5">
        <f>IFERROR(IF(ISNUMBER(FIND("-",C409)),DATE(VALUE(LEFT(C409,4)),VALUE(MID(C409,6,2)),VALUE(RIGHT(C409,2))),IF(ISNUMBER(FIND(".",C409)),DATE(VALUE(RIGHT(C409,4)),VALUE(MID(C409,4,2)),VALUE(LEFT(C409,2))),DATE(VALUE(RIGHT(C409,4)),VLOOKUP(TRIM(MID(C409,FIND(" ",C409)+1,LEN(C409)-FIND(" ",C409)-5)),Справочники!$M$3:$N$14,2,0),VALUE(LEFT(C409,FIND(" ",C409)-1))))),"")</f>
        <v>30697</v>
      </c>
      <c r="J409" s="6">
        <f t="shared" si="222"/>
        <v>42</v>
      </c>
      <c r="K409" t="str">
        <f t="shared" si="223"/>
        <v>ОК</v>
      </c>
      <c r="L409" s="5">
        <f>IFERROR(IF(ISNUMBER(FIND("-",G409)),DATE(VALUE(LEFT(G409,4)),VALUE(MID(G409,6,2)),VALUE(RIGHT(G409,2))),IF(ISNUMBER(FIND(".",G409)),DATE(VALUE(RIGHT(G409,4)),VALUE(MID(G409,4,2)),VALUE(LEFT(G409,2))),DATE(VALUE(RIGHT(G409,4)),VLOOKUP(TRIM(MID(G409,FIND(" ",G409)+1,LEN(G409)-FIND(" ",G409)-5)),Справочники!$M$3:$N$14,2,0),VALUE(LEFT(G409,FIND(" ",G409)-1))))),"")</f>
        <v>48679</v>
      </c>
      <c r="M409" t="str">
        <f t="shared" si="224"/>
        <v xml:space="preserve">+7 (903) 234-56-78</v>
      </c>
      <c r="N409" t="str">
        <f t="shared" si="225"/>
        <v>ushakova@gmail</v>
      </c>
      <c r="O409" t="str">
        <f t="shared" si="226"/>
        <v xml:space="preserve">Ошибка Email</v>
      </c>
      <c r="P409" t="str">
        <f>IFERROR(VLOOKUP(TRIM(SUBSTITUTE(SUBSTITUTE(" "&amp;F409," г "," "),"г.","")),Справочники!$J$3:$K$102,2,0),TRIM(SUBSTITUTE(SUBSTITUTE(" "&amp;F409," г "," "),"г.","")))</f>
        <v>Балашиха</v>
      </c>
    </row>
    <row r="410">
      <c r="A410" s="3" t="s">
        <v>2856</v>
      </c>
      <c r="B410" s="3" t="s">
        <v>5678</v>
      </c>
      <c r="C410" s="3" t="s">
        <v>5679</v>
      </c>
      <c r="D410" s="3" t="s">
        <v>4057</v>
      </c>
      <c r="E410" s="3" t="s">
        <v>5680</v>
      </c>
      <c r="F410" s="3" t="s">
        <v>4380</v>
      </c>
      <c r="G410" s="3" t="s">
        <v>5681</v>
      </c>
      <c r="H410" t="str">
        <f t="shared" si="221"/>
        <v xml:space="preserve">Краюхин Андрей Викторович</v>
      </c>
      <c r="I410" s="5">
        <f>IFERROR(IF(ISNUMBER(FIND("-",C410)),DATE(VALUE(LEFT(C410,4)),VALUE(MID(C410,6,2)),VALUE(RIGHT(C410,2))),IF(ISNUMBER(FIND(".",C410)),DATE(VALUE(RIGHT(C410,4)),VALUE(MID(C410,4,2)),VALUE(LEFT(C410,2))),DATE(VALUE(RIGHT(C410,4)),VLOOKUP(TRIM(MID(C410,FIND(" ",C410)+1,LEN(C410)-FIND(" ",C410)-5)),Справочники!$M$3:$N$14,2,0),VALUE(LEFT(C410,FIND(" ",C410)-1))))),"")</f>
        <v>28347</v>
      </c>
      <c r="J410" s="6">
        <f t="shared" si="222"/>
        <v>49</v>
      </c>
      <c r="K410" t="str">
        <f t="shared" si="223"/>
        <v>ОК</v>
      </c>
      <c r="L410" s="5">
        <f>IFERROR(IF(ISNUMBER(FIND("-",G410)),DATE(VALUE(LEFT(G410,4)),VALUE(MID(G410,6,2)),VALUE(RIGHT(G410,2))),IF(ISNUMBER(FIND(".",G410)),DATE(VALUE(RIGHT(G410,4)),VALUE(MID(G410,4,2)),VALUE(LEFT(G410,2))),DATE(VALUE(RIGHT(G410,4)),VLOOKUP(TRIM(MID(G410,FIND(" ",G410)+1,LEN(G410)-FIND(" ",G410)-5)),Справочники!$M$3:$N$14,2,0),VALUE(LEFT(G410,FIND(" ",G410)-1))))),"")</f>
        <v>48700</v>
      </c>
      <c r="M410" t="str">
        <f t="shared" si="224"/>
        <v xml:space="preserve">+7 (903) 234-56-78</v>
      </c>
      <c r="N410" t="str">
        <f t="shared" si="225"/>
        <v>krayuhin@mail</v>
      </c>
      <c r="O410" t="str">
        <f t="shared" si="226"/>
        <v xml:space="preserve">Ошибка Email</v>
      </c>
      <c r="P410" t="str">
        <f>IFERROR(VLOOKUP(TRIM(SUBSTITUTE(SUBSTITUTE(" "&amp;F410," г "," "),"г.","")),Справочники!$J$3:$K$102,2,0),TRIM(SUBSTITUTE(SUBSTITUTE(" "&amp;F410," г "," "),"г.","")))</f>
        <v>Сургут</v>
      </c>
    </row>
    <row r="411">
      <c r="A411" s="3" t="s">
        <v>2857</v>
      </c>
      <c r="B411" s="3" t="s">
        <v>5682</v>
      </c>
      <c r="C411" s="3" t="s">
        <v>5683</v>
      </c>
      <c r="D411" s="3" t="s">
        <v>1712</v>
      </c>
      <c r="E411" s="3" t="s">
        <v>5684</v>
      </c>
      <c r="F411" s="3" t="s">
        <v>4385</v>
      </c>
      <c r="G411" s="3" t="s">
        <v>5685</v>
      </c>
      <c r="H411" t="str">
        <f t="shared" si="221"/>
        <v xml:space="preserve">Агафонова Мария Олеговна</v>
      </c>
      <c r="I411" s="5">
        <f>IFERROR(IF(ISNUMBER(FIND("-",C411)),DATE(VALUE(LEFT(C411,4)),VALUE(MID(C411,6,2)),VALUE(RIGHT(C411,2))),IF(ISNUMBER(FIND(".",C411)),DATE(VALUE(RIGHT(C411,4)),VALUE(MID(C411,4,2)),VALUE(LEFT(C411,2))),DATE(VALUE(RIGHT(C411,4)),VLOOKUP(TRIM(MID(C411,FIND(" ",C411)+1,LEN(C411)-FIND(" ",C411)-5)),Справочники!$M$3:$N$14,2,0),VALUE(LEFT(C411,FIND(" ",C411)-1))))),"")</f>
        <v>33236</v>
      </c>
      <c r="J411" s="6">
        <f t="shared" si="222"/>
        <v>35</v>
      </c>
      <c r="K411" t="str">
        <f t="shared" si="223"/>
        <v>ОК</v>
      </c>
      <c r="L411" s="5">
        <f>IFERROR(IF(ISNUMBER(FIND("-",G411)),DATE(VALUE(LEFT(G411,4)),VALUE(MID(G411,6,2)),VALUE(RIGHT(G411,2))),IF(ISNUMBER(FIND(".",G411)),DATE(VALUE(RIGHT(G411,4)),VALUE(MID(G411,4,2)),VALUE(LEFT(G411,2))),DATE(VALUE(RIGHT(G411,4)),VLOOKUP(TRIM(MID(G411,FIND(" ",G411)+1,LEN(G411)-FIND(" ",G411)-5)),Справочники!$M$3:$N$14,2,0),VALUE(LEFT(G411,FIND(" ",G411)-1))))),"")</f>
        <v>48714</v>
      </c>
      <c r="M411" t="str">
        <f t="shared" si="224"/>
        <v xml:space="preserve">+7 (903) 234-56-78</v>
      </c>
      <c r="N411" t="str">
        <f t="shared" si="225"/>
        <v>agafonova@yandex</v>
      </c>
      <c r="O411" t="str">
        <f t="shared" si="226"/>
        <v xml:space="preserve">Ошибка Email</v>
      </c>
      <c r="P411" t="str">
        <f>IFERROR(VLOOKUP(TRIM(SUBSTITUTE(SUBSTITUTE(" "&amp;F411," г "," "),"г.","")),Справочники!$J$3:$K$102,2,0),TRIM(SUBSTITUTE(SUBSTITUTE(" "&amp;F411," г "," "),"г.","")))</f>
        <v>Армавир</v>
      </c>
    </row>
    <row r="412">
      <c r="A412" s="3" t="s">
        <v>2859</v>
      </c>
      <c r="B412" s="3" t="s">
        <v>5686</v>
      </c>
      <c r="C412" s="3" t="s">
        <v>5687</v>
      </c>
      <c r="D412" s="3" t="s">
        <v>1584</v>
      </c>
      <c r="E412" s="3" t="s">
        <v>5688</v>
      </c>
      <c r="F412" s="3" t="s">
        <v>4390</v>
      </c>
      <c r="G412" s="3" t="s">
        <v>5689</v>
      </c>
      <c r="H412" t="str">
        <f t="shared" si="221"/>
        <v xml:space="preserve">Пронский Илья Николаевич</v>
      </c>
      <c r="I412" s="5">
        <f>IFERROR(IF(ISNUMBER(FIND("-",C412)),DATE(VALUE(LEFT(C412,4)),VALUE(MID(C412,6,2)),VALUE(RIGHT(C412,2))),IF(ISNUMBER(FIND(".",C412)),DATE(VALUE(RIGHT(C412,4)),VALUE(MID(C412,4,2)),VALUE(LEFT(C412,2))),DATE(VALUE(RIGHT(C412,4)),VLOOKUP(TRIM(MID(C412,FIND(" ",C412)+1,LEN(C412)-FIND(" ",C412)-5)),Справочники!$M$3:$N$14,2,0),VALUE(LEFT(C412,FIND(" ",C412)-1))))),"")</f>
        <v>31160</v>
      </c>
      <c r="J412" s="6">
        <f t="shared" si="222"/>
        <v>41</v>
      </c>
      <c r="K412" t="str">
        <f t="shared" si="223"/>
        <v>ОК</v>
      </c>
      <c r="L412" s="5">
        <f>IFERROR(IF(ISNUMBER(FIND("-",G412)),DATE(VALUE(LEFT(G412,4)),VALUE(MID(G412,6,2)),VALUE(RIGHT(G412,2))),IF(ISNUMBER(FIND(".",G412)),DATE(VALUE(RIGHT(G412,4)),VALUE(MID(G412,4,2)),VALUE(LEFT(G412,2))),DATE(VALUE(RIGHT(G412,4)),VLOOKUP(TRIM(MID(G412,FIND(" ",G412)+1,LEN(G412)-FIND(" ",G412)-5)),Справочники!$M$3:$N$14,2,0),VALUE(LEFT(G412,FIND(" ",G412)-1))))),"")</f>
        <v>48714</v>
      </c>
      <c r="M412" t="str">
        <f t="shared" si="224"/>
        <v xml:space="preserve">+7 (903) 345-67-89</v>
      </c>
      <c r="N412" t="str">
        <f t="shared" si="225"/>
        <v>pronsky@gmail</v>
      </c>
      <c r="O412" t="str">
        <f t="shared" si="226"/>
        <v xml:space="preserve">Ошибка Email</v>
      </c>
      <c r="P412" t="str">
        <f>IFERROR(VLOOKUP(TRIM(SUBSTITUTE(SUBSTITUTE(" "&amp;F412," г "," "),"г.","")),Справочники!$J$3:$K$102,2,0),TRIM(SUBSTITUTE(SUBSTITUTE(" "&amp;F412," г "," "),"г.","")))</f>
        <v>Волжский</v>
      </c>
    </row>
    <row r="413">
      <c r="A413" s="3" t="s">
        <v>2861</v>
      </c>
      <c r="B413" s="3" t="s">
        <v>5690</v>
      </c>
      <c r="C413" s="3" t="s">
        <v>5691</v>
      </c>
      <c r="D413" s="3" t="s">
        <v>4073</v>
      </c>
      <c r="E413" s="3" t="s">
        <v>5692</v>
      </c>
      <c r="F413" s="3" t="s">
        <v>4395</v>
      </c>
      <c r="G413" s="3" t="s">
        <v>5693</v>
      </c>
      <c r="H413" t="str">
        <f t="shared" si="221"/>
        <v xml:space="preserve">Маркин Денис Сергеевич</v>
      </c>
      <c r="I413" s="5">
        <f>IFERROR(IF(ISNUMBER(FIND("-",C413)),DATE(VALUE(LEFT(C413,4)),VALUE(MID(C413,6,2)),VALUE(RIGHT(C413,2))),IF(ISNUMBER(FIND(".",C413)),DATE(VALUE(RIGHT(C413,4)),VALUE(MID(C413,4,2)),VALUE(LEFT(C413,2))),DATE(VALUE(RIGHT(C413,4)),VLOOKUP(TRIM(MID(C413,FIND(" ",C413)+1,LEN(C413)-FIND(" ",C413)-5)),Справочники!$M$3:$N$14,2,0),VALUE(LEFT(C413,FIND(" ",C413)-1))))),"")</f>
        <v>27277</v>
      </c>
      <c r="J413" s="6">
        <f t="shared" si="222"/>
        <v>52</v>
      </c>
      <c r="K413" t="str">
        <f t="shared" si="223"/>
        <v>ОК</v>
      </c>
      <c r="L413" s="5">
        <f>IFERROR(IF(ISNUMBER(FIND("-",G413)),DATE(VALUE(LEFT(G413,4)),VALUE(MID(G413,6,2)),VALUE(RIGHT(G413,2))),IF(ISNUMBER(FIND(".",G413)),DATE(VALUE(RIGHT(G413,4)),VALUE(MID(G413,4,2)),VALUE(LEFT(G413,2))),DATE(VALUE(RIGHT(G413,4)),VLOOKUP(TRIM(MID(G413,FIND(" ",G413)+1,LEN(G413)-FIND(" ",G413)-5)),Справочники!$M$3:$N$14,2,0),VALUE(LEFT(G413,FIND(" ",G413)-1))))),"")</f>
        <v>48731</v>
      </c>
      <c r="M413" t="str">
        <f t="shared" si="224"/>
        <v xml:space="preserve">+7 (903) 345-67-89</v>
      </c>
      <c r="N413" t="str">
        <f t="shared" si="225"/>
        <v>markin@mail</v>
      </c>
      <c r="O413" t="str">
        <f t="shared" si="226"/>
        <v xml:space="preserve">Ошибка Email</v>
      </c>
      <c r="P413" t="str">
        <f>IFERROR(VLOOKUP(TRIM(SUBSTITUTE(SUBSTITUTE(" "&amp;F413," г "," "),"г.","")),Справочники!$J$3:$K$102,2,0),TRIM(SUBSTITUTE(SUBSTITUTE(" "&amp;F413," г "," "),"г.","")))</f>
        <v>Шахты</v>
      </c>
    </row>
    <row r="414">
      <c r="A414" s="3" t="s">
        <v>2863</v>
      </c>
      <c r="B414" s="3" t="s">
        <v>5694</v>
      </c>
      <c r="C414" s="3" t="s">
        <v>5695</v>
      </c>
      <c r="D414" s="3" t="s">
        <v>4079</v>
      </c>
      <c r="E414" s="3" t="s">
        <v>5696</v>
      </c>
      <c r="F414" s="3" t="s">
        <v>4400</v>
      </c>
      <c r="G414" s="3" t="s">
        <v>5697</v>
      </c>
      <c r="H414" t="str">
        <f t="shared" si="221"/>
        <v xml:space="preserve">Булатова Ольга Владимировна</v>
      </c>
      <c r="I414" s="5">
        <f>IFERROR(IF(ISNUMBER(FIND("-",C414)),DATE(VALUE(LEFT(C414,4)),VALUE(MID(C414,6,2)),VALUE(RIGHT(C414,2))),IF(ISNUMBER(FIND(".",C414)),DATE(VALUE(RIGHT(C414,4)),VALUE(MID(C414,4,2)),VALUE(LEFT(C414,2))),DATE(VALUE(RIGHT(C414,4)),VLOOKUP(TRIM(MID(C414,FIND(" ",C414)+1,LEN(C414)-FIND(" ",C414)-5)),Справочники!$M$3:$N$14,2,0),VALUE(LEFT(C414,FIND(" ",C414)-1))))),"")</f>
        <v>29911</v>
      </c>
      <c r="J414" s="6">
        <f t="shared" si="222"/>
        <v>44</v>
      </c>
      <c r="K414" t="str">
        <f t="shared" si="223"/>
        <v>ОК</v>
      </c>
      <c r="L414" s="5">
        <f>IFERROR(IF(ISNUMBER(FIND("-",G414)),DATE(VALUE(LEFT(G414,4)),VALUE(MID(G414,6,2)),VALUE(RIGHT(G414,2))),IF(ISNUMBER(FIND(".",G414)),DATE(VALUE(RIGHT(G414,4)),VALUE(MID(G414,4,2)),VALUE(LEFT(G414,2))),DATE(VALUE(RIGHT(G414,4)),VLOOKUP(TRIM(MID(G414,FIND(" ",G414)+1,LEN(G414)-FIND(" ",G414)-5)),Справочники!$M$3:$N$14,2,0),VALUE(LEFT(G414,FIND(" ",G414)-1))))),"")</f>
        <v>48740</v>
      </c>
      <c r="M414" t="str">
        <f t="shared" si="224"/>
        <v xml:space="preserve">+7 (903) 345-67-89</v>
      </c>
      <c r="N414" t="str">
        <f t="shared" si="225"/>
        <v>bulatova@yandex</v>
      </c>
      <c r="O414" t="str">
        <f t="shared" si="226"/>
        <v xml:space="preserve">Ошибка Email</v>
      </c>
      <c r="P414" t="str">
        <f>IFERROR(VLOOKUP(TRIM(SUBSTITUTE(SUBSTITUTE(" "&amp;F414," г "," "),"г.","")),Справочники!$J$3:$K$102,2,0),TRIM(SUBSTITUTE(SUBSTITUTE(" "&amp;F414," г "," "),"г.","")))</f>
        <v>Златоуст</v>
      </c>
    </row>
    <row r="415">
      <c r="A415" s="3" t="s">
        <v>2865</v>
      </c>
      <c r="B415" s="3" t="s">
        <v>5698</v>
      </c>
      <c r="C415" s="3" t="s">
        <v>5699</v>
      </c>
      <c r="D415" s="3" t="s">
        <v>4085</v>
      </c>
      <c r="E415" s="3" t="s">
        <v>5700</v>
      </c>
      <c r="F415" s="3" t="s">
        <v>4405</v>
      </c>
      <c r="G415" s="3" t="s">
        <v>5701</v>
      </c>
      <c r="H415" t="str">
        <f t="shared" si="221"/>
        <v xml:space="preserve">Кузнецов Дмитрий Александрович</v>
      </c>
      <c r="I415" s="5">
        <f>IFERROR(IF(ISNUMBER(FIND("-",C415)),DATE(VALUE(LEFT(C415,4)),VALUE(MID(C415,6,2)),VALUE(RIGHT(C415,2))),IF(ISNUMBER(FIND(".",C415)),DATE(VALUE(RIGHT(C415,4)),VALUE(MID(C415,4,2)),VALUE(LEFT(C415,2))),DATE(VALUE(RIGHT(C415,4)),VLOOKUP(TRIM(MID(C415,FIND(" ",C415)+1,LEN(C415)-FIND(" ",C415)-5)),Справочники!$M$3:$N$14,2,0),VALUE(LEFT(C415,FIND(" ",C415)-1))))),"")</f>
        <v>32341</v>
      </c>
      <c r="J415" s="6">
        <f t="shared" si="222"/>
        <v>38</v>
      </c>
      <c r="K415" t="str">
        <f t="shared" si="223"/>
        <v>ОК</v>
      </c>
      <c r="L415" s="5">
        <f>IFERROR(IF(ISNUMBER(FIND("-",G415)),DATE(VALUE(LEFT(G415,4)),VALUE(MID(G415,6,2)),VALUE(RIGHT(G415,2))),IF(ISNUMBER(FIND(".",G415)),DATE(VALUE(RIGHT(G415,4)),VALUE(MID(G415,4,2)),VALUE(LEFT(G415,2))),DATE(VALUE(RIGHT(G415,4)),VLOOKUP(TRIM(MID(G415,FIND(" ",G415)+1,LEN(G415)-FIND(" ",G415)-5)),Справочники!$M$3:$N$14,2,0),VALUE(LEFT(G415,FIND(" ",G415)-1))))),"")</f>
        <v>48740</v>
      </c>
      <c r="M415" t="str">
        <f t="shared" si="224"/>
        <v xml:space="preserve">+7 (903) 456-78-90</v>
      </c>
      <c r="N415" t="str">
        <f t="shared" si="225"/>
        <v>kuznetsov@gmail</v>
      </c>
      <c r="O415" t="str">
        <f t="shared" si="226"/>
        <v xml:space="preserve">Ошибка Email</v>
      </c>
      <c r="P415" t="str">
        <f>IFERROR(VLOOKUP(TRIM(SUBSTITUTE(SUBSTITUTE(" "&amp;F415," г "," "),"г.","")),Справочники!$J$3:$K$102,2,0),TRIM(SUBSTITUTE(SUBSTITUTE(" "&amp;F415," г "," "),"г.","")))</f>
        <v>Ангарск</v>
      </c>
    </row>
    <row r="416">
      <c r="A416" s="3" t="s">
        <v>2868</v>
      </c>
      <c r="B416" s="3" t="s">
        <v>5702</v>
      </c>
      <c r="C416" s="3" t="s">
        <v>5703</v>
      </c>
      <c r="D416" s="3" t="s">
        <v>1591</v>
      </c>
      <c r="E416" s="3" t="s">
        <v>5704</v>
      </c>
      <c r="F416" s="3" t="s">
        <v>4410</v>
      </c>
      <c r="G416" s="3" t="s">
        <v>5705</v>
      </c>
      <c r="H416" t="str">
        <f t="shared" si="221"/>
        <v xml:space="preserve">Сизова Елена Игоревна</v>
      </c>
      <c r="I416" s="5">
        <f>IFERROR(IF(ISNUMBER(FIND("-",C416)),DATE(VALUE(LEFT(C416,4)),VALUE(MID(C416,6,2)),VALUE(RIGHT(C416,2))),IF(ISNUMBER(FIND(".",C416)),DATE(VALUE(RIGHT(C416,4)),VALUE(MID(C416,4,2)),VALUE(LEFT(C416,2))),DATE(VALUE(RIGHT(C416,4)),VLOOKUP(TRIM(MID(C416,FIND(" ",C416)+1,LEN(C416)-FIND(" ",C416)-5)),Справочники!$M$3:$N$14,2,0),VALUE(LEFT(C416,FIND(" ",C416)-1))))),"")</f>
        <v>28063</v>
      </c>
      <c r="J416" s="6">
        <f t="shared" si="222"/>
        <v>49</v>
      </c>
      <c r="K416" t="str">
        <f t="shared" si="223"/>
        <v>ОК</v>
      </c>
      <c r="L416" s="5">
        <f>IFERROR(IF(ISNUMBER(FIND("-",G416)),DATE(VALUE(LEFT(G416,4)),VALUE(MID(G416,6,2)),VALUE(RIGHT(G416,2))),IF(ISNUMBER(FIND(".",G416)),DATE(VALUE(RIGHT(G416,4)),VALUE(MID(G416,4,2)),VALUE(LEFT(G416,2))),DATE(VALUE(RIGHT(G416,4)),VLOOKUP(TRIM(MID(G416,FIND(" ",G416)+1,LEN(G416)-FIND(" ",G416)-5)),Справочники!$M$3:$N$14,2,0),VALUE(LEFT(G416,FIND(" ",G416)-1))))),"")</f>
        <v>48761</v>
      </c>
      <c r="M416" t="str">
        <f t="shared" si="224"/>
        <v xml:space="preserve">+7 (903) 456-78-90</v>
      </c>
      <c r="N416" t="str">
        <f t="shared" si="225"/>
        <v>sizova@mail</v>
      </c>
      <c r="O416" t="str">
        <f t="shared" si="226"/>
        <v xml:space="preserve">Ошибка Email</v>
      </c>
      <c r="P416" t="str">
        <f>IFERROR(VLOOKUP(TRIM(SUBSTITUTE(SUBSTITUTE(" "&amp;F416," г "," "),"г.","")),Справочники!$J$3:$K$102,2,0),TRIM(SUBSTITUTE(SUBSTITUTE(" "&amp;F416," г "," "),"г.","")))</f>
        <v>Озёрск</v>
      </c>
    </row>
    <row r="417">
      <c r="A417" s="3" t="s">
        <v>2869</v>
      </c>
      <c r="B417" s="3" t="s">
        <v>5706</v>
      </c>
      <c r="C417" s="3" t="s">
        <v>5707</v>
      </c>
      <c r="D417" s="3" t="s">
        <v>1660</v>
      </c>
      <c r="E417" s="3" t="s">
        <v>5708</v>
      </c>
      <c r="F417" s="3" t="s">
        <v>4415</v>
      </c>
      <c r="G417" s="3" t="s">
        <v>5709</v>
      </c>
      <c r="H417" t="str">
        <f t="shared" si="221"/>
        <v xml:space="preserve">Карнаухов Андрей Павлович</v>
      </c>
      <c r="I417" s="5">
        <f>IFERROR(IF(ISNUMBER(FIND("-",C417)),DATE(VALUE(LEFT(C417,4)),VALUE(MID(C417,6,2)),VALUE(RIGHT(C417,2))),IF(ISNUMBER(FIND(".",C417)),DATE(VALUE(RIGHT(C417,4)),VALUE(MID(C417,4,2)),VALUE(LEFT(C417,2))),DATE(VALUE(RIGHT(C417,4)),VLOOKUP(TRIM(MID(C417,FIND(" ",C417)+1,LEN(C417)-FIND(" ",C417)-5)),Справочники!$M$3:$N$14,2,0),VALUE(LEFT(C417,FIND(" ",C417)-1))))),"")</f>
        <v>30359</v>
      </c>
      <c r="J417" s="6">
        <f t="shared" si="222"/>
        <v>43</v>
      </c>
      <c r="K417" t="str">
        <f t="shared" si="223"/>
        <v>ОК</v>
      </c>
      <c r="L417" s="5">
        <f>IFERROR(IF(ISNUMBER(FIND("-",G417)),DATE(VALUE(LEFT(G417,4)),VALUE(MID(G417,6,2)),VALUE(RIGHT(G417,2))),IF(ISNUMBER(FIND(".",G417)),DATE(VALUE(RIGHT(G417,4)),VALUE(MID(G417,4,2)),VALUE(LEFT(G417,2))),DATE(VALUE(RIGHT(G417,4)),VLOOKUP(TRIM(MID(G417,FIND(" ",G417)+1,LEN(G417)-FIND(" ",G417)-5)),Справочники!$M$3:$N$14,2,0),VALUE(LEFT(G417,FIND(" ",G417)-1))))),"")</f>
        <v>48775</v>
      </c>
      <c r="M417" t="str">
        <f t="shared" si="224"/>
        <v xml:space="preserve">+7 (903) 456-78-90</v>
      </c>
      <c r="N417" t="str">
        <f t="shared" si="225"/>
        <v>karnauhov@yandex</v>
      </c>
      <c r="O417" t="str">
        <f t="shared" si="226"/>
        <v xml:space="preserve">Ошибка Email</v>
      </c>
      <c r="P417" t="str">
        <f>IFERROR(VLOOKUP(TRIM(SUBSTITUTE(SUBSTITUTE(" "&amp;F417," г "," "),"г.","")),Справочники!$J$3:$K$102,2,0),TRIM(SUBSTITUTE(SUBSTITUTE(" "&amp;F417," г "," "),"г.","")))</f>
        <v>Орел</v>
      </c>
    </row>
    <row r="418">
      <c r="A418" s="3" t="s">
        <v>2871</v>
      </c>
      <c r="B418" s="3" t="s">
        <v>5710</v>
      </c>
      <c r="C418" s="3" t="s">
        <v>5428</v>
      </c>
      <c r="D418" s="3" t="s">
        <v>3984</v>
      </c>
      <c r="E418" s="3" t="s">
        <v>5711</v>
      </c>
      <c r="F418" s="3" t="s">
        <v>4205</v>
      </c>
      <c r="G418" s="3" t="s">
        <v>5712</v>
      </c>
      <c r="H418" t="str">
        <f t="shared" si="221"/>
        <v xml:space="preserve">Кашкарова Мария Сергеевна</v>
      </c>
      <c r="I418" s="5">
        <f>IFERROR(IF(ISNUMBER(FIND("-",C418)),DATE(VALUE(LEFT(C418,4)),VALUE(MID(C418,6,2)),VALUE(RIGHT(C418,2))),IF(ISNUMBER(FIND(".",C418)),DATE(VALUE(RIGHT(C418,4)),VALUE(MID(C418,4,2)),VALUE(LEFT(C418,2))),DATE(VALUE(RIGHT(C418,4)),VLOOKUP(TRIM(MID(C418,FIND(" ",C418)+1,LEN(C418)-FIND(" ",C418)-5)),Справочники!$M$3:$N$14,2,0),VALUE(LEFT(C418,FIND(" ",C418)-1))))),"")</f>
        <v>33763</v>
      </c>
      <c r="J418" s="6">
        <f t="shared" si="222"/>
        <v>34</v>
      </c>
      <c r="K418" t="str">
        <f t="shared" si="223"/>
        <v>ОК</v>
      </c>
      <c r="L418" s="5">
        <f>IFERROR(IF(ISNUMBER(FIND("-",G418)),DATE(VALUE(LEFT(G418,4)),VALUE(MID(G418,6,2)),VALUE(RIGHT(G418,2))),IF(ISNUMBER(FIND(".",G418)),DATE(VALUE(RIGHT(G418,4)),VALUE(MID(G418,4,2)),VALUE(LEFT(G418,2))),DATE(VALUE(RIGHT(G418,4)),VLOOKUP(TRIM(MID(G418,FIND(" ",G418)+1,LEN(G418)-FIND(" ",G418)-5)),Справочники!$M$3:$N$14,2,0),VALUE(LEFT(G418,FIND(" ",G418)-1))))),"")</f>
        <v>48775</v>
      </c>
      <c r="M418" t="str">
        <f t="shared" si="224"/>
        <v xml:space="preserve">+7 (903) 567-89-01</v>
      </c>
      <c r="N418" t="str">
        <f t="shared" si="225"/>
        <v>kashkarova@gmail</v>
      </c>
      <c r="O418" t="str">
        <f t="shared" si="226"/>
        <v xml:space="preserve">Ошибка Email</v>
      </c>
      <c r="P418" t="str">
        <f>IFERROR(VLOOKUP(TRIM(SUBSTITUTE(SUBSTITUTE(" "&amp;F418," г "," "),"г.","")),Справочники!$J$3:$K$102,2,0),TRIM(SUBSTITUTE(SUBSTITUTE(" "&amp;F418," г "," "),"г.","")))</f>
        <v>Якутск</v>
      </c>
    </row>
    <row r="419">
      <c r="A419" s="3" t="s">
        <v>2872</v>
      </c>
      <c r="B419" s="3" t="s">
        <v>5713</v>
      </c>
      <c r="C419" s="3" t="s">
        <v>5229</v>
      </c>
      <c r="D419" s="3" t="s">
        <v>3990</v>
      </c>
      <c r="E419" s="3" t="s">
        <v>5714</v>
      </c>
      <c r="F419" s="3" t="s">
        <v>4152</v>
      </c>
      <c r="G419" s="3" t="s">
        <v>5715</v>
      </c>
      <c r="H419" t="str">
        <f t="shared" si="221"/>
        <v xml:space="preserve">Лопатин Илья Алексеевич</v>
      </c>
      <c r="I419" s="5">
        <f>IFERROR(IF(ISNUMBER(FIND("-",C419)),DATE(VALUE(LEFT(C419,4)),VALUE(MID(C419,6,2)),VALUE(RIGHT(C419,2))),IF(ISNUMBER(FIND(".",C419)),DATE(VALUE(RIGHT(C419,4)),VALUE(MID(C419,4,2)),VALUE(LEFT(C419,2))),DATE(VALUE(RIGHT(C419,4)),VLOOKUP(TRIM(MID(C419,FIND(" ",C419)+1,LEN(C419)-FIND(" ",C419)-5)),Справочники!$M$3:$N$14,2,0),VALUE(LEFT(C419,FIND(" ",C419)-1))))),"")</f>
        <v>28387</v>
      </c>
      <c r="J419" s="6">
        <f t="shared" si="222"/>
        <v>49</v>
      </c>
      <c r="K419" t="str">
        <f t="shared" si="223"/>
        <v>ОК</v>
      </c>
      <c r="L419" s="5">
        <f>IFERROR(IF(ISNUMBER(FIND("-",G419)),DATE(VALUE(LEFT(G419,4)),VALUE(MID(G419,6,2)),VALUE(RIGHT(G419,2))),IF(ISNUMBER(FIND(".",G419)),DATE(VALUE(RIGHT(G419,4)),VALUE(MID(G419,4,2)),VALUE(LEFT(G419,2))),DATE(VALUE(RIGHT(G419,4)),VLOOKUP(TRIM(MID(G419,FIND(" ",G419)+1,LEN(G419)-FIND(" ",G419)-5)),Справочники!$M$3:$N$14,2,0),VALUE(LEFT(G419,FIND(" ",G419)-1))))),"")</f>
        <v>48792</v>
      </c>
      <c r="M419" t="str">
        <f t="shared" si="224"/>
        <v xml:space="preserve">+7 (903) 567-89-01</v>
      </c>
      <c r="N419" t="str">
        <f t="shared" si="225"/>
        <v>lopatin@mail</v>
      </c>
      <c r="O419" t="str">
        <f t="shared" si="226"/>
        <v xml:space="preserve">Ошибка Email</v>
      </c>
      <c r="P419" t="str">
        <f>IFERROR(VLOOKUP(TRIM(SUBSTITUTE(SUBSTITUTE(" "&amp;F419," г "," "),"г.","")),Справочники!$J$3:$K$102,2,0),TRIM(SUBSTITUTE(SUBSTITUTE(" "&amp;F419," г "," "),"г.","")))</f>
        <v>Чебоксары</v>
      </c>
    </row>
    <row r="420">
      <c r="A420" s="3" t="s">
        <v>2875</v>
      </c>
      <c r="B420" s="3" t="s">
        <v>5716</v>
      </c>
      <c r="C420" s="3" t="s">
        <v>5717</v>
      </c>
      <c r="D420" s="3" t="s">
        <v>1598</v>
      </c>
      <c r="E420" s="3" t="s">
        <v>5718</v>
      </c>
      <c r="F420" s="3" t="s">
        <v>4245</v>
      </c>
      <c r="G420" s="3" t="s">
        <v>5719</v>
      </c>
      <c r="H420" t="str">
        <f t="shared" ref="H420:H483" si="227">PROPER(TRIM(B420))</f>
        <v xml:space="preserve">Хромова Татьяна Викторовна</v>
      </c>
      <c r="I420" s="5">
        <f>IFERROR(IF(ISNUMBER(FIND("-",C420)),DATE(VALUE(LEFT(C420,4)),VALUE(MID(C420,6,2)),VALUE(RIGHT(C420,2))),IF(ISNUMBER(FIND(".",C420)),DATE(VALUE(RIGHT(C420,4)),VALUE(MID(C420,4,2)),VALUE(LEFT(C420,2))),DATE(VALUE(RIGHT(C420,4)),VLOOKUP(TRIM(MID(C420,FIND(" ",C420)+1,LEN(C420)-FIND(" ",C420)-5)),Справочники!$M$3:$N$14,2,0),VALUE(LEFT(C420,FIND(" ",C420)-1))))),"")</f>
        <v>30766</v>
      </c>
      <c r="J420" s="6">
        <f t="shared" ref="J420:J483" si="228">IF(I420="","",DATEDIF(I420,TODAY(),"Y"))</f>
        <v>42</v>
      </c>
      <c r="K420" t="str">
        <f t="shared" ref="K420:K483" si="229">IF(OR(I420="",J420&lt;18,J420&gt;120),"Ошибка даты рождения","ОК")</f>
        <v>ОК</v>
      </c>
      <c r="L420" s="5">
        <f>IFERROR(IF(ISNUMBER(FIND("-",G420)),DATE(VALUE(LEFT(G420,4)),VALUE(MID(G420,6,2)),VALUE(RIGHT(G420,2))),IF(ISNUMBER(FIND(".",G420)),DATE(VALUE(RIGHT(G420,4)),VALUE(MID(G420,4,2)),VALUE(LEFT(G420,2))),DATE(VALUE(RIGHT(G420,4)),VLOOKUP(TRIM(MID(G420,FIND(" ",G420)+1,LEN(G420)-FIND(" ",G420)-5)),Справочники!$M$3:$N$14,2,0),VALUE(LEFT(G420,FIND(" ",G420)-1))))),"")</f>
        <v>48801</v>
      </c>
      <c r="M420" t="str">
        <f t="shared" ref="M420:M483" si="230">IF(LEN(SUBSTITUTE(SUBSTITUTE(SUBSTITUTE(SUBSTITUTE(SUBSTITUTE(D420,"+",""),"-","")," ",""),"(",""),")",""))&lt;10,"Ошибка телефона","+7 ("&amp;MID(RIGHT(SUBSTITUTE(SUBSTITUTE(SUBSTITUTE(SUBSTITUTE(SUBSTITUTE(D420,"+",""),"-","")," ",""),"(",""),")",""),10),1,3)&amp;") "&amp;MID(RIGHT(SUBSTITUTE(SUBSTITUTE(SUBSTITUTE(SUBSTITUTE(SUBSTITUTE(D420,"+",""),"-","")," ",""),"(",""),")",""),10),4,3)&amp;"-"&amp;MID(RIGHT(SUBSTITUTE(SUBSTITUTE(SUBSTITUTE(SUBSTITUTE(SUBSTITUTE(D420,"+",""),"-","")," ",""),"(",""),")",""),10),7,2)&amp;"-"&amp;RIGHT(SUBSTITUTE(SUBSTITUTE(SUBSTITUTE(SUBSTITUTE(SUBSTITUTE(D420,"+",""),"-","")," ",""),"(",""),")",""),2))</f>
        <v xml:space="preserve">+7 (903) 567-89-01</v>
      </c>
      <c r="N420" t="str">
        <f t="shared" ref="N420:N483" si="231">LOWER(SUBSTITUTE(TRIM(E420)," ",""))</f>
        <v>hromova@yandex</v>
      </c>
      <c r="O420" t="str">
        <f t="shared" ref="O420:O483" si="232">IF(AND(ISNUMBER(FIND("@",N420)),ISNUMBER(FIND(".",N420,FIND("@",N420)+2))),"ОК","Ошибка Email")</f>
        <v xml:space="preserve">Ошибка Email</v>
      </c>
      <c r="P420" t="str">
        <f>IFERROR(VLOOKUP(TRIM(SUBSTITUTE(SUBSTITUTE(" "&amp;F420," г "," "),"г.","")),Справочники!$J$3:$K$102,2,0),TRIM(SUBSTITUTE(SUBSTITUTE(" "&amp;F420," г "," "),"г.","")))</f>
        <v>Мурманск</v>
      </c>
    </row>
    <row r="421">
      <c r="A421" s="3" t="s">
        <v>2877</v>
      </c>
      <c r="B421" s="3" t="s">
        <v>5720</v>
      </c>
      <c r="C421" s="3" t="s">
        <v>5721</v>
      </c>
      <c r="D421" s="3" t="s">
        <v>4116</v>
      </c>
      <c r="E421" s="3" t="s">
        <v>5722</v>
      </c>
      <c r="F421" s="3" t="s">
        <v>4235</v>
      </c>
      <c r="G421" s="3" t="s">
        <v>5723</v>
      </c>
      <c r="H421" t="str">
        <f t="shared" si="227"/>
        <v xml:space="preserve">Коптев Денис Олегович</v>
      </c>
      <c r="I421" s="5">
        <f>IFERROR(IF(ISNUMBER(FIND("-",C421)),DATE(VALUE(LEFT(C421,4)),VALUE(MID(C421,6,2)),VALUE(RIGHT(C421,2))),IF(ISNUMBER(FIND(".",C421)),DATE(VALUE(RIGHT(C421,4)),VALUE(MID(C421,4,2)),VALUE(LEFT(C421,2))),DATE(VALUE(RIGHT(C421,4)),VLOOKUP(TRIM(MID(C421,FIND(" ",C421)+1,LEN(C421)-FIND(" ",C421)-5)),Справочники!$M$3:$N$14,2,0),VALUE(LEFT(C421,FIND(" ",C421)-1))))),"")</f>
        <v>34316</v>
      </c>
      <c r="J421" s="6">
        <f t="shared" si="228"/>
        <v>32</v>
      </c>
      <c r="K421" t="str">
        <f t="shared" si="229"/>
        <v>ОК</v>
      </c>
      <c r="L421" s="5">
        <f>IFERROR(IF(ISNUMBER(FIND("-",G421)),DATE(VALUE(LEFT(G421,4)),VALUE(MID(G421,6,2)),VALUE(RIGHT(G421,2))),IF(ISNUMBER(FIND(".",G421)),DATE(VALUE(RIGHT(G421,4)),VALUE(MID(G421,4,2)),VALUE(LEFT(G421,2))),DATE(VALUE(RIGHT(G421,4)),VLOOKUP(TRIM(MID(G421,FIND(" ",G421)+1,LEN(G421)-FIND(" ",G421)-5)),Справочники!$M$3:$N$14,2,0),VALUE(LEFT(G421,FIND(" ",G421)-1))))),"")</f>
        <v>48801</v>
      </c>
      <c r="M421" t="str">
        <f t="shared" si="230"/>
        <v xml:space="preserve">+7 (903) 678-90-12</v>
      </c>
      <c r="N421" t="str">
        <f t="shared" si="231"/>
        <v>koptiev@gmail</v>
      </c>
      <c r="O421" t="str">
        <f t="shared" si="232"/>
        <v xml:space="preserve">Ошибка Email</v>
      </c>
      <c r="P421" t="str">
        <f>IFERROR(VLOOKUP(TRIM(SUBSTITUTE(SUBSTITUTE(" "&amp;F421," г "," "),"г.","")),Справочники!$J$3:$K$102,2,0),TRIM(SUBSTITUTE(SUBSTITUTE(" "&amp;F421," г "," "),"г.","")))</f>
        <v>Смоленск</v>
      </c>
    </row>
    <row r="422">
      <c r="A422" s="3" t="s">
        <v>2880</v>
      </c>
      <c r="B422" s="3" t="s">
        <v>5724</v>
      </c>
      <c r="C422" s="3" t="s">
        <v>5725</v>
      </c>
      <c r="D422" s="3" t="s">
        <v>4122</v>
      </c>
      <c r="E422" s="3" t="s">
        <v>5726</v>
      </c>
      <c r="F422" s="3" t="s">
        <v>4220</v>
      </c>
      <c r="G422" s="3" t="s">
        <v>5727</v>
      </c>
      <c r="H422" t="str">
        <f t="shared" si="227"/>
        <v xml:space="preserve">Теплова Екатерина Сергеевна</v>
      </c>
      <c r="I422" s="5">
        <f>IFERROR(IF(ISNUMBER(FIND("-",C422)),DATE(VALUE(LEFT(C422,4)),VALUE(MID(C422,6,2)),VALUE(RIGHT(C422,2))),IF(ISNUMBER(FIND(".",C422)),DATE(VALUE(RIGHT(C422,4)),VALUE(MID(C422,4,2)),VALUE(LEFT(C422,2))),DATE(VALUE(RIGHT(C422,4)),VLOOKUP(TRIM(MID(C422,FIND(" ",C422)+1,LEN(C422)-FIND(" ",C422)-5)),Справочники!$M$3:$N$14,2,0),VALUE(LEFT(C422,FIND(" ",C422)-1))))),"")</f>
        <v>25781</v>
      </c>
      <c r="J422" s="6">
        <f t="shared" si="228"/>
        <v>56</v>
      </c>
      <c r="K422" t="str">
        <f t="shared" si="229"/>
        <v>ОК</v>
      </c>
      <c r="L422" s="5">
        <f>IFERROR(IF(ISNUMBER(FIND("-",G422)),DATE(VALUE(LEFT(G422,4)),VALUE(MID(G422,6,2)),VALUE(RIGHT(G422,2))),IF(ISNUMBER(FIND(".",G422)),DATE(VALUE(RIGHT(G422,4)),VALUE(MID(G422,4,2)),VALUE(LEFT(G422,2))),DATE(VALUE(RIGHT(G422,4)),VLOOKUP(TRIM(MID(G422,FIND(" ",G422)+1,LEN(G422)-FIND(" ",G422)-5)),Справочники!$M$3:$N$14,2,0),VALUE(LEFT(G422,FIND(" ",G422)-1))))),"")</f>
        <v>48823</v>
      </c>
      <c r="M422" t="str">
        <f t="shared" si="230"/>
        <v xml:space="preserve">+7 (903) 678-90-12</v>
      </c>
      <c r="N422" t="str">
        <f t="shared" si="231"/>
        <v>teplova@mail</v>
      </c>
      <c r="O422" t="str">
        <f t="shared" si="232"/>
        <v xml:space="preserve">Ошибка Email</v>
      </c>
      <c r="P422" t="str">
        <f>IFERROR(VLOOKUP(TRIM(SUBSTITUTE(SUBSTITUTE(" "&amp;F422," г "," "),"г.","")),Справочники!$J$3:$K$102,2,0),TRIM(SUBSTITUTE(SUBSTITUTE(" "&amp;F422," г "," "),"г.","")))</f>
        <v>Тула</v>
      </c>
    </row>
    <row r="423">
      <c r="A423" s="3" t="s">
        <v>2882</v>
      </c>
      <c r="B423" s="3" t="s">
        <v>5728</v>
      </c>
      <c r="C423" s="3" t="s">
        <v>4927</v>
      </c>
      <c r="D423" s="3" t="s">
        <v>1605</v>
      </c>
      <c r="E423" s="3" t="s">
        <v>5729</v>
      </c>
      <c r="F423" s="3" t="s">
        <v>4225</v>
      </c>
      <c r="G423" s="3" t="s">
        <v>5730</v>
      </c>
      <c r="H423" t="str">
        <f t="shared" si="227"/>
        <v xml:space="preserve">Гриднева Ольга Павловна</v>
      </c>
      <c r="I423" s="5">
        <f>IFERROR(IF(ISNUMBER(FIND("-",C423)),DATE(VALUE(LEFT(C423,4)),VALUE(MID(C423,6,2)),VALUE(RIGHT(C423,2))),IF(ISNUMBER(FIND(".",C423)),DATE(VALUE(RIGHT(C423,4)),VALUE(MID(C423,4,2)),VALUE(LEFT(C423,2))),DATE(VALUE(RIGHT(C423,4)),VLOOKUP(TRIM(MID(C423,FIND(" ",C423)+1,LEN(C423)-FIND(" ",C423)-5)),Справочники!$M$3:$N$14,2,0),VALUE(LEFT(C423,FIND(" ",C423)-1))))),"")</f>
        <v>31518</v>
      </c>
      <c r="J423" s="6">
        <f t="shared" si="228"/>
        <v>40</v>
      </c>
      <c r="K423" t="str">
        <f t="shared" si="229"/>
        <v>ОК</v>
      </c>
      <c r="L423" s="5">
        <f>IFERROR(IF(ISNUMBER(FIND("-",G423)),DATE(VALUE(LEFT(G423,4)),VALUE(MID(G423,6,2)),VALUE(RIGHT(G423,2))),IF(ISNUMBER(FIND(".",G423)),DATE(VALUE(RIGHT(G423,4)),VALUE(MID(G423,4,2)),VALUE(LEFT(G423,2))),DATE(VALUE(RIGHT(G423,4)),VLOOKUP(TRIM(MID(G423,FIND(" ",G423)+1,LEN(G423)-FIND(" ",G423)-5)),Справочники!$M$3:$N$14,2,0),VALUE(LEFT(G423,FIND(" ",G423)-1))))),"")</f>
        <v>48837</v>
      </c>
      <c r="M423" t="str">
        <f t="shared" si="230"/>
        <v xml:space="preserve">+7 (903) 678-90-12</v>
      </c>
      <c r="N423" t="str">
        <f t="shared" si="231"/>
        <v>gridneva@yandex</v>
      </c>
      <c r="O423" t="str">
        <f t="shared" si="232"/>
        <v xml:space="preserve">Ошибка Email</v>
      </c>
      <c r="P423" t="str">
        <f>IFERROR(VLOOKUP(TRIM(SUBSTITUTE(SUBSTITUTE(" "&amp;F423," г "," "),"г.","")),Справочники!$J$3:$K$102,2,0),TRIM(SUBSTITUTE(SUBSTITUTE(" "&amp;F423," г "," "),"г.","")))</f>
        <v>Калуга</v>
      </c>
    </row>
    <row r="424">
      <c r="A424" s="3" t="s">
        <v>2884</v>
      </c>
      <c r="B424" s="3" t="s">
        <v>5731</v>
      </c>
      <c r="C424" s="3" t="s">
        <v>5213</v>
      </c>
      <c r="D424" s="3" t="s">
        <v>4001</v>
      </c>
      <c r="E424" s="3" t="s">
        <v>5732</v>
      </c>
      <c r="F424" s="3" t="s">
        <v>4230</v>
      </c>
      <c r="G424" s="3" t="s">
        <v>5733</v>
      </c>
      <c r="H424" t="str">
        <f t="shared" si="227"/>
        <v xml:space="preserve">Мордасов Андрей Владимирович</v>
      </c>
      <c r="I424" s="5">
        <f>IFERROR(IF(ISNUMBER(FIND("-",C424)),DATE(VALUE(LEFT(C424,4)),VALUE(MID(C424,6,2)),VALUE(RIGHT(C424,2))),IF(ISNUMBER(FIND(".",C424)),DATE(VALUE(RIGHT(C424,4)),VALUE(MID(C424,4,2)),VALUE(LEFT(C424,2))),DATE(VALUE(RIGHT(C424,4)),VLOOKUP(TRIM(MID(C424,FIND(" ",C424)+1,LEN(C424)-FIND(" ",C424)-5)),Справочники!$M$3:$N$14,2,0),VALUE(LEFT(C424,FIND(" ",C424)-1))))),"")</f>
        <v>29947</v>
      </c>
      <c r="J424" s="6">
        <f t="shared" si="228"/>
        <v>44</v>
      </c>
      <c r="K424" t="str">
        <f t="shared" si="229"/>
        <v>ОК</v>
      </c>
      <c r="L424" s="5">
        <f>IFERROR(IF(ISNUMBER(FIND("-",G424)),DATE(VALUE(LEFT(G424,4)),VALUE(MID(G424,6,2)),VALUE(RIGHT(G424,2))),IF(ISNUMBER(FIND(".",G424)),DATE(VALUE(RIGHT(G424,4)),VALUE(MID(G424,4,2)),VALUE(LEFT(G424,2))),DATE(VALUE(RIGHT(G424,4)),VLOOKUP(TRIM(MID(G424,FIND(" ",G424)+1,LEN(G424)-FIND(" ",G424)-5)),Справочники!$M$3:$N$14,2,0),VALUE(LEFT(G424,FIND(" ",G424)-1))))),"")</f>
        <v>48837</v>
      </c>
      <c r="M424" t="str">
        <f t="shared" si="230"/>
        <v xml:space="preserve">+7 (903) 789-01-23</v>
      </c>
      <c r="N424" t="str">
        <f t="shared" si="231"/>
        <v>mordasov@gmail</v>
      </c>
      <c r="O424" t="str">
        <f t="shared" si="232"/>
        <v xml:space="preserve">Ошибка Email</v>
      </c>
      <c r="P424" t="str">
        <f>IFERROR(VLOOKUP(TRIM(SUBSTITUTE(SUBSTITUTE(" "&amp;F424," г "," "),"г.","")),Справочники!$J$3:$K$102,2,0),TRIM(SUBSTITUTE(SUBSTITUTE(" "&amp;F424," г "," "),"г.","")))</f>
        <v>Владикавказ</v>
      </c>
    </row>
    <row r="425">
      <c r="A425" s="3" t="s">
        <v>2885</v>
      </c>
      <c r="B425" s="3" t="s">
        <v>5734</v>
      </c>
      <c r="C425" s="3" t="s">
        <v>5735</v>
      </c>
      <c r="D425" s="3" t="s">
        <v>4138</v>
      </c>
      <c r="E425" s="3" t="s">
        <v>5736</v>
      </c>
      <c r="F425" s="3" t="s">
        <v>4235</v>
      </c>
      <c r="G425" s="3" t="s">
        <v>5737</v>
      </c>
      <c r="H425" t="str">
        <f t="shared" si="227"/>
        <v xml:space="preserve">Пашкова Ирина Сергеевна</v>
      </c>
      <c r="I425" s="5">
        <f>IFERROR(IF(ISNUMBER(FIND("-",C425)),DATE(VALUE(LEFT(C425,4)),VALUE(MID(C425,6,2)),VALUE(RIGHT(C425,2))),IF(ISNUMBER(FIND(".",C425)),DATE(VALUE(RIGHT(C425,4)),VALUE(MID(C425,4,2)),VALUE(LEFT(C425,2))),DATE(VALUE(RIGHT(C425,4)),VLOOKUP(TRIM(MID(C425,FIND(" ",C425)+1,LEN(C425)-FIND(" ",C425)-5)),Справочники!$M$3:$N$14,2,0),VALUE(LEFT(C425,FIND(" ",C425)-1))))),"")</f>
        <v>27677</v>
      </c>
      <c r="J425" s="6">
        <f t="shared" si="228"/>
        <v>51</v>
      </c>
      <c r="K425" t="str">
        <f t="shared" si="229"/>
        <v>ОК</v>
      </c>
      <c r="L425" s="5">
        <f>IFERROR(IF(ISNUMBER(FIND("-",G425)),DATE(VALUE(LEFT(G425,4)),VALUE(MID(G425,6,2)),VALUE(RIGHT(G425,2))),IF(ISNUMBER(FIND(".",G425)),DATE(VALUE(RIGHT(G425,4)),VALUE(MID(G425,4,2)),VALUE(LEFT(G425,2))),DATE(VALUE(RIGHT(G425,4)),VLOOKUP(TRIM(MID(G425,FIND(" ",G425)+1,LEN(G425)-FIND(" ",G425)-5)),Справочники!$M$3:$N$14,2,0),VALUE(LEFT(G425,FIND(" ",G425)-1))))),"")</f>
        <v>48853</v>
      </c>
      <c r="M425" t="str">
        <f t="shared" si="230"/>
        <v xml:space="preserve">+7 (903) 789-01-23</v>
      </c>
      <c r="N425" t="str">
        <f t="shared" si="231"/>
        <v>pashkova@mail</v>
      </c>
      <c r="O425" t="str">
        <f t="shared" si="232"/>
        <v xml:space="preserve">Ошибка Email</v>
      </c>
      <c r="P425" t="str">
        <f>IFERROR(VLOOKUP(TRIM(SUBSTITUTE(SUBSTITUTE(" "&amp;F425," г "," "),"г.","")),Справочники!$J$3:$K$102,2,0),TRIM(SUBSTITUTE(SUBSTITUTE(" "&amp;F425," г "," "),"г.","")))</f>
        <v>Смоленск</v>
      </c>
    </row>
    <row r="426">
      <c r="A426" s="3" t="s">
        <v>2887</v>
      </c>
      <c r="B426" s="3" t="s">
        <v>5738</v>
      </c>
      <c r="C426" s="3" t="s">
        <v>5739</v>
      </c>
      <c r="D426" s="3" t="s">
        <v>4144</v>
      </c>
      <c r="E426" s="3" t="s">
        <v>5740</v>
      </c>
      <c r="F426" s="3" t="s">
        <v>4240</v>
      </c>
      <c r="G426" s="3" t="s">
        <v>5741</v>
      </c>
      <c r="H426" t="str">
        <f t="shared" si="227"/>
        <v xml:space="preserve">Скрипкин Илья Олегович</v>
      </c>
      <c r="I426" s="5">
        <f>IFERROR(IF(ISNUMBER(FIND("-",C426)),DATE(VALUE(LEFT(C426,4)),VALUE(MID(C426,6,2)),VALUE(RIGHT(C426,2))),IF(ISNUMBER(FIND(".",C426)),DATE(VALUE(RIGHT(C426,4)),VALUE(MID(C426,4,2)),VALUE(LEFT(C426,2))),DATE(VALUE(RIGHT(C426,4)),VLOOKUP(TRIM(MID(C426,FIND(" ",C426)+1,LEN(C426)-FIND(" ",C426)-5)),Справочники!$M$3:$N$14,2,0),VALUE(LEFT(C426,FIND(" ",C426)-1))))),"")</f>
        <v>32266</v>
      </c>
      <c r="J426" s="6">
        <f t="shared" si="228"/>
        <v>38</v>
      </c>
      <c r="K426" t="str">
        <f t="shared" si="229"/>
        <v>ОК</v>
      </c>
      <c r="L426" s="5">
        <f>IFERROR(IF(ISNUMBER(FIND("-",G426)),DATE(VALUE(LEFT(G426,4)),VALUE(MID(G426,6,2)),VALUE(RIGHT(G426,2))),IF(ISNUMBER(FIND(".",G426)),DATE(VALUE(RIGHT(G426,4)),VALUE(MID(G426,4,2)),VALUE(LEFT(G426,2))),DATE(VALUE(RIGHT(G426,4)),VLOOKUP(TRIM(MID(G426,FIND(" ",G426)+1,LEN(G426)-FIND(" ",G426)-5)),Справочники!$M$3:$N$14,2,0),VALUE(LEFT(G426,FIND(" ",G426)-1))))),"")</f>
        <v>48862</v>
      </c>
      <c r="M426" t="str">
        <f t="shared" si="230"/>
        <v xml:space="preserve">+7 (903) 789-01-23</v>
      </c>
      <c r="N426" t="str">
        <f t="shared" si="231"/>
        <v>skripkin@yandex</v>
      </c>
      <c r="O426" t="str">
        <f t="shared" si="232"/>
        <v xml:space="preserve">Ошибка Email</v>
      </c>
      <c r="P426" t="str">
        <f>IFERROR(VLOOKUP(TRIM(SUBSTITUTE(SUBSTITUTE(" "&amp;F426," г "," "),"г.","")),Справочники!$J$3:$K$102,2,0),TRIM(SUBSTITUTE(SUBSTITUTE(" "&amp;F426," г "," "),"г.","")))</f>
        <v>Белгород</v>
      </c>
    </row>
    <row r="427">
      <c r="A427" s="3" t="s">
        <v>2889</v>
      </c>
      <c r="B427" s="3" t="s">
        <v>5742</v>
      </c>
      <c r="C427" s="3" t="s">
        <v>5743</v>
      </c>
      <c r="D427" s="3" t="s">
        <v>4150</v>
      </c>
      <c r="E427" s="3" t="s">
        <v>5744</v>
      </c>
      <c r="F427" s="3" t="s">
        <v>4245</v>
      </c>
      <c r="G427" s="3" t="s">
        <v>5745</v>
      </c>
      <c r="H427" t="str">
        <f t="shared" si="227"/>
        <v xml:space="preserve">Кузовкина Мария Алексеевна</v>
      </c>
      <c r="I427" s="5">
        <f>IFERROR(IF(ISNUMBER(FIND("-",C427)),DATE(VALUE(LEFT(C427,4)),VALUE(MID(C427,6,2)),VALUE(RIGHT(C427,2))),IF(ISNUMBER(FIND(".",C427)),DATE(VALUE(RIGHT(C427,4)),VALUE(MID(C427,4,2)),VALUE(LEFT(C427,2))),DATE(VALUE(RIGHT(C427,4)),VLOOKUP(TRIM(MID(C427,FIND(" ",C427)+1,LEN(C427)-FIND(" ",C427)-5)),Справочники!$M$3:$N$14,2,0),VALUE(LEFT(C427,FIND(" ",C427)-1))))),"")</f>
        <v>34599</v>
      </c>
      <c r="J427" s="6">
        <f t="shared" si="228"/>
        <v>32</v>
      </c>
      <c r="K427" t="str">
        <f t="shared" si="229"/>
        <v>ОК</v>
      </c>
      <c r="L427" s="5">
        <f>IFERROR(IF(ISNUMBER(FIND("-",G427)),DATE(VALUE(LEFT(G427,4)),VALUE(MID(G427,6,2)),VALUE(RIGHT(G427,2))),IF(ISNUMBER(FIND(".",G427)),DATE(VALUE(RIGHT(G427,4)),VALUE(MID(G427,4,2)),VALUE(LEFT(G427,2))),DATE(VALUE(RIGHT(G427,4)),VLOOKUP(TRIM(MID(G427,FIND(" ",G427)+1,LEN(G427)-FIND(" ",G427)-5)),Справочники!$M$3:$N$14,2,0),VALUE(LEFT(G427,FIND(" ",G427)-1))))),"")</f>
        <v>48862</v>
      </c>
      <c r="M427" t="str">
        <f t="shared" si="230"/>
        <v xml:space="preserve">+7 (903) 890-12-34</v>
      </c>
      <c r="N427" t="str">
        <f t="shared" si="231"/>
        <v>kuzovkina@gmail</v>
      </c>
      <c r="O427" t="str">
        <f t="shared" si="232"/>
        <v xml:space="preserve">Ошибка Email</v>
      </c>
      <c r="P427" t="str">
        <f>IFERROR(VLOOKUP(TRIM(SUBSTITUTE(SUBSTITUTE(" "&amp;F427," г "," "),"г.","")),Справочники!$J$3:$K$102,2,0),TRIM(SUBSTITUTE(SUBSTITUTE(" "&amp;F427," г "," "),"г.","")))</f>
        <v>Мурманск</v>
      </c>
    </row>
    <row r="428">
      <c r="A428" s="3" t="s">
        <v>2892</v>
      </c>
      <c r="B428" s="3" t="s">
        <v>5746</v>
      </c>
      <c r="C428" s="3" t="s">
        <v>5747</v>
      </c>
      <c r="D428" s="3" t="s">
        <v>4007</v>
      </c>
      <c r="E428" s="3" t="s">
        <v>5748</v>
      </c>
      <c r="F428" s="3" t="s">
        <v>4250</v>
      </c>
      <c r="G428" s="3" t="s">
        <v>5749</v>
      </c>
      <c r="H428" t="str">
        <f t="shared" si="227"/>
        <v xml:space="preserve">Хабаров Денис Николаевич</v>
      </c>
      <c r="I428" s="5">
        <f>IFERROR(IF(ISNUMBER(FIND("-",C428)),DATE(VALUE(LEFT(C428,4)),VALUE(MID(C428,6,2)),VALUE(RIGHT(C428,2))),IF(ISNUMBER(FIND(".",C428)),DATE(VALUE(RIGHT(C428,4)),VALUE(MID(C428,4,2)),VALUE(LEFT(C428,2))),DATE(VALUE(RIGHT(C428,4)),VLOOKUP(TRIM(MID(C428,FIND(" ",C428)+1,LEN(C428)-FIND(" ",C428)-5)),Справочники!$M$3:$N$14,2,0),VALUE(LEFT(C428,FIND(" ",C428)-1))))),"")</f>
        <v>27804</v>
      </c>
      <c r="J428" s="6">
        <f t="shared" si="228"/>
        <v>50</v>
      </c>
      <c r="K428" t="str">
        <f t="shared" si="229"/>
        <v>ОК</v>
      </c>
      <c r="L428" s="5">
        <f>IFERROR(IF(ISNUMBER(FIND("-",G428)),DATE(VALUE(LEFT(G428,4)),VALUE(MID(G428,6,2)),VALUE(RIGHT(G428,2))),IF(ISNUMBER(FIND(".",G428)),DATE(VALUE(RIGHT(G428,4)),VALUE(MID(G428,4,2)),VALUE(LEFT(G428,2))),DATE(VALUE(RIGHT(G428,4)),VLOOKUP(TRIM(MID(G428,FIND(" ",G428)+1,LEN(G428)-FIND(" ",G428)-5)),Справочники!$M$3:$N$14,2,0),VALUE(LEFT(G428,FIND(" ",G428)-1))))),"")</f>
        <v>48884</v>
      </c>
      <c r="M428" t="str">
        <f t="shared" si="230"/>
        <v xml:space="preserve">+7 (903) 890-12-34</v>
      </c>
      <c r="N428" t="str">
        <f t="shared" si="231"/>
        <v>habarov@mail</v>
      </c>
      <c r="O428" t="str">
        <f t="shared" si="232"/>
        <v xml:space="preserve">Ошибка Email</v>
      </c>
      <c r="P428" t="str">
        <f>IFERROR(VLOOKUP(TRIM(SUBSTITUTE(SUBSTITUTE(" "&amp;F428," г "," "),"г.","")),Справочники!$J$3:$K$102,2,0),TRIM(SUBSTITUTE(SUBSTITUTE(" "&amp;F428," г "," "),"г.","")))</f>
        <v>Ставрополь</v>
      </c>
    </row>
    <row r="429">
      <c r="A429" s="3" t="s">
        <v>2894</v>
      </c>
      <c r="B429" s="3" t="s">
        <v>5750</v>
      </c>
      <c r="C429" s="3" t="s">
        <v>5751</v>
      </c>
      <c r="D429" s="3" t="s">
        <v>1619</v>
      </c>
      <c r="E429" s="3" t="s">
        <v>5752</v>
      </c>
      <c r="F429" s="3" t="s">
        <v>4255</v>
      </c>
      <c r="G429" s="3" t="s">
        <v>5753</v>
      </c>
      <c r="H429" t="str">
        <f t="shared" si="227"/>
        <v xml:space="preserve">Фирсова Екатерина Викторовна</v>
      </c>
      <c r="I429" s="5">
        <f>IFERROR(IF(ISNUMBER(FIND("-",C429)),DATE(VALUE(LEFT(C429,4)),VALUE(MID(C429,6,2)),VALUE(RIGHT(C429,2))),IF(ISNUMBER(FIND(".",C429)),DATE(VALUE(RIGHT(C429,4)),VALUE(MID(C429,4,2)),VALUE(LEFT(C429,2))),DATE(VALUE(RIGHT(C429,4)),VLOOKUP(TRIM(MID(C429,FIND(" ",C429)+1,LEN(C429)-FIND(" ",C429)-5)),Справочники!$M$3:$N$14,2,0),VALUE(LEFT(C429,FIND(" ",C429)-1))))),"")</f>
        <v>30274</v>
      </c>
      <c r="J429" s="6">
        <f t="shared" si="228"/>
        <v>43</v>
      </c>
      <c r="K429" t="str">
        <f t="shared" si="229"/>
        <v>ОК</v>
      </c>
      <c r="L429" s="5">
        <f>IFERROR(IF(ISNUMBER(FIND("-",G429)),DATE(VALUE(LEFT(G429,4)),VALUE(MID(G429,6,2)),VALUE(RIGHT(G429,2))),IF(ISNUMBER(FIND(".",G429)),DATE(VALUE(RIGHT(G429,4)),VALUE(MID(G429,4,2)),VALUE(LEFT(G429,2))),DATE(VALUE(RIGHT(G429,4)),VLOOKUP(TRIM(MID(G429,FIND(" ",G429)+1,LEN(G429)-FIND(" ",G429)-5)),Справочники!$M$3:$N$14,2,0),VALUE(LEFT(G429,FIND(" ",G429)-1))))),"")</f>
        <v>48898</v>
      </c>
      <c r="M429" t="str">
        <f t="shared" si="230"/>
        <v xml:space="preserve">+7 (903) 890-12-34</v>
      </c>
      <c r="N429" t="str">
        <f t="shared" si="231"/>
        <v>firsova@yandex</v>
      </c>
      <c r="O429" t="str">
        <f t="shared" si="232"/>
        <v xml:space="preserve">Ошибка Email</v>
      </c>
      <c r="P429" t="str">
        <f>IFERROR(VLOOKUP(TRIM(SUBSTITUTE(SUBSTITUTE(" "&amp;F429," г "," "),"г.","")),Справочники!$J$3:$K$102,2,0),TRIM(SUBSTITUTE(SUBSTITUTE(" "&amp;F429," г "," "),"г.","")))</f>
        <v>Севастополь</v>
      </c>
    </row>
    <row r="430">
      <c r="A430" s="3" t="s">
        <v>2897</v>
      </c>
      <c r="B430" s="3" t="s">
        <v>5754</v>
      </c>
      <c r="C430" s="3" t="s">
        <v>5755</v>
      </c>
      <c r="D430" s="3" t="s">
        <v>4018</v>
      </c>
      <c r="E430" s="3" t="s">
        <v>5756</v>
      </c>
      <c r="F430" s="3" t="s">
        <v>4260</v>
      </c>
      <c r="G430" s="3" t="s">
        <v>5757</v>
      </c>
      <c r="H430" t="str">
        <f t="shared" si="227"/>
        <v xml:space="preserve">Саблин Андрей Павлович</v>
      </c>
      <c r="I430" s="5">
        <f>IFERROR(IF(ISNUMBER(FIND("-",C430)),DATE(VALUE(LEFT(C430,4)),VALUE(MID(C430,6,2)),VALUE(RIGHT(C430,2))),IF(ISNUMBER(FIND(".",C430)),DATE(VALUE(RIGHT(C430,4)),VALUE(MID(C430,4,2)),VALUE(LEFT(C430,2))),DATE(VALUE(RIGHT(C430,4)),VLOOKUP(TRIM(MID(C430,FIND(" ",C430)+1,LEN(C430)-FIND(" ",C430)-5)),Справочники!$M$3:$N$14,2,0),VALUE(LEFT(C430,FIND(" ",C430)-1))))),"")</f>
        <v>33032</v>
      </c>
      <c r="J430" s="6">
        <f t="shared" si="228"/>
        <v>36</v>
      </c>
      <c r="K430" t="str">
        <f t="shared" si="229"/>
        <v>ОК</v>
      </c>
      <c r="L430" s="5">
        <f>IFERROR(IF(ISNUMBER(FIND("-",G430)),DATE(VALUE(LEFT(G430,4)),VALUE(MID(G430,6,2)),VALUE(RIGHT(G430,2))),IF(ISNUMBER(FIND(".",G430)),DATE(VALUE(RIGHT(G430,4)),VALUE(MID(G430,4,2)),VALUE(LEFT(G430,2))),DATE(VALUE(RIGHT(G430,4)),VLOOKUP(TRIM(MID(G430,FIND(" ",G430)+1,LEN(G430)-FIND(" ",G430)-5)),Справочники!$M$3:$N$14,2,0),VALUE(LEFT(G430,FIND(" ",G430)-1))))),"")</f>
        <v>48898</v>
      </c>
      <c r="M430" t="str">
        <f t="shared" si="230"/>
        <v xml:space="preserve">+7 (903) 901-23-45</v>
      </c>
      <c r="N430" t="str">
        <f t="shared" si="231"/>
        <v>sablin@gmail</v>
      </c>
      <c r="O430" t="str">
        <f t="shared" si="232"/>
        <v xml:space="preserve">Ошибка Email</v>
      </c>
      <c r="P430" t="str">
        <f>IFERROR(VLOOKUP(TRIM(SUBSTITUTE(SUBSTITUTE(" "&amp;F430," г "," "),"г.","")),Справочники!$J$3:$K$102,2,0),TRIM(SUBSTITUTE(SUBSTITUTE(" "&amp;F430," г "," "),"г.","")))</f>
        <v>Сочи</v>
      </c>
    </row>
    <row r="431">
      <c r="A431" s="3" t="s">
        <v>2899</v>
      </c>
      <c r="B431" s="3" t="s">
        <v>5758</v>
      </c>
      <c r="C431" s="3" t="s">
        <v>5759</v>
      </c>
      <c r="D431" s="3" t="s">
        <v>1626</v>
      </c>
      <c r="E431" s="3" t="s">
        <v>5760</v>
      </c>
      <c r="F431" s="3" t="s">
        <v>4265</v>
      </c>
      <c r="G431" s="3" t="s">
        <v>5761</v>
      </c>
      <c r="H431" t="str">
        <f t="shared" si="227"/>
        <v xml:space="preserve">Сиднева Ольга Сергеевна</v>
      </c>
      <c r="I431" s="5">
        <f>IFERROR(IF(ISNUMBER(FIND("-",C431)),DATE(VALUE(LEFT(C431,4)),VALUE(MID(C431,6,2)),VALUE(RIGHT(C431,2))),IF(ISNUMBER(FIND(".",C431)),DATE(VALUE(RIGHT(C431,4)),VALUE(MID(C431,4,2)),VALUE(LEFT(C431,2))),DATE(VALUE(RIGHT(C431,4)),VLOOKUP(TRIM(MID(C431,FIND(" ",C431)+1,LEN(C431)-FIND(" ",C431)-5)),Справочники!$M$3:$N$14,2,0),VALUE(LEFT(C431,FIND(" ",C431)-1))))),"")</f>
        <v>28580</v>
      </c>
      <c r="J431" s="6">
        <f t="shared" si="228"/>
        <v>48</v>
      </c>
      <c r="K431" t="str">
        <f t="shared" si="229"/>
        <v>ОК</v>
      </c>
      <c r="L431" s="5">
        <f>IFERROR(IF(ISNUMBER(FIND("-",G431)),DATE(VALUE(LEFT(G431,4)),VALUE(MID(G431,6,2)),VALUE(RIGHT(G431,2))),IF(ISNUMBER(FIND(".",G431)),DATE(VALUE(RIGHT(G431,4)),VALUE(MID(G431,4,2)),VALUE(LEFT(G431,2))),DATE(VALUE(RIGHT(G431,4)),VLOOKUP(TRIM(MID(G431,FIND(" ",G431)+1,LEN(G431)-FIND(" ",G431)-5)),Справочники!$M$3:$N$14,2,0),VALUE(LEFT(G431,FIND(" ",G431)-1))))),"")</f>
        <v>48914</v>
      </c>
      <c r="M431" t="str">
        <f t="shared" si="230"/>
        <v xml:space="preserve">+7 (903) 901-23-45</v>
      </c>
      <c r="N431" t="str">
        <f t="shared" si="231"/>
        <v>sidneva@mail</v>
      </c>
      <c r="O431" t="str">
        <f t="shared" si="232"/>
        <v xml:space="preserve">Ошибка Email</v>
      </c>
      <c r="P431" t="str">
        <f>IFERROR(VLOOKUP(TRIM(SUBSTITUTE(SUBSTITUTE(" "&amp;F431," г "," "),"г.","")),Справочники!$J$3:$K$102,2,0),TRIM(SUBSTITUTE(SUBSTITUTE(" "&amp;F431," г "," "),"г.","")))</f>
        <v>Симферополь</v>
      </c>
    </row>
    <row r="432">
      <c r="A432" s="3" t="s">
        <v>2901</v>
      </c>
      <c r="B432" s="3" t="s">
        <v>5762</v>
      </c>
      <c r="C432" s="3" t="s">
        <v>5763</v>
      </c>
      <c r="D432" s="3" t="s">
        <v>4176</v>
      </c>
      <c r="E432" s="3" t="s">
        <v>5764</v>
      </c>
      <c r="F432" s="3" t="s">
        <v>4270</v>
      </c>
      <c r="G432" s="3" t="s">
        <v>5765</v>
      </c>
      <c r="H432" t="str">
        <f t="shared" si="227"/>
        <v xml:space="preserve">Кочергин Илья Александрович</v>
      </c>
      <c r="I432" s="5">
        <f>IFERROR(IF(ISNUMBER(FIND("-",C432)),DATE(VALUE(LEFT(C432,4)),VALUE(MID(C432,6,2)),VALUE(RIGHT(C432,2))),IF(ISNUMBER(FIND(".",C432)),DATE(VALUE(RIGHT(C432,4)),VALUE(MID(C432,4,2)),VALUE(LEFT(C432,2))),DATE(VALUE(RIGHT(C432,4)),VLOOKUP(TRIM(MID(C432,FIND(" ",C432)+1,LEN(C432)-FIND(" ",C432)-5)),Справочники!$M$3:$N$14,2,0),VALUE(LEFT(C432,FIND(" ",C432)-1))))),"")</f>
        <v>31398</v>
      </c>
      <c r="J432" s="6">
        <f t="shared" si="228"/>
        <v>40</v>
      </c>
      <c r="K432" t="str">
        <f t="shared" si="229"/>
        <v>ОК</v>
      </c>
      <c r="L432" s="5">
        <f>IFERROR(IF(ISNUMBER(FIND("-",G432)),DATE(VALUE(LEFT(G432,4)),VALUE(MID(G432,6,2)),VALUE(RIGHT(G432,2))),IF(ISNUMBER(FIND(".",G432)),DATE(VALUE(RIGHT(G432,4)),VALUE(MID(G432,4,2)),VALUE(LEFT(G432,2))),DATE(VALUE(RIGHT(G432,4)),VLOOKUP(TRIM(MID(G432,FIND(" ",G432)+1,LEN(G432)-FIND(" ",G432)-5)),Справочники!$M$3:$N$14,2,0),VALUE(LEFT(G432,FIND(" ",G432)-1))))),"")</f>
        <v>48923</v>
      </c>
      <c r="M432" t="str">
        <f t="shared" si="230"/>
        <v xml:space="preserve">+7 (903) 901-23-45</v>
      </c>
      <c r="N432" t="str">
        <f t="shared" si="231"/>
        <v>kochergin@yandex</v>
      </c>
      <c r="O432" t="str">
        <f t="shared" si="232"/>
        <v xml:space="preserve">Ошибка Email</v>
      </c>
      <c r="P432" t="str">
        <f>IFERROR(VLOOKUP(TRIM(SUBSTITUTE(SUBSTITUTE(" "&amp;F432," г "," "),"г.","")),Справочники!$J$3:$K$102,2,0),TRIM(SUBSTITUTE(SUBSTITUTE(" "&amp;F432," г "," "),"г.","")))</f>
        <v>Брянск</v>
      </c>
    </row>
    <row r="433">
      <c r="A433" s="3" t="s">
        <v>2902</v>
      </c>
      <c r="B433" s="3" t="s">
        <v>5766</v>
      </c>
      <c r="C433" s="3" t="s">
        <v>5767</v>
      </c>
      <c r="D433" s="3" t="s">
        <v>4182</v>
      </c>
      <c r="E433" s="3" t="s">
        <v>5768</v>
      </c>
      <c r="F433" s="3" t="s">
        <v>4275</v>
      </c>
      <c r="G433" s="3" t="s">
        <v>5769</v>
      </c>
      <c r="H433" t="str">
        <f t="shared" si="227"/>
        <v xml:space="preserve">Забелина Мария Владимировна</v>
      </c>
      <c r="I433" s="5">
        <f>IFERROR(IF(ISNUMBER(FIND("-",C433)),DATE(VALUE(LEFT(C433,4)),VALUE(MID(C433,6,2)),VALUE(RIGHT(C433,2))),IF(ISNUMBER(FIND(".",C433)),DATE(VALUE(RIGHT(C433,4)),VALUE(MID(C433,4,2)),VALUE(LEFT(C433,2))),DATE(VALUE(RIGHT(C433,4)),VLOOKUP(TRIM(MID(C433,FIND(" ",C433)+1,LEN(C433)-FIND(" ",C433)-5)),Справочники!$M$3:$N$14,2,0),VALUE(LEFT(C433,FIND(" ",C433)-1))))),"")</f>
        <v>26506</v>
      </c>
      <c r="J433" s="6">
        <f t="shared" si="228"/>
        <v>54</v>
      </c>
      <c r="K433" t="str">
        <f t="shared" si="229"/>
        <v>ОК</v>
      </c>
      <c r="L433" s="5">
        <f>IFERROR(IF(ISNUMBER(FIND("-",G433)),DATE(VALUE(LEFT(G433,4)),VALUE(MID(G433,6,2)),VALUE(RIGHT(G433,2))),IF(ISNUMBER(FIND(".",G433)),DATE(VALUE(RIGHT(G433,4)),VALUE(MID(G433,4,2)),VALUE(LEFT(G433,2))),DATE(VALUE(RIGHT(G433,4)),VLOOKUP(TRIM(MID(G433,FIND(" ",G433)+1,LEN(G433)-FIND(" ",G433)-5)),Справочники!$M$3:$N$14,2,0),VALUE(LEFT(G433,FIND(" ",G433)-1))))),"")</f>
        <v>48923</v>
      </c>
      <c r="M433" t="str">
        <f t="shared" si="230"/>
        <v xml:space="preserve">+7 (903) 012-34-56</v>
      </c>
      <c r="N433" t="str">
        <f t="shared" si="231"/>
        <v>zabelina@gmail</v>
      </c>
      <c r="O433" t="str">
        <f t="shared" si="232"/>
        <v xml:space="preserve">Ошибка Email</v>
      </c>
      <c r="P433" t="str">
        <f>IFERROR(VLOOKUP(TRIM(SUBSTITUTE(SUBSTITUTE(" "&amp;F433," г "," "),"г.","")),Справочники!$J$3:$K$102,2,0),TRIM(SUBSTITUTE(SUBSTITUTE(" "&amp;F433," г "," "),"г.","")))</f>
        <v>Абакан</v>
      </c>
    </row>
    <row r="434">
      <c r="A434" s="3" t="s">
        <v>2904</v>
      </c>
      <c r="B434" s="3" t="s">
        <v>5770</v>
      </c>
      <c r="C434" s="3" t="s">
        <v>5771</v>
      </c>
      <c r="D434" s="3" t="s">
        <v>4188</v>
      </c>
      <c r="E434" s="3" t="s">
        <v>5772</v>
      </c>
      <c r="F434" s="3" t="s">
        <v>4280</v>
      </c>
      <c r="G434" s="3" t="s">
        <v>5773</v>
      </c>
      <c r="H434" t="str">
        <f t="shared" si="227"/>
        <v xml:space="preserve">Шипилов Денис Олегович</v>
      </c>
      <c r="I434" s="5">
        <f>IFERROR(IF(ISNUMBER(FIND("-",C434)),DATE(VALUE(LEFT(C434,4)),VALUE(MID(C434,6,2)),VALUE(RIGHT(C434,2))),IF(ISNUMBER(FIND(".",C434)),DATE(VALUE(RIGHT(C434,4)),VALUE(MID(C434,4,2)),VALUE(LEFT(C434,2))),DATE(VALUE(RIGHT(C434,4)),VLOOKUP(TRIM(MID(C434,FIND(" ",C434)+1,LEN(C434)-FIND(" ",C434)-5)),Справочники!$M$3:$N$14,2,0),VALUE(LEFT(C434,FIND(" ",C434)-1))))),"")</f>
        <v>32390</v>
      </c>
      <c r="J434" s="6">
        <f t="shared" si="228"/>
        <v>38</v>
      </c>
      <c r="K434" t="str">
        <f t="shared" si="229"/>
        <v>ОК</v>
      </c>
      <c r="L434" s="5">
        <f>IFERROR(IF(ISNUMBER(FIND("-",G434)),DATE(VALUE(LEFT(G434,4)),VALUE(MID(G434,6,2)),VALUE(RIGHT(G434,2))),IF(ISNUMBER(FIND(".",G434)),DATE(VALUE(RIGHT(G434,4)),VALUE(MID(G434,4,2)),VALUE(LEFT(G434,2))),DATE(VALUE(RIGHT(G434,4)),VLOOKUP(TRIM(MID(G434,FIND(" ",G434)+1,LEN(G434)-FIND(" ",G434)-5)),Справочники!$M$3:$N$14,2,0),VALUE(LEFT(G434,FIND(" ",G434)-1))))),"")</f>
        <v>48945</v>
      </c>
      <c r="M434" t="str">
        <f t="shared" si="230"/>
        <v xml:space="preserve">+7 (903) 012-34-56</v>
      </c>
      <c r="N434" t="str">
        <f t="shared" si="231"/>
        <v>shipilov@mail</v>
      </c>
      <c r="O434" t="str">
        <f t="shared" si="232"/>
        <v xml:space="preserve">Ошибка Email</v>
      </c>
      <c r="P434" t="str">
        <f>IFERROR(VLOOKUP(TRIM(SUBSTITUTE(SUBSTITUTE(" "&amp;F434," г "," "),"г.","")),Справочники!$J$3:$K$102,2,0),TRIM(SUBSTITUTE(SUBSTITUTE(" "&amp;F434," г "," "),"г.","")))</f>
        <v>Грозный</v>
      </c>
    </row>
    <row r="435">
      <c r="A435" s="3" t="s">
        <v>2905</v>
      </c>
      <c r="B435" s="3" t="s">
        <v>5774</v>
      </c>
      <c r="C435" s="3" t="s">
        <v>5775</v>
      </c>
      <c r="D435" s="3" t="s">
        <v>1633</v>
      </c>
      <c r="E435" s="3" t="s">
        <v>5776</v>
      </c>
      <c r="F435" s="3" t="s">
        <v>4285</v>
      </c>
      <c r="G435" s="3" t="s">
        <v>5777</v>
      </c>
      <c r="H435" t="str">
        <f t="shared" si="227"/>
        <v xml:space="preserve">Кононова Елена Алексеевна</v>
      </c>
      <c r="I435" s="5">
        <f>IFERROR(IF(ISNUMBER(FIND("-",C435)),DATE(VALUE(LEFT(C435,4)),VALUE(MID(C435,6,2)),VALUE(RIGHT(C435,2))),IF(ISNUMBER(FIND(".",C435)),DATE(VALUE(RIGHT(C435,4)),VALUE(MID(C435,4,2)),VALUE(LEFT(C435,2))),DATE(VALUE(RIGHT(C435,4)),VLOOKUP(TRIM(MID(C435,FIND(" ",C435)+1,LEN(C435)-FIND(" ",C435)-5)),Справочники!$M$3:$N$14,2,0),VALUE(LEFT(C435,FIND(" ",C435)-1))))),"")</f>
        <v>33591</v>
      </c>
      <c r="J435" s="6">
        <f t="shared" si="228"/>
        <v>34</v>
      </c>
      <c r="K435" t="str">
        <f t="shared" si="229"/>
        <v>ОК</v>
      </c>
      <c r="L435" s="5">
        <f>IFERROR(IF(ISNUMBER(FIND("-",G435)),DATE(VALUE(LEFT(G435,4)),VALUE(MID(G435,6,2)),VALUE(RIGHT(G435,2))),IF(ISNUMBER(FIND(".",G435)),DATE(VALUE(RIGHT(G435,4)),VALUE(MID(G435,4,2)),VALUE(LEFT(G435,2))),DATE(VALUE(RIGHT(G435,4)),VLOOKUP(TRIM(MID(G435,FIND(" ",G435)+1,LEN(G435)-FIND(" ",G435)-5)),Справочники!$M$3:$N$14,2,0),VALUE(LEFT(G435,FIND(" ",G435)-1))))),"")</f>
        <v>48959</v>
      </c>
      <c r="M435" t="str">
        <f t="shared" si="230"/>
        <v xml:space="preserve">+7 (903) 012-34-56</v>
      </c>
      <c r="N435" t="str">
        <f t="shared" si="231"/>
        <v>kononova@yandex</v>
      </c>
      <c r="O435" t="str">
        <f t="shared" si="232"/>
        <v xml:space="preserve">Ошибка Email</v>
      </c>
      <c r="P435" t="str">
        <f>IFERROR(VLOOKUP(TRIM(SUBSTITUTE(SUBSTITUTE(" "&amp;F435," г "," "),"г.","")),Справочники!$J$3:$K$102,2,0),TRIM(SUBSTITUTE(SUBSTITUTE(" "&amp;F435," г "," "),"г.","")))</f>
        <v>Бийск</v>
      </c>
    </row>
    <row r="436">
      <c r="A436" s="3" t="s">
        <v>2908</v>
      </c>
      <c r="B436" s="3" t="s">
        <v>5778</v>
      </c>
      <c r="C436" s="3" t="s">
        <v>5779</v>
      </c>
      <c r="D436" s="3" t="s">
        <v>4034</v>
      </c>
      <c r="E436" s="3" t="s">
        <v>5780</v>
      </c>
      <c r="F436" s="3" t="s">
        <v>4290</v>
      </c>
      <c r="G436" s="3" t="s">
        <v>5781</v>
      </c>
      <c r="H436" t="str">
        <f t="shared" si="227"/>
        <v xml:space="preserve">Лебедева Ольга Павловна</v>
      </c>
      <c r="I436" s="5">
        <f>IFERROR(IF(ISNUMBER(FIND("-",C436)),DATE(VALUE(LEFT(C436,4)),VALUE(MID(C436,6,2)),VALUE(RIGHT(C436,2))),IF(ISNUMBER(FIND(".",C436)),DATE(VALUE(RIGHT(C436,4)),VALUE(MID(C436,4,2)),VALUE(LEFT(C436,2))),DATE(VALUE(RIGHT(C436,4)),VLOOKUP(TRIM(MID(C436,FIND(" ",C436)+1,LEN(C436)-FIND(" ",C436)-5)),Справочники!$M$3:$N$14,2,0),VALUE(LEFT(C436,FIND(" ",C436)-1))))),"")</f>
        <v>27537</v>
      </c>
      <c r="J436" s="6">
        <f t="shared" si="228"/>
        <v>51</v>
      </c>
      <c r="K436" t="str">
        <f t="shared" si="229"/>
        <v>ОК</v>
      </c>
      <c r="L436" s="5">
        <f>IFERROR(IF(ISNUMBER(FIND("-",G436)),DATE(VALUE(LEFT(G436,4)),VALUE(MID(G436,6,2)),VALUE(RIGHT(G436,2))),IF(ISNUMBER(FIND(".",G436)),DATE(VALUE(RIGHT(G436,4)),VALUE(MID(G436,4,2)),VALUE(LEFT(G436,2))),DATE(VALUE(RIGHT(G436,4)),VLOOKUP(TRIM(MID(G436,FIND(" ",G436)+1,LEN(G436)-FIND(" ",G436)-5)),Справочники!$M$3:$N$14,2,0),VALUE(LEFT(G436,FIND(" ",G436)-1))))),"")</f>
        <v>48959</v>
      </c>
      <c r="M436" t="str">
        <f t="shared" si="230"/>
        <v xml:space="preserve">+7 (903) 123-45-67</v>
      </c>
      <c r="N436" t="str">
        <f t="shared" si="231"/>
        <v>lebedevа@gmail</v>
      </c>
      <c r="O436" t="str">
        <f t="shared" si="232"/>
        <v xml:space="preserve">Ошибка Email</v>
      </c>
      <c r="P436" t="str">
        <f>IFERROR(VLOOKUP(TRIM(SUBSTITUTE(SUBSTITUTE(" "&amp;F436," г "," "),"г.","")),Справочники!$J$3:$K$102,2,0),TRIM(SUBSTITUTE(SUBSTITUTE(" "&amp;F436," г "," "),"г.","")))</f>
        <v>Йошкар-Ола</v>
      </c>
    </row>
    <row r="437">
      <c r="A437" s="3" t="s">
        <v>2910</v>
      </c>
      <c r="B437" s="3" t="s">
        <v>5782</v>
      </c>
      <c r="C437" s="3" t="s">
        <v>5783</v>
      </c>
      <c r="D437" s="3" t="s">
        <v>4040</v>
      </c>
      <c r="E437" s="3" t="s">
        <v>5784</v>
      </c>
      <c r="F437" s="3" t="s">
        <v>4295</v>
      </c>
      <c r="G437" s="3" t="s">
        <v>5785</v>
      </c>
      <c r="H437" t="str">
        <f t="shared" si="227"/>
        <v xml:space="preserve">Мартынов Илья Викторович</v>
      </c>
      <c r="I437" s="5">
        <f>IFERROR(IF(ISNUMBER(FIND("-",C437)),DATE(VALUE(LEFT(C437,4)),VALUE(MID(C437,6,2)),VALUE(RIGHT(C437,2))),IF(ISNUMBER(FIND(".",C437)),DATE(VALUE(RIGHT(C437,4)),VALUE(MID(C437,4,2)),VALUE(LEFT(C437,2))),DATE(VALUE(RIGHT(C437,4)),VLOOKUP(TRIM(MID(C437,FIND(" ",C437)+1,LEN(C437)-FIND(" ",C437)-5)),Справочники!$M$3:$N$14,2,0),VALUE(LEFT(C437,FIND(" ",C437)-1))))),"")</f>
        <v>30599</v>
      </c>
      <c r="J437" s="6">
        <f t="shared" si="228"/>
        <v>43</v>
      </c>
      <c r="K437" t="str">
        <f t="shared" si="229"/>
        <v>ОК</v>
      </c>
      <c r="L437" s="5">
        <f>IFERROR(IF(ISNUMBER(FIND("-",G437)),DATE(VALUE(LEFT(G437,4)),VALUE(MID(G437,6,2)),VALUE(RIGHT(G437,2))),IF(ISNUMBER(FIND(".",G437)),DATE(VALUE(RIGHT(G437,4)),VALUE(MID(G437,4,2)),VALUE(LEFT(G437,2))),DATE(VALUE(RIGHT(G437,4)),VLOOKUP(TRIM(MID(G437,FIND(" ",G437)+1,LEN(G437)-FIND(" ",G437)-5)),Справочники!$M$3:$N$14,2,0),VALUE(LEFT(G437,FIND(" ",G437)-1))))),"")</f>
        <v>48976</v>
      </c>
      <c r="M437" t="str">
        <f t="shared" si="230"/>
        <v xml:space="preserve">+7 (903) 123-45-67</v>
      </c>
      <c r="N437" t="str">
        <f t="shared" si="231"/>
        <v>martynov@mail</v>
      </c>
      <c r="O437" t="str">
        <f t="shared" si="232"/>
        <v xml:space="preserve">Ошибка Email</v>
      </c>
      <c r="P437" t="str">
        <f>IFERROR(VLOOKUP(TRIM(SUBSTITUTE(SUBSTITUTE(" "&amp;F437," г "," "),"г.","")),Справочники!$J$3:$K$102,2,0),TRIM(SUBSTITUTE(SUBSTITUTE(" "&amp;F437," г "," "),"г.","")))</f>
        <v>Курган</v>
      </c>
    </row>
    <row r="438">
      <c r="A438" s="3" t="s">
        <v>2912</v>
      </c>
      <c r="B438" s="3" t="s">
        <v>5786</v>
      </c>
      <c r="C438" s="3" t="s">
        <v>5787</v>
      </c>
      <c r="D438" s="3" t="s">
        <v>1570</v>
      </c>
      <c r="E438" s="3" t="s">
        <v>5788</v>
      </c>
      <c r="F438" s="3" t="s">
        <v>4300</v>
      </c>
      <c r="G438" s="3" t="s">
        <v>5789</v>
      </c>
      <c r="H438" t="str">
        <f t="shared" si="227"/>
        <v xml:space="preserve">Бражникова Екатерина Сергеевна</v>
      </c>
      <c r="I438" s="5">
        <f>IFERROR(IF(ISNUMBER(FIND("-",C438)),DATE(VALUE(LEFT(C438,4)),VALUE(MID(C438,6,2)),VALUE(RIGHT(C438,2))),IF(ISNUMBER(FIND(".",C438)),DATE(VALUE(RIGHT(C438,4)),VALUE(MID(C438,4,2)),VALUE(LEFT(C438,2))),DATE(VALUE(RIGHT(C438,4)),VLOOKUP(TRIM(MID(C438,FIND(" ",C438)+1,LEN(C438)-FIND(" ",C438)-5)),Справочники!$M$3:$N$14,2,0),VALUE(LEFT(C438,FIND(" ",C438)-1))))),"")</f>
        <v>31626</v>
      </c>
      <c r="J438" s="6">
        <f t="shared" si="228"/>
        <v>40</v>
      </c>
      <c r="K438" t="str">
        <f t="shared" si="229"/>
        <v>ОК</v>
      </c>
      <c r="L438" s="5">
        <f>IFERROR(IF(ISNUMBER(FIND("-",G438)),DATE(VALUE(LEFT(G438,4)),VALUE(MID(G438,6,2)),VALUE(RIGHT(G438,2))),IF(ISNUMBER(FIND(".",G438)),DATE(VALUE(RIGHT(G438,4)),VALUE(MID(G438,4,2)),VALUE(LEFT(G438,2))),DATE(VALUE(RIGHT(G438,4)),VLOOKUP(TRIM(MID(G438,FIND(" ",G438)+1,LEN(G438)-FIND(" ",G438)-5)),Справочники!$M$3:$N$14,2,0),VALUE(LEFT(G438,FIND(" ",G438)-1))))),"")</f>
        <v>48985</v>
      </c>
      <c r="M438" t="str">
        <f t="shared" si="230"/>
        <v xml:space="preserve">+7 (903) 123-45-67</v>
      </c>
      <c r="N438" t="str">
        <f t="shared" si="231"/>
        <v>brazhnikova@yandex</v>
      </c>
      <c r="O438" t="str">
        <f t="shared" si="232"/>
        <v xml:space="preserve">Ошибка Email</v>
      </c>
      <c r="P438" t="str">
        <f>IFERROR(VLOOKUP(TRIM(SUBSTITUTE(SUBSTITUTE(" "&amp;F438," г "," "),"г.","")),Справочники!$J$3:$K$102,2,0),TRIM(SUBSTITUTE(SUBSTITUTE(" "&amp;F438," г "," "),"г.","")))</f>
        <v>Архангельск</v>
      </c>
    </row>
    <row r="439">
      <c r="A439" s="3" t="s">
        <v>2914</v>
      </c>
      <c r="B439" s="3" t="s">
        <v>5790</v>
      </c>
      <c r="C439" s="3" t="s">
        <v>5791</v>
      </c>
      <c r="D439" s="3" t="s">
        <v>4051</v>
      </c>
      <c r="E439" s="3" t="s">
        <v>5792</v>
      </c>
      <c r="F439" s="3" t="s">
        <v>4305</v>
      </c>
      <c r="G439" s="3" t="s">
        <v>5793</v>
      </c>
      <c r="H439" t="str">
        <f t="shared" si="227"/>
        <v xml:space="preserve">Сухоруков Андрей Олегович</v>
      </c>
      <c r="I439" s="5">
        <f>IFERROR(IF(ISNUMBER(FIND("-",C439)),DATE(VALUE(LEFT(C439,4)),VALUE(MID(C439,6,2)),VALUE(RIGHT(C439,2))),IF(ISNUMBER(FIND(".",C439)),DATE(VALUE(RIGHT(C439,4)),VALUE(MID(C439,4,2)),VALUE(LEFT(C439,2))),DATE(VALUE(RIGHT(C439,4)),VLOOKUP(TRIM(MID(C439,FIND(" ",C439)+1,LEN(C439)-FIND(" ",C439)-5)),Справочники!$M$3:$N$14,2,0),VALUE(LEFT(C439,FIND(" ",C439)-1))))),"")</f>
        <v>29173</v>
      </c>
      <c r="J439" s="6">
        <f t="shared" si="228"/>
        <v>46</v>
      </c>
      <c r="K439" t="str">
        <f t="shared" si="229"/>
        <v>ОК</v>
      </c>
      <c r="L439" s="5">
        <f>IFERROR(IF(ISNUMBER(FIND("-",G439)),DATE(VALUE(LEFT(G439,4)),VALUE(MID(G439,6,2)),VALUE(RIGHT(G439,2))),IF(ISNUMBER(FIND(".",G439)),DATE(VALUE(RIGHT(G439,4)),VALUE(MID(G439,4,2)),VALUE(LEFT(G439,2))),DATE(VALUE(RIGHT(G439,4)),VLOOKUP(TRIM(MID(G439,FIND(" ",G439)+1,LEN(G439)-FIND(" ",G439)-5)),Справочники!$M$3:$N$14,2,0),VALUE(LEFT(G439,FIND(" ",G439)-1))))),"")</f>
        <v>48985</v>
      </c>
      <c r="M439" t="str">
        <f t="shared" si="230"/>
        <v xml:space="preserve">+7 (903) 234-56-78</v>
      </c>
      <c r="N439" t="str">
        <f t="shared" si="231"/>
        <v>suhorukov@gmail</v>
      </c>
      <c r="O439" t="str">
        <f t="shared" si="232"/>
        <v xml:space="preserve">Ошибка Email</v>
      </c>
      <c r="P439" t="str">
        <f>IFERROR(VLOOKUP(TRIM(SUBSTITUTE(SUBSTITUTE(" "&amp;F439," г "," "),"г.","")),Справочники!$J$3:$K$102,2,0),TRIM(SUBSTITUTE(SUBSTITUTE(" "&amp;F439," г "," "),"г.","")))</f>
        <v>Благовещенск</v>
      </c>
    </row>
    <row r="440">
      <c r="A440" s="3" t="s">
        <v>2916</v>
      </c>
      <c r="B440" s="3" t="s">
        <v>5794</v>
      </c>
      <c r="C440" s="3" t="s">
        <v>5795</v>
      </c>
      <c r="D440" s="3" t="s">
        <v>4057</v>
      </c>
      <c r="E440" s="3" t="s">
        <v>5796</v>
      </c>
      <c r="F440" s="3" t="s">
        <v>4310</v>
      </c>
      <c r="G440" s="3" t="s">
        <v>5797</v>
      </c>
      <c r="H440" t="str">
        <f t="shared" si="227"/>
        <v xml:space="preserve">Гапонова Мария Игоревна</v>
      </c>
      <c r="I440" s="5">
        <f>IFERROR(IF(ISNUMBER(FIND("-",C440)),DATE(VALUE(LEFT(C440,4)),VALUE(MID(C440,6,2)),VALUE(RIGHT(C440,2))),IF(ISNUMBER(FIND(".",C440)),DATE(VALUE(RIGHT(C440,4)),VALUE(MID(C440,4,2)),VALUE(LEFT(C440,2))),DATE(VALUE(RIGHT(C440,4)),VLOOKUP(TRIM(MID(C440,FIND(" ",C440)+1,LEN(C440)-FIND(" ",C440)-5)),Справочники!$M$3:$N$14,2,0),VALUE(LEFT(C440,FIND(" ",C440)-1))))),"")</f>
        <v>33630</v>
      </c>
      <c r="J440" s="6">
        <f t="shared" si="228"/>
        <v>34</v>
      </c>
      <c r="K440" t="str">
        <f t="shared" si="229"/>
        <v>ОК</v>
      </c>
      <c r="L440" s="5">
        <f>IFERROR(IF(ISNUMBER(FIND("-",G440)),DATE(VALUE(LEFT(G440,4)),VALUE(MID(G440,6,2)),VALUE(RIGHT(G440,2))),IF(ISNUMBER(FIND(".",G440)),DATE(VALUE(RIGHT(G440,4)),VALUE(MID(G440,4,2)),VALUE(LEFT(G440,2))),DATE(VALUE(RIGHT(G440,4)),VLOOKUP(TRIM(MID(G440,FIND(" ",G440)+1,LEN(G440)-FIND(" ",G440)-5)),Справочники!$M$3:$N$14,2,0),VALUE(LEFT(G440,FIND(" ",G440)-1))))),"")</f>
        <v>49004</v>
      </c>
      <c r="M440" t="str">
        <f t="shared" si="230"/>
        <v xml:space="preserve">+7 (903) 234-56-78</v>
      </c>
      <c r="N440" t="str">
        <f t="shared" si="231"/>
        <v>gaponova@mail</v>
      </c>
      <c r="O440" t="str">
        <f t="shared" si="232"/>
        <v xml:space="preserve">Ошибка Email</v>
      </c>
      <c r="P440" t="str">
        <f>IFERROR(VLOOKUP(TRIM(SUBSTITUTE(SUBSTITUTE(" "&amp;F440," г "," "),"г.","")),Справочники!$J$3:$K$102,2,0),TRIM(SUBSTITUTE(SUBSTITUTE(" "&amp;F440," г "," "),"г.","")))</f>
        <v>Майкоп</v>
      </c>
    </row>
    <row r="441">
      <c r="A441" s="3" t="s">
        <v>2917</v>
      </c>
      <c r="B441" s="3" t="s">
        <v>5798</v>
      </c>
      <c r="C441" s="3" t="s">
        <v>5799</v>
      </c>
      <c r="D441" s="3" t="s">
        <v>1712</v>
      </c>
      <c r="E441" s="3" t="s">
        <v>5800</v>
      </c>
      <c r="F441" s="3" t="s">
        <v>4315</v>
      </c>
      <c r="G441" s="3" t="s">
        <v>5801</v>
      </c>
      <c r="H441" t="str">
        <f t="shared" si="227"/>
        <v xml:space="preserve">Жигалов Денис Павлович</v>
      </c>
      <c r="I441" s="5">
        <f>IFERROR(IF(ISNUMBER(FIND("-",C441)),DATE(VALUE(LEFT(C441,4)),VALUE(MID(C441,6,2)),VALUE(RIGHT(C441,2))),IF(ISNUMBER(FIND(".",C441)),DATE(VALUE(RIGHT(C441,4)),VALUE(MID(C441,4,2)),VALUE(LEFT(C441,2))),DATE(VALUE(RIGHT(C441,4)),VLOOKUP(TRIM(MID(C441,FIND(" ",C441)+1,LEN(C441)-FIND(" ",C441)-5)),Справочники!$M$3:$N$14,2,0),VALUE(LEFT(C441,FIND(" ",C441)-1))))),"")</f>
        <v>29752</v>
      </c>
      <c r="J441" s="6">
        <f t="shared" si="228"/>
        <v>45</v>
      </c>
      <c r="K441" t="str">
        <f t="shared" si="229"/>
        <v>ОК</v>
      </c>
      <c r="L441" s="5">
        <f>IFERROR(IF(ISNUMBER(FIND("-",G441)),DATE(VALUE(LEFT(G441,4)),VALUE(MID(G441,6,2)),VALUE(RIGHT(G441,2))),IF(ISNUMBER(FIND(".",G441)),DATE(VALUE(RIGHT(G441,4)),VALUE(MID(G441,4,2)),VALUE(LEFT(G441,2))),DATE(VALUE(RIGHT(G441,4)),VLOOKUP(TRIM(MID(G441,FIND(" ",G441)+1,LEN(G441)-FIND(" ",G441)-5)),Справочники!$M$3:$N$14,2,0),VALUE(LEFT(G441,FIND(" ",G441)-1))))),"")</f>
        <v>49018</v>
      </c>
      <c r="M441" t="str">
        <f t="shared" si="230"/>
        <v xml:space="preserve">+7 (903) 234-56-78</v>
      </c>
      <c r="N441" t="str">
        <f t="shared" si="231"/>
        <v>zhigalov@yandex</v>
      </c>
      <c r="O441" t="str">
        <f t="shared" si="232"/>
        <v xml:space="preserve">Ошибка Email</v>
      </c>
      <c r="P441" t="str">
        <f>IFERROR(VLOOKUP(TRIM(SUBSTITUTE(SUBSTITUTE(" "&amp;F441," г "," "),"г.","")),Справочники!$J$3:$K$102,2,0),TRIM(SUBSTITUTE(SUBSTITUTE(" "&amp;F441," г "," "),"г.","")))</f>
        <v>Уссурийск</v>
      </c>
    </row>
    <row r="442">
      <c r="A442" s="3" t="s">
        <v>2919</v>
      </c>
      <c r="B442" s="3" t="s">
        <v>5802</v>
      </c>
      <c r="C442" s="3" t="s">
        <v>5803</v>
      </c>
      <c r="D442" s="3" t="s">
        <v>1584</v>
      </c>
      <c r="E442" s="3" t="s">
        <v>5804</v>
      </c>
      <c r="F442" s="3" t="s">
        <v>4320</v>
      </c>
      <c r="G442" s="3" t="s">
        <v>5805</v>
      </c>
      <c r="H442" t="str">
        <f t="shared" si="227"/>
        <v xml:space="preserve">Курочкин Илья Александрович</v>
      </c>
      <c r="I442" s="5">
        <f>IFERROR(IF(ISNUMBER(FIND("-",C442)),DATE(VALUE(LEFT(C442,4)),VALUE(MID(C442,6,2)),VALUE(RIGHT(C442,2))),IF(ISNUMBER(FIND(".",C442)),DATE(VALUE(RIGHT(C442,4)),VALUE(MID(C442,4,2)),VALUE(LEFT(C442,2))),DATE(VALUE(RIGHT(C442,4)),VLOOKUP(TRIM(MID(C442,FIND(" ",C442)+1,LEN(C442)-FIND(" ",C442)-5)),Справочники!$M$3:$N$14,2,0),VALUE(LEFT(C442,FIND(" ",C442)-1))))),"")</f>
        <v>27281</v>
      </c>
      <c r="J442" s="6">
        <f t="shared" si="228"/>
        <v>52</v>
      </c>
      <c r="K442" t="str">
        <f t="shared" si="229"/>
        <v>ОК</v>
      </c>
      <c r="L442" s="5">
        <f>IFERROR(IF(ISNUMBER(FIND("-",G442)),DATE(VALUE(LEFT(G442,4)),VALUE(MID(G442,6,2)),VALUE(RIGHT(G442,2))),IF(ISNUMBER(FIND(".",G442)),DATE(VALUE(RIGHT(G442,4)),VALUE(MID(G442,4,2)),VALUE(LEFT(G442,2))),DATE(VALUE(RIGHT(G442,4)),VLOOKUP(TRIM(MID(G442,FIND(" ",G442)+1,LEN(G442)-FIND(" ",G442)-5)),Справочники!$M$3:$N$14,2,0),VALUE(LEFT(G442,FIND(" ",G442)-1))))),"")</f>
        <v>49018</v>
      </c>
      <c r="M442" t="str">
        <f t="shared" si="230"/>
        <v xml:space="preserve">+7 (903) 345-67-89</v>
      </c>
      <c r="N442" t="str">
        <f t="shared" si="231"/>
        <v>kurochkin@gmail</v>
      </c>
      <c r="O442" t="str">
        <f t="shared" si="232"/>
        <v xml:space="preserve">Ошибка Email</v>
      </c>
      <c r="P442" t="str">
        <f>IFERROR(VLOOKUP(TRIM(SUBSTITUTE(SUBSTITUTE(" "&amp;F442," г "," "),"г.","")),Справочники!$J$3:$K$102,2,0),TRIM(SUBSTITUTE(SUBSTITUTE(" "&amp;F442," г "," "),"г.","")))</f>
        <v>Миасс</v>
      </c>
    </row>
    <row r="443">
      <c r="A443" s="3" t="s">
        <v>2920</v>
      </c>
      <c r="B443" s="3" t="s">
        <v>5806</v>
      </c>
      <c r="C443" s="3" t="s">
        <v>5807</v>
      </c>
      <c r="D443" s="3" t="s">
        <v>4073</v>
      </c>
      <c r="E443" s="3" t="s">
        <v>5808</v>
      </c>
      <c r="F443" s="3" t="s">
        <v>4325</v>
      </c>
      <c r="G443" s="3" t="s">
        <v>5809</v>
      </c>
      <c r="H443" t="str">
        <f t="shared" si="227"/>
        <v xml:space="preserve">Панина Ольга Владимировна</v>
      </c>
      <c r="I443" s="5">
        <f>IFERROR(IF(ISNUMBER(FIND("-",C443)),DATE(VALUE(LEFT(C443,4)),VALUE(MID(C443,6,2)),VALUE(RIGHT(C443,2))),IF(ISNUMBER(FIND(".",C443)),DATE(VALUE(RIGHT(C443,4)),VALUE(MID(C443,4,2)),VALUE(LEFT(C443,2))),DATE(VALUE(RIGHT(C443,4)),VLOOKUP(TRIM(MID(C443,FIND(" ",C443)+1,LEN(C443)-FIND(" ",C443)-5)),Справочники!$M$3:$N$14,2,0),VALUE(LEFT(C443,FIND(" ",C443)-1))))),"")</f>
        <v>31895</v>
      </c>
      <c r="J443" s="6">
        <f t="shared" si="228"/>
        <v>39</v>
      </c>
      <c r="K443" t="str">
        <f t="shared" si="229"/>
        <v>ОК</v>
      </c>
      <c r="L443" s="5">
        <f>IFERROR(IF(ISNUMBER(FIND("-",G443)),DATE(VALUE(LEFT(G443,4)),VALUE(MID(G443,6,2)),VALUE(RIGHT(G443,2))),IF(ISNUMBER(FIND(".",G443)),DATE(VALUE(RIGHT(G443,4)),VALUE(MID(G443,4,2)),VALUE(LEFT(G443,2))),DATE(VALUE(RIGHT(G443,4)),VLOOKUP(TRIM(MID(G443,FIND(" ",G443)+1,LEN(G443)-FIND(" ",G443)-5)),Справочники!$M$3:$N$14,2,0),VALUE(LEFT(G443,FIND(" ",G443)-1))))),"")</f>
        <v>49035</v>
      </c>
      <c r="M443" t="str">
        <f t="shared" si="230"/>
        <v xml:space="preserve">+7 (903) 345-67-89</v>
      </c>
      <c r="N443" t="str">
        <f t="shared" si="231"/>
        <v>panina@mail</v>
      </c>
      <c r="O443" t="str">
        <f t="shared" si="232"/>
        <v xml:space="preserve">Ошибка Email</v>
      </c>
      <c r="P443" t="str">
        <f>IFERROR(VLOOKUP(TRIM(SUBSTITUTE(SUBSTITUTE(" "&amp;F443," г "," "),"г.","")),Справочники!$J$3:$K$102,2,0),TRIM(SUBSTITUTE(SUBSTITUTE(" "&amp;F443," г "," "),"г.","")))</f>
        <v>Кызыл</v>
      </c>
    </row>
    <row r="444">
      <c r="A444" s="3" t="s">
        <v>2923</v>
      </c>
      <c r="B444" s="3" t="s">
        <v>5810</v>
      </c>
      <c r="C444" s="3" t="s">
        <v>5811</v>
      </c>
      <c r="D444" s="3" t="s">
        <v>4079</v>
      </c>
      <c r="E444" s="3" t="s">
        <v>5812</v>
      </c>
      <c r="F444" s="3" t="s">
        <v>4330</v>
      </c>
      <c r="G444" s="3" t="s">
        <v>5813</v>
      </c>
      <c r="H444" t="str">
        <f t="shared" si="227"/>
        <v xml:space="preserve">Махалов Андрей Сергеевич</v>
      </c>
      <c r="I444" s="5">
        <f>IFERROR(IF(ISNUMBER(FIND("-",C444)),DATE(VALUE(LEFT(C444,4)),VALUE(MID(C444,6,2)),VALUE(RIGHT(C444,2))),IF(ISNUMBER(FIND(".",C444)),DATE(VALUE(RIGHT(C444,4)),VALUE(MID(C444,4,2)),VALUE(LEFT(C444,2))),DATE(VALUE(RIGHT(C444,4)),VLOOKUP(TRIM(MID(C444,FIND(" ",C444)+1,LEN(C444)-FIND(" ",C444)-5)),Справочники!$M$3:$N$14,2,0),VALUE(LEFT(C444,FIND(" ",C444)-1))))),"")</f>
        <v>34315</v>
      </c>
      <c r="J444" s="6">
        <f t="shared" si="228"/>
        <v>32</v>
      </c>
      <c r="K444" t="str">
        <f t="shared" si="229"/>
        <v>ОК</v>
      </c>
      <c r="L444" s="5">
        <f>IFERROR(IF(ISNUMBER(FIND("-",G444)),DATE(VALUE(LEFT(G444,4)),VALUE(MID(G444,6,2)),VALUE(RIGHT(G444,2))),IF(ISNUMBER(FIND(".",G444)),DATE(VALUE(RIGHT(G444,4)),VALUE(MID(G444,4,2)),VALUE(LEFT(G444,2))),DATE(VALUE(RIGHT(G444,4)),VLOOKUP(TRIM(MID(G444,FIND(" ",G444)+1,LEN(G444)-FIND(" ",G444)-5)),Справочники!$M$3:$N$14,2,0),VALUE(LEFT(G444,FIND(" ",G444)-1))))),"")</f>
        <v>49044</v>
      </c>
      <c r="M444" t="str">
        <f t="shared" si="230"/>
        <v xml:space="preserve">+7 (903) 345-67-89</v>
      </c>
      <c r="N444" t="str">
        <f t="shared" si="231"/>
        <v>mahalov@yandex</v>
      </c>
      <c r="O444" t="str">
        <f t="shared" si="232"/>
        <v xml:space="preserve">Ошибка Email</v>
      </c>
      <c r="P444" t="str">
        <f>IFERROR(VLOOKUP(TRIM(SUBSTITUTE(SUBSTITUTE(" "&amp;F444," г "," "),"г.","")),Справочники!$J$3:$K$102,2,0),TRIM(SUBSTITUTE(SUBSTITUTE(" "&amp;F444," г "," "),"г.","")))</f>
        <v>Калининград</v>
      </c>
    </row>
    <row r="445">
      <c r="A445" s="3" t="s">
        <v>2925</v>
      </c>
      <c r="B445" s="3" t="s">
        <v>5814</v>
      </c>
      <c r="C445" s="3" t="s">
        <v>5815</v>
      </c>
      <c r="D445" s="3" t="s">
        <v>4085</v>
      </c>
      <c r="E445" s="3" t="s">
        <v>4019</v>
      </c>
      <c r="F445" s="3" t="s">
        <v>4335</v>
      </c>
      <c r="G445" s="3" t="s">
        <v>5816</v>
      </c>
      <c r="H445" t="str">
        <f t="shared" si="227"/>
        <v xml:space="preserve">Федорова Екатерина Петровна</v>
      </c>
      <c r="I445" s="5">
        <f>IFERROR(IF(ISNUMBER(FIND("-",C445)),DATE(VALUE(LEFT(C445,4)),VALUE(MID(C445,6,2)),VALUE(RIGHT(C445,2))),IF(ISNUMBER(FIND(".",C445)),DATE(VALUE(RIGHT(C445,4)),VALUE(MID(C445,4,2)),VALUE(LEFT(C445,2))),DATE(VALUE(RIGHT(C445,4)),VLOOKUP(TRIM(MID(C445,FIND(" ",C445)+1,LEN(C445)-FIND(" ",C445)-5)),Справочники!$M$3:$N$14,2,0),VALUE(LEFT(C445,FIND(" ",C445)-1))))),"")</f>
        <v>27826</v>
      </c>
      <c r="J445" s="6">
        <f t="shared" si="228"/>
        <v>50</v>
      </c>
      <c r="K445" t="str">
        <f t="shared" si="229"/>
        <v>ОК</v>
      </c>
      <c r="L445" s="5">
        <f>IFERROR(IF(ISNUMBER(FIND("-",G445)),DATE(VALUE(LEFT(G445,4)),VALUE(MID(G445,6,2)),VALUE(RIGHT(G445,2))),IF(ISNUMBER(FIND(".",G445)),DATE(VALUE(RIGHT(G445,4)),VALUE(MID(G445,4,2)),VALUE(LEFT(G445,2))),DATE(VALUE(RIGHT(G445,4)),VLOOKUP(TRIM(MID(G445,FIND(" ",G445)+1,LEN(G445)-FIND(" ",G445)-5)),Справочники!$M$3:$N$14,2,0),VALUE(LEFT(G445,FIND(" ",G445)-1))))),"")</f>
        <v>49044</v>
      </c>
      <c r="M445" t="str">
        <f t="shared" si="230"/>
        <v xml:space="preserve">+7 (903) 456-78-90</v>
      </c>
      <c r="N445" t="str">
        <f t="shared" si="231"/>
        <v>fedorova@gmail</v>
      </c>
      <c r="O445" t="str">
        <f t="shared" si="232"/>
        <v xml:space="preserve">Ошибка Email</v>
      </c>
      <c r="P445" t="str">
        <f>IFERROR(VLOOKUP(TRIM(SUBSTITUTE(SUBSTITUTE(" "&amp;F445," г "," "),"г.","")),Справочники!$J$3:$K$102,2,0),TRIM(SUBSTITUTE(SUBSTITUTE(" "&amp;F445," г "," "),"г.","")))</f>
        <v>Петрозаводск</v>
      </c>
    </row>
    <row r="446">
      <c r="A446" s="3" t="s">
        <v>2927</v>
      </c>
      <c r="B446" s="3" t="s">
        <v>5817</v>
      </c>
      <c r="C446" s="3" t="s">
        <v>5818</v>
      </c>
      <c r="D446" s="3" t="s">
        <v>1591</v>
      </c>
      <c r="E446" s="3" t="s">
        <v>5819</v>
      </c>
      <c r="F446" s="3" t="s">
        <v>4340</v>
      </c>
      <c r="G446" s="3" t="s">
        <v>5820</v>
      </c>
      <c r="H446" t="str">
        <f t="shared" si="227"/>
        <v xml:space="preserve">Зарубин Илья Викторович</v>
      </c>
      <c r="I446" s="5">
        <f>IFERROR(IF(ISNUMBER(FIND("-",C446)),DATE(VALUE(LEFT(C446,4)),VALUE(MID(C446,6,2)),VALUE(RIGHT(C446,2))),IF(ISNUMBER(FIND(".",C446)),DATE(VALUE(RIGHT(C446,4)),VALUE(MID(C446,4,2)),VALUE(LEFT(C446,2))),DATE(VALUE(RIGHT(C446,4)),VLOOKUP(TRIM(MID(C446,FIND(" ",C446)+1,LEN(C446)-FIND(" ",C446)-5)),Справочники!$M$3:$N$14,2,0),VALUE(LEFT(C446,FIND(" ",C446)-1))))),"")</f>
        <v>32345</v>
      </c>
      <c r="J446" s="6">
        <f t="shared" si="228"/>
        <v>38</v>
      </c>
      <c r="K446" t="str">
        <f t="shared" si="229"/>
        <v>ОК</v>
      </c>
      <c r="L446" s="5">
        <f>IFERROR(IF(ISNUMBER(FIND("-",G446)),DATE(VALUE(LEFT(G446,4)),VALUE(MID(G446,6,2)),VALUE(RIGHT(G446,2))),IF(ISNUMBER(FIND(".",G446)),DATE(VALUE(RIGHT(G446,4)),VALUE(MID(G446,4,2)),VALUE(LEFT(G446,2))),DATE(VALUE(RIGHT(G446,4)),VLOOKUP(TRIM(MID(G446,FIND(" ",G446)+1,LEN(G446)-FIND(" ",G446)-5)),Справочники!$M$3:$N$14,2,0),VALUE(LEFT(G446,FIND(" ",G446)-1))))),"")</f>
        <v>49065</v>
      </c>
      <c r="M446" t="str">
        <f t="shared" si="230"/>
        <v xml:space="preserve">+7 (903) 456-78-90</v>
      </c>
      <c r="N446" t="str">
        <f t="shared" si="231"/>
        <v>zarubin@mail</v>
      </c>
      <c r="O446" t="str">
        <f t="shared" si="232"/>
        <v xml:space="preserve">Ошибка Email</v>
      </c>
      <c r="P446" t="str">
        <f>IFERROR(VLOOKUP(TRIM(SUBSTITUTE(SUBSTITUTE(" "&amp;F446," г "," "),"г.","")),Справочники!$J$3:$K$102,2,0),TRIM(SUBSTITUTE(SUBSTITUTE(" "&amp;F446," г "," "),"г.","")))</f>
        <v>Рубцовск</v>
      </c>
    </row>
    <row r="447">
      <c r="A447" s="3" t="s">
        <v>2928</v>
      </c>
      <c r="B447" s="3" t="s">
        <v>5821</v>
      </c>
      <c r="C447" s="3" t="s">
        <v>5822</v>
      </c>
      <c r="D447" s="3" t="s">
        <v>1660</v>
      </c>
      <c r="E447" s="3" t="s">
        <v>5823</v>
      </c>
      <c r="F447" s="3" t="s">
        <v>4345</v>
      </c>
      <c r="G447" s="3" t="s">
        <v>5824</v>
      </c>
      <c r="H447" t="str">
        <f t="shared" si="227"/>
        <v xml:space="preserve">Калинина Мария Сергеевна</v>
      </c>
      <c r="I447" s="5">
        <f>IFERROR(IF(ISNUMBER(FIND("-",C447)),DATE(VALUE(LEFT(C447,4)),VALUE(MID(C447,6,2)),VALUE(RIGHT(C447,2))),IF(ISNUMBER(FIND(".",C447)),DATE(VALUE(RIGHT(C447,4)),VALUE(MID(C447,4,2)),VALUE(LEFT(C447,2))),DATE(VALUE(RIGHT(C447,4)),VLOOKUP(TRIM(MID(C447,FIND(" ",C447)+1,LEN(C447)-FIND(" ",C447)-5)),Справочники!$M$3:$N$14,2,0),VALUE(LEFT(C447,FIND(" ",C447)-1))))),"")</f>
        <v>29510</v>
      </c>
      <c r="J447" s="6">
        <f t="shared" si="228"/>
        <v>46</v>
      </c>
      <c r="K447" t="str">
        <f t="shared" si="229"/>
        <v>ОК</v>
      </c>
      <c r="L447" s="5">
        <f>IFERROR(IF(ISNUMBER(FIND("-",G447)),DATE(VALUE(LEFT(G447,4)),VALUE(MID(G447,6,2)),VALUE(RIGHT(G447,2))),IF(ISNUMBER(FIND(".",G447)),DATE(VALUE(RIGHT(G447,4)),VALUE(MID(G447,4,2)),VALUE(LEFT(G447,2))),DATE(VALUE(RIGHT(G447,4)),VLOOKUP(TRIM(MID(G447,FIND(" ",G447)+1,LEN(G447)-FIND(" ",G447)-5)),Справочники!$M$3:$N$14,2,0),VALUE(LEFT(G447,FIND(" ",G447)-1))))),"")</f>
        <v>49079</v>
      </c>
      <c r="M447" t="str">
        <f t="shared" si="230"/>
        <v xml:space="preserve">+7 (903) 456-78-90</v>
      </c>
      <c r="N447" t="str">
        <f t="shared" si="231"/>
        <v>kalinina@yandex</v>
      </c>
      <c r="O447" t="str">
        <f t="shared" si="232"/>
        <v xml:space="preserve">Ошибка Email</v>
      </c>
      <c r="P447" t="str">
        <f>IFERROR(VLOOKUP(TRIM(SUBSTITUTE(SUBSTITUTE(" "&amp;F447," г "," "),"г.","")),Справочники!$J$3:$K$102,2,0),TRIM(SUBSTITUTE(SUBSTITUTE(" "&amp;F447," г "," "),"г.","")))</f>
        <v>Элиста</v>
      </c>
    </row>
    <row r="448">
      <c r="A448" s="3" t="s">
        <v>2930</v>
      </c>
      <c r="B448" s="3" t="s">
        <v>5825</v>
      </c>
      <c r="C448" s="3" t="s">
        <v>5826</v>
      </c>
      <c r="D448" s="3" t="s">
        <v>3984</v>
      </c>
      <c r="E448" s="3" t="s">
        <v>5827</v>
      </c>
      <c r="F448" s="3" t="s">
        <v>4350</v>
      </c>
      <c r="G448" s="3" t="s">
        <v>5828</v>
      </c>
      <c r="H448" t="str">
        <f t="shared" si="227"/>
        <v xml:space="preserve">Свиридов Денис Олегович</v>
      </c>
      <c r="I448" s="5">
        <f>IFERROR(IF(ISNUMBER(FIND("-",C448)),DATE(VALUE(LEFT(C448,4)),VALUE(MID(C448,6,2)),VALUE(RIGHT(C448,2))),IF(ISNUMBER(FIND(".",C448)),DATE(VALUE(RIGHT(C448,4)),VALUE(MID(C448,4,2)),VALUE(LEFT(C448,2))),DATE(VALUE(RIGHT(C448,4)),VLOOKUP(TRIM(MID(C448,FIND(" ",C448)+1,LEN(C448)-FIND(" ",C448)-5)),Справочники!$M$3:$N$14,2,0),VALUE(LEFT(C448,FIND(" ",C448)-1))))),"")</f>
        <v>26789</v>
      </c>
      <c r="J448" s="6">
        <f t="shared" si="228"/>
        <v>53</v>
      </c>
      <c r="K448" t="str">
        <f t="shared" si="229"/>
        <v>ОК</v>
      </c>
      <c r="L448" s="5">
        <f>IFERROR(IF(ISNUMBER(FIND("-",G448)),DATE(VALUE(LEFT(G448,4)),VALUE(MID(G448,6,2)),VALUE(RIGHT(G448,2))),IF(ISNUMBER(FIND(".",G448)),DATE(VALUE(RIGHT(G448,4)),VALUE(MID(G448,4,2)),VALUE(LEFT(G448,2))),DATE(VALUE(RIGHT(G448,4)),VLOOKUP(TRIM(MID(G448,FIND(" ",G448)+1,LEN(G448)-FIND(" ",G448)-5)),Справочники!$M$3:$N$14,2,0),VALUE(LEFT(G448,FIND(" ",G448)-1))))),"")</f>
        <v>49079</v>
      </c>
      <c r="M448" t="str">
        <f t="shared" si="230"/>
        <v xml:space="preserve">+7 (903) 567-89-01</v>
      </c>
      <c r="N448" t="str">
        <f t="shared" si="231"/>
        <v>sviridov@gmail</v>
      </c>
      <c r="O448" t="str">
        <f t="shared" si="232"/>
        <v xml:space="preserve">Ошибка Email</v>
      </c>
      <c r="P448" t="str">
        <f>IFERROR(VLOOKUP(TRIM(SUBSTITUTE(SUBSTITUTE(" "&amp;F448," г "," "),"г.","")),Справочники!$J$3:$K$102,2,0),TRIM(SUBSTITUTE(SUBSTITUTE(" "&amp;F448," г "," "),"г.","")))</f>
        <v>Орск</v>
      </c>
    </row>
    <row r="449">
      <c r="A449" s="3" t="s">
        <v>2931</v>
      </c>
      <c r="B449" s="3" t="s">
        <v>5829</v>
      </c>
      <c r="C449" s="3" t="s">
        <v>5830</v>
      </c>
      <c r="D449" s="3" t="s">
        <v>3990</v>
      </c>
      <c r="E449" s="3" t="s">
        <v>5831</v>
      </c>
      <c r="F449" s="3" t="s">
        <v>4355</v>
      </c>
      <c r="G449" s="3" t="s">
        <v>5832</v>
      </c>
      <c r="H449" t="str">
        <f t="shared" si="227"/>
        <v xml:space="preserve">Игнатьев Андрей Павлович</v>
      </c>
      <c r="I449" s="5">
        <f>IFERROR(IF(ISNUMBER(FIND("-",C449)),DATE(VALUE(LEFT(C449,4)),VALUE(MID(C449,6,2)),VALUE(RIGHT(C449,2))),IF(ISNUMBER(FIND(".",C449)),DATE(VALUE(RIGHT(C449,4)),VALUE(MID(C449,4,2)),VALUE(LEFT(C449,2))),DATE(VALUE(RIGHT(C449,4)),VLOOKUP(TRIM(MID(C449,FIND(" ",C449)+1,LEN(C449)-FIND(" ",C449)-5)),Справочники!$M$3:$N$14,2,0),VALUE(LEFT(C449,FIND(" ",C449)-1))))),"")</f>
        <v>30922</v>
      </c>
      <c r="J449" s="6">
        <f t="shared" si="228"/>
        <v>42</v>
      </c>
      <c r="K449" t="str">
        <f t="shared" si="229"/>
        <v>ОК</v>
      </c>
      <c r="L449" s="5">
        <f>IFERROR(IF(ISNUMBER(FIND("-",G449)),DATE(VALUE(LEFT(G449,4)),VALUE(MID(G449,6,2)),VALUE(RIGHT(G449,2))),IF(ISNUMBER(FIND(".",G449)),DATE(VALUE(RIGHT(G449,4)),VALUE(MID(G449,4,2)),VALUE(LEFT(G449,2))),DATE(VALUE(RIGHT(G449,4)),VLOOKUP(TRIM(MID(G449,FIND(" ",G449)+1,LEN(G449)-FIND(" ",G449)-5)),Справочники!$M$3:$N$14,2,0),VALUE(LEFT(G449,FIND(" ",G449)-1))))),"")</f>
        <v>49096</v>
      </c>
      <c r="M449" t="str">
        <f t="shared" si="230"/>
        <v xml:space="preserve">+7 (903) 567-89-01</v>
      </c>
      <c r="N449" t="str">
        <f t="shared" si="231"/>
        <v>ignatiev@mail</v>
      </c>
      <c r="O449" t="str">
        <f t="shared" si="232"/>
        <v xml:space="preserve">Ошибка Email</v>
      </c>
      <c r="P449" t="str">
        <f>IFERROR(VLOOKUP(TRIM(SUBSTITUTE(SUBSTITUTE(" "&amp;F449," г "," "),"г.","")),Справочники!$J$3:$K$102,2,0),TRIM(SUBSTITUTE(SUBSTITUTE(" "&amp;F449," г "," "),"г.","")))</f>
        <v>Нижневартовск</v>
      </c>
    </row>
    <row r="450">
      <c r="A450" s="3" t="s">
        <v>2933</v>
      </c>
      <c r="B450" s="3" t="s">
        <v>5833</v>
      </c>
      <c r="C450" s="3" t="s">
        <v>5834</v>
      </c>
      <c r="D450" s="3" t="s">
        <v>1598</v>
      </c>
      <c r="E450" s="3" t="s">
        <v>5835</v>
      </c>
      <c r="F450" s="3" t="s">
        <v>4360</v>
      </c>
      <c r="G450" s="3" t="s">
        <v>5836</v>
      </c>
      <c r="H450" t="str">
        <f t="shared" si="227"/>
        <v xml:space="preserve">Шаталова Ольга Владимировна</v>
      </c>
      <c r="I450" s="5">
        <f>IFERROR(IF(ISNUMBER(FIND("-",C450)),DATE(VALUE(LEFT(C450,4)),VALUE(MID(C450,6,2)),VALUE(RIGHT(C450,2))),IF(ISNUMBER(FIND(".",C450)),DATE(VALUE(RIGHT(C450,4)),VALUE(MID(C450,4,2)),VALUE(LEFT(C450,2))),DATE(VALUE(RIGHT(C450,4)),VLOOKUP(TRIM(MID(C450,FIND(" ",C450)+1,LEN(C450)-FIND(" ",C450)-5)),Справочники!$M$3:$N$14,2,0),VALUE(LEFT(C450,FIND(" ",C450)-1))))),"")</f>
        <v>33250</v>
      </c>
      <c r="J450" s="6">
        <f t="shared" si="228"/>
        <v>35</v>
      </c>
      <c r="K450" t="str">
        <f t="shared" si="229"/>
        <v>ОК</v>
      </c>
      <c r="L450" s="5">
        <f>IFERROR(IF(ISNUMBER(FIND("-",G450)),DATE(VALUE(LEFT(G450,4)),VALUE(MID(G450,6,2)),VALUE(RIGHT(G450,2))),IF(ISNUMBER(FIND(".",G450)),DATE(VALUE(RIGHT(G450,4)),VALUE(MID(G450,4,2)),VALUE(LEFT(G450,2))),DATE(VALUE(RIGHT(G450,4)),VLOOKUP(TRIM(MID(G450,FIND(" ",G450)+1,LEN(G450)-FIND(" ",G450)-5)),Справочники!$M$3:$N$14,2,0),VALUE(LEFT(G450,FIND(" ",G450)-1))))),"")</f>
        <v>49105</v>
      </c>
      <c r="M450" t="str">
        <f t="shared" si="230"/>
        <v xml:space="preserve">+7 (903) 567-89-01</v>
      </c>
      <c r="N450" t="str">
        <f t="shared" si="231"/>
        <v>shatalova@yandex</v>
      </c>
      <c r="O450" t="str">
        <f t="shared" si="232"/>
        <v xml:space="preserve">Ошибка Email</v>
      </c>
      <c r="P450" t="str">
        <f>IFERROR(VLOOKUP(TRIM(SUBSTITUTE(SUBSTITUTE(" "&amp;F450," г "," "),"г.","")),Справочники!$J$3:$K$102,2,0),TRIM(SUBSTITUTE(SUBSTITUTE(" "&amp;F450," г "," "),"г.","")))</f>
        <v>Новороссийск</v>
      </c>
    </row>
    <row r="451">
      <c r="A451" s="3" t="s">
        <v>2935</v>
      </c>
      <c r="B451" s="3" t="s">
        <v>5837</v>
      </c>
      <c r="C451" s="3" t="s">
        <v>5838</v>
      </c>
      <c r="D451" s="3" t="s">
        <v>4116</v>
      </c>
      <c r="E451" s="3" t="s">
        <v>5839</v>
      </c>
      <c r="F451" s="3" t="s">
        <v>4365</v>
      </c>
      <c r="G451" s="3" t="s">
        <v>5840</v>
      </c>
      <c r="H451" t="str">
        <f t="shared" si="227"/>
        <v xml:space="preserve">Шумаков Илья Алексеевич</v>
      </c>
      <c r="I451" s="5">
        <f>IFERROR(IF(ISNUMBER(FIND("-",C451)),DATE(VALUE(LEFT(C451,4)),VALUE(MID(C451,6,2)),VALUE(RIGHT(C451,2))),IF(ISNUMBER(FIND(".",C451)),DATE(VALUE(RIGHT(C451,4)),VALUE(MID(C451,4,2)),VALUE(LEFT(C451,2))),DATE(VALUE(RIGHT(C451,4)),VLOOKUP(TRIM(MID(C451,FIND(" ",C451)+1,LEN(C451)-FIND(" ",C451)-5)),Справочники!$M$3:$N$14,2,0),VALUE(LEFT(C451,FIND(" ",C451)-1))))),"")</f>
        <v>28694</v>
      </c>
      <c r="J451" s="6">
        <f t="shared" si="228"/>
        <v>48</v>
      </c>
      <c r="K451" t="str">
        <f t="shared" si="229"/>
        <v>ОК</v>
      </c>
      <c r="L451" s="5">
        <f>IFERROR(IF(ISNUMBER(FIND("-",G451)),DATE(VALUE(LEFT(G451,4)),VALUE(MID(G451,6,2)),VALUE(RIGHT(G451,2))),IF(ISNUMBER(FIND(".",G451)),DATE(VALUE(RIGHT(G451,4)),VALUE(MID(G451,4,2)),VALUE(LEFT(G451,2))),DATE(VALUE(RIGHT(G451,4)),VLOOKUP(TRIM(MID(G451,FIND(" ",G451)+1,LEN(G451)-FIND(" ",G451)-5)),Справочники!$M$3:$N$14,2,0),VALUE(LEFT(G451,FIND(" ",G451)-1))))),"")</f>
        <v>49105</v>
      </c>
      <c r="M451" t="str">
        <f t="shared" si="230"/>
        <v xml:space="preserve">+7 (903) 678-90-12</v>
      </c>
      <c r="N451" t="str">
        <f t="shared" si="231"/>
        <v>shumakov@gmail</v>
      </c>
      <c r="O451" t="str">
        <f t="shared" si="232"/>
        <v xml:space="preserve">Ошибка Email</v>
      </c>
      <c r="P451" t="str">
        <f>IFERROR(VLOOKUP(TRIM(SUBSTITUTE(SUBSTITUTE(" "&amp;F451," г "," "),"г.","")),Справочники!$J$3:$K$102,2,0),TRIM(SUBSTITUTE(SUBSTITUTE(" "&amp;F451," г "," "),"г.","")))</f>
        <v>Химки</v>
      </c>
    </row>
    <row r="452">
      <c r="A452" s="3" t="s">
        <v>2937</v>
      </c>
      <c r="B452" s="3" t="s">
        <v>5841</v>
      </c>
      <c r="C452" s="3" t="s">
        <v>5842</v>
      </c>
      <c r="D452" s="3" t="s">
        <v>4122</v>
      </c>
      <c r="E452" s="3" t="s">
        <v>5843</v>
      </c>
      <c r="F452" s="3" t="s">
        <v>4370</v>
      </c>
      <c r="G452" s="3" t="s">
        <v>5844</v>
      </c>
      <c r="H452" t="str">
        <f t="shared" si="227"/>
        <v xml:space="preserve">Дробышева Екатерина Сергеевна</v>
      </c>
      <c r="I452" s="5">
        <f>IFERROR(IF(ISNUMBER(FIND("-",C452)),DATE(VALUE(LEFT(C452,4)),VALUE(MID(C452,6,2)),VALUE(RIGHT(C452,2))),IF(ISNUMBER(FIND(".",C452)),DATE(VALUE(RIGHT(C452,4)),VALUE(MID(C452,4,2)),VALUE(LEFT(C452,2))),DATE(VALUE(RIGHT(C452,4)),VLOOKUP(TRIM(MID(C452,FIND(" ",C452)+1,LEN(C452)-FIND(" ",C452)-5)),Справочники!$M$3:$N$14,2,0),VALUE(LEFT(C452,FIND(" ",C452)-1))))),"")</f>
        <v>31761</v>
      </c>
      <c r="J452" s="6">
        <f t="shared" si="228"/>
        <v>39</v>
      </c>
      <c r="K452" t="str">
        <f t="shared" si="229"/>
        <v>ОК</v>
      </c>
      <c r="L452" s="5">
        <f>IFERROR(IF(ISNUMBER(FIND("-",G452)),DATE(VALUE(LEFT(G452,4)),VALUE(MID(G452,6,2)),VALUE(RIGHT(G452,2))),IF(ISNUMBER(FIND(".",G452)),DATE(VALUE(RIGHT(G452,4)),VALUE(MID(G452,4,2)),VALUE(LEFT(G452,2))),DATE(VALUE(RIGHT(G452,4)),VLOOKUP(TRIM(MID(G452,FIND(" ",G452)+1,LEN(G452)-FIND(" ",G452)-5)),Справочники!$M$3:$N$14,2,0),VALUE(LEFT(G452,FIND(" ",G452)-1))))),"")</f>
        <v>49126</v>
      </c>
      <c r="M452" t="str">
        <f t="shared" si="230"/>
        <v xml:space="preserve">+7 (903) 678-90-12</v>
      </c>
      <c r="N452" t="str">
        <f t="shared" si="231"/>
        <v>drobysheva@mail</v>
      </c>
      <c r="O452" t="str">
        <f t="shared" si="232"/>
        <v xml:space="preserve">Ошибка Email</v>
      </c>
      <c r="P452" t="str">
        <f>IFERROR(VLOOKUP(TRIM(SUBSTITUTE(SUBSTITUTE(" "&amp;F452," г "," "),"г.","")),Справочники!$J$3:$K$102,2,0),TRIM(SUBSTITUTE(SUBSTITUTE(" "&amp;F452," г "," "),"г.","")))</f>
        <v>Подольск</v>
      </c>
    </row>
    <row r="453">
      <c r="A453" s="3" t="s">
        <v>2938</v>
      </c>
      <c r="B453" s="3" t="s">
        <v>5845</v>
      </c>
      <c r="C453" s="3" t="s">
        <v>5846</v>
      </c>
      <c r="D453" s="3" t="s">
        <v>1605</v>
      </c>
      <c r="E453" s="3" t="s">
        <v>5847</v>
      </c>
      <c r="F453" s="3" t="s">
        <v>4375</v>
      </c>
      <c r="G453" s="3" t="s">
        <v>5848</v>
      </c>
      <c r="H453" t="str">
        <f t="shared" si="227"/>
        <v xml:space="preserve">Петрухин Денис Викторович</v>
      </c>
      <c r="I453" s="5">
        <f>IFERROR(IF(ISNUMBER(FIND("-",C453)),DATE(VALUE(LEFT(C453,4)),VALUE(MID(C453,6,2)),VALUE(RIGHT(C453,2))),IF(ISNUMBER(FIND(".",C453)),DATE(VALUE(RIGHT(C453,4)),VALUE(MID(C453,4,2)),VALUE(LEFT(C453,2))),DATE(VALUE(RIGHT(C453,4)),VLOOKUP(TRIM(MID(C453,FIND(" ",C453)+1,LEN(C453)-FIND(" ",C453)-5)),Справочники!$M$3:$N$14,2,0),VALUE(LEFT(C453,FIND(" ",C453)-1))))),"")</f>
        <v>33703</v>
      </c>
      <c r="J453" s="6">
        <f t="shared" si="228"/>
        <v>34</v>
      </c>
      <c r="K453" t="str">
        <f t="shared" si="229"/>
        <v>ОК</v>
      </c>
      <c r="L453" s="5">
        <f>IFERROR(IF(ISNUMBER(FIND("-",G453)),DATE(VALUE(LEFT(G453,4)),VALUE(MID(G453,6,2)),VALUE(RIGHT(G453,2))),IF(ISNUMBER(FIND(".",G453)),DATE(VALUE(RIGHT(G453,4)),VALUE(MID(G453,4,2)),VALUE(LEFT(G453,2))),DATE(VALUE(RIGHT(G453,4)),VLOOKUP(TRIM(MID(G453,FIND(" ",G453)+1,LEN(G453)-FIND(" ",G453)-5)),Справочники!$M$3:$N$14,2,0),VALUE(LEFT(G453,FIND(" ",G453)-1))))),"")</f>
        <v>49140</v>
      </c>
      <c r="M453" t="str">
        <f t="shared" si="230"/>
        <v xml:space="preserve">+7 (903) 678-90-12</v>
      </c>
      <c r="N453" t="str">
        <f t="shared" si="231"/>
        <v>petruhin@yandex</v>
      </c>
      <c r="O453" t="str">
        <f t="shared" si="232"/>
        <v xml:space="preserve">Ошибка Email</v>
      </c>
      <c r="P453" t="str">
        <f>IFERROR(VLOOKUP(TRIM(SUBSTITUTE(SUBSTITUTE(" "&amp;F453," г "," "),"г.","")),Справочники!$J$3:$K$102,2,0),TRIM(SUBSTITUTE(SUBSTITUTE(" "&amp;F453," г "," "),"г.","")))</f>
        <v>Балашиха</v>
      </c>
    </row>
    <row r="454">
      <c r="A454" s="3" t="s">
        <v>2941</v>
      </c>
      <c r="B454" s="3" t="s">
        <v>5849</v>
      </c>
      <c r="C454" s="3" t="s">
        <v>5850</v>
      </c>
      <c r="D454" s="3" t="s">
        <v>4001</v>
      </c>
      <c r="E454" s="3" t="s">
        <v>5851</v>
      </c>
      <c r="F454" s="3" t="s">
        <v>4380</v>
      </c>
      <c r="G454" s="3" t="s">
        <v>5852</v>
      </c>
      <c r="H454" t="str">
        <f t="shared" si="227"/>
        <v xml:space="preserve">Буторина Мария Олеговна</v>
      </c>
      <c r="I454" s="5">
        <f>IFERROR(IF(ISNUMBER(FIND("-",C454)),DATE(VALUE(LEFT(C454,4)),VALUE(MID(C454,6,2)),VALUE(RIGHT(C454,2))),IF(ISNUMBER(FIND(".",C454)),DATE(VALUE(RIGHT(C454,4)),VALUE(MID(C454,4,2)),VALUE(LEFT(C454,2))),DATE(VALUE(RIGHT(C454,4)),VLOOKUP(TRIM(MID(C454,FIND(" ",C454)+1,LEN(C454)-FIND(" ",C454)-5)),Справочники!$M$3:$N$14,2,0),VALUE(LEFT(C454,FIND(" ",C454)-1))))),"")</f>
        <v>29160</v>
      </c>
      <c r="J454" s="6">
        <f t="shared" si="228"/>
        <v>46</v>
      </c>
      <c r="K454" t="str">
        <f t="shared" si="229"/>
        <v>ОК</v>
      </c>
      <c r="L454" s="5">
        <f>IFERROR(IF(ISNUMBER(FIND("-",G454)),DATE(VALUE(LEFT(G454,4)),VALUE(MID(G454,6,2)),VALUE(RIGHT(G454,2))),IF(ISNUMBER(FIND(".",G454)),DATE(VALUE(RIGHT(G454,4)),VALUE(MID(G454,4,2)),VALUE(LEFT(G454,2))),DATE(VALUE(RIGHT(G454,4)),VLOOKUP(TRIM(MID(G454,FIND(" ",G454)+1,LEN(G454)-FIND(" ",G454)-5)),Справочники!$M$3:$N$14,2,0),VALUE(LEFT(G454,FIND(" ",G454)-1))))),"")</f>
        <v>49140</v>
      </c>
      <c r="M454" t="str">
        <f t="shared" si="230"/>
        <v xml:space="preserve">+7 (903) 789-01-23</v>
      </c>
      <c r="N454" t="str">
        <f t="shared" si="231"/>
        <v>butorina@gmail</v>
      </c>
      <c r="O454" t="str">
        <f t="shared" si="232"/>
        <v xml:space="preserve">Ошибка Email</v>
      </c>
      <c r="P454" t="str">
        <f>IFERROR(VLOOKUP(TRIM(SUBSTITUTE(SUBSTITUTE(" "&amp;F454," г "," "),"г.","")),Справочники!$J$3:$K$102,2,0),TRIM(SUBSTITUTE(SUBSTITUTE(" "&amp;F454," г "," "),"г.","")))</f>
        <v>Сургут</v>
      </c>
    </row>
    <row r="455">
      <c r="A455" s="3" t="s">
        <v>2942</v>
      </c>
      <c r="B455" s="3" t="s">
        <v>5853</v>
      </c>
      <c r="C455" s="3" t="s">
        <v>5854</v>
      </c>
      <c r="D455" s="3" t="s">
        <v>4138</v>
      </c>
      <c r="E455" s="3" t="s">
        <v>5855</v>
      </c>
      <c r="F455" s="3" t="s">
        <v>4385</v>
      </c>
      <c r="G455" s="3" t="s">
        <v>5856</v>
      </c>
      <c r="H455" t="str">
        <f t="shared" si="227"/>
        <v xml:space="preserve">Кисель Андрей Александрович</v>
      </c>
      <c r="I455" s="5">
        <f>IFERROR(IF(ISNUMBER(FIND("-",C455)),DATE(VALUE(LEFT(C455,4)),VALUE(MID(C455,6,2)),VALUE(RIGHT(C455,2))),IF(ISNUMBER(FIND(".",C455)),DATE(VALUE(RIGHT(C455,4)),VALUE(MID(C455,4,2)),VALUE(LEFT(C455,2))),DATE(VALUE(RIGHT(C455,4)),VLOOKUP(TRIM(MID(C455,FIND(" ",C455)+1,LEN(C455)-FIND(" ",C455)-5)),Справочники!$M$3:$N$14,2,0),VALUE(LEFT(C455,FIND(" ",C455)-1))))),"")</f>
        <v>30578</v>
      </c>
      <c r="J455" s="6">
        <f t="shared" si="228"/>
        <v>43</v>
      </c>
      <c r="K455" t="str">
        <f t="shared" si="229"/>
        <v>ОК</v>
      </c>
      <c r="L455" s="5">
        <f>IFERROR(IF(ISNUMBER(FIND("-",G455)),DATE(VALUE(LEFT(G455,4)),VALUE(MID(G455,6,2)),VALUE(RIGHT(G455,2))),IF(ISNUMBER(FIND(".",G455)),DATE(VALUE(RIGHT(G455,4)),VALUE(MID(G455,4,2)),VALUE(LEFT(G455,2))),DATE(VALUE(RIGHT(G455,4)),VLOOKUP(TRIM(MID(G455,FIND(" ",G455)+1,LEN(G455)-FIND(" ",G455)-5)),Справочники!$M$3:$N$14,2,0),VALUE(LEFT(G455,FIND(" ",G455)-1))))),"")</f>
        <v>49157</v>
      </c>
      <c r="M455" t="str">
        <f t="shared" si="230"/>
        <v xml:space="preserve">+7 (903) 789-01-23</v>
      </c>
      <c r="N455" t="str">
        <f t="shared" si="231"/>
        <v>kisel@mail</v>
      </c>
      <c r="O455" t="str">
        <f t="shared" si="232"/>
        <v xml:space="preserve">Ошибка Email</v>
      </c>
      <c r="P455" t="str">
        <f>IFERROR(VLOOKUP(TRIM(SUBSTITUTE(SUBSTITUTE(" "&amp;F455," г "," "),"г.","")),Справочники!$J$3:$K$102,2,0),TRIM(SUBSTITUTE(SUBSTITUTE(" "&amp;F455," г "," "),"г.","")))</f>
        <v>Армавир</v>
      </c>
    </row>
    <row r="456">
      <c r="A456" s="3" t="s">
        <v>2944</v>
      </c>
      <c r="B456" s="3" t="s">
        <v>5857</v>
      </c>
      <c r="C456" s="3" t="s">
        <v>5858</v>
      </c>
      <c r="D456" s="3" t="s">
        <v>4144</v>
      </c>
      <c r="E456" s="3" t="s">
        <v>5859</v>
      </c>
      <c r="F456" s="3" t="s">
        <v>4390</v>
      </c>
      <c r="G456" s="3" t="s">
        <v>5860</v>
      </c>
      <c r="H456" t="str">
        <f t="shared" si="227"/>
        <v xml:space="preserve">Юсупова Ольга Павловна</v>
      </c>
      <c r="I456" s="5">
        <f>IFERROR(IF(ISNUMBER(FIND("-",C456)),DATE(VALUE(LEFT(C456,4)),VALUE(MID(C456,6,2)),VALUE(RIGHT(C456,2))),IF(ISNUMBER(FIND(".",C456)),DATE(VALUE(RIGHT(C456,4)),VALUE(MID(C456,4,2)),VALUE(LEFT(C456,2))),DATE(VALUE(RIGHT(C456,4)),VLOOKUP(TRIM(MID(C456,FIND(" ",C456)+1,LEN(C456)-FIND(" ",C456)-5)),Справочники!$M$3:$N$14,2,0),VALUE(LEFT(C456,FIND(" ",C456)-1))))),"")</f>
        <v>31924</v>
      </c>
      <c r="J456" s="6">
        <f t="shared" si="228"/>
        <v>39</v>
      </c>
      <c r="K456" t="str">
        <f t="shared" si="229"/>
        <v>ОК</v>
      </c>
      <c r="L456" s="5">
        <f>IFERROR(IF(ISNUMBER(FIND("-",G456)),DATE(VALUE(LEFT(G456,4)),VALUE(MID(G456,6,2)),VALUE(RIGHT(G456,2))),IF(ISNUMBER(FIND(".",G456)),DATE(VALUE(RIGHT(G456,4)),VALUE(MID(G456,4,2)),VALUE(LEFT(G456,2))),DATE(VALUE(RIGHT(G456,4)),VLOOKUP(TRIM(MID(G456,FIND(" ",G456)+1,LEN(G456)-FIND(" ",G456)-5)),Справочники!$M$3:$N$14,2,0),VALUE(LEFT(G456,FIND(" ",G456)-1))))),"")</f>
        <v>49166</v>
      </c>
      <c r="M456" t="str">
        <f t="shared" si="230"/>
        <v xml:space="preserve">+7 (903) 789-01-23</v>
      </c>
      <c r="N456" t="str">
        <f t="shared" si="231"/>
        <v>yusupova@yandex</v>
      </c>
      <c r="O456" t="str">
        <f t="shared" si="232"/>
        <v xml:space="preserve">Ошибка Email</v>
      </c>
      <c r="P456" t="str">
        <f>IFERROR(VLOOKUP(TRIM(SUBSTITUTE(SUBSTITUTE(" "&amp;F456," г "," "),"г.","")),Справочники!$J$3:$K$102,2,0),TRIM(SUBSTITUTE(SUBSTITUTE(" "&amp;F456," г "," "),"г.","")))</f>
        <v>Волжский</v>
      </c>
    </row>
    <row r="457">
      <c r="A457" s="3" t="s">
        <v>2946</v>
      </c>
      <c r="B457" s="3" t="s">
        <v>5861</v>
      </c>
      <c r="C457" s="3" t="s">
        <v>5862</v>
      </c>
      <c r="D457" s="3" t="s">
        <v>4150</v>
      </c>
      <c r="E457" s="3" t="s">
        <v>5863</v>
      </c>
      <c r="F457" s="3" t="s">
        <v>4395</v>
      </c>
      <c r="G457" s="3" t="s">
        <v>5864</v>
      </c>
      <c r="H457" t="str">
        <f t="shared" si="227"/>
        <v xml:space="preserve">Рудаков Илья Игоревич</v>
      </c>
      <c r="I457" s="5">
        <f>IFERROR(IF(ISNUMBER(FIND("-",C457)),DATE(VALUE(LEFT(C457,4)),VALUE(MID(C457,6,2)),VALUE(RIGHT(C457,2))),IF(ISNUMBER(FIND(".",C457)),DATE(VALUE(RIGHT(C457,4)),VALUE(MID(C457,4,2)),VALUE(LEFT(C457,2))),DATE(VALUE(RIGHT(C457,4)),VLOOKUP(TRIM(MID(C457,FIND(" ",C457)+1,LEN(C457)-FIND(" ",C457)-5)),Справочники!$M$3:$N$14,2,0),VALUE(LEFT(C457,FIND(" ",C457)-1))))),"")</f>
        <v>27441</v>
      </c>
      <c r="J457" s="6">
        <f t="shared" si="228"/>
        <v>51</v>
      </c>
      <c r="K457" t="str">
        <f t="shared" si="229"/>
        <v>ОК</v>
      </c>
      <c r="L457" s="5">
        <f>IFERROR(IF(ISNUMBER(FIND("-",G457)),DATE(VALUE(LEFT(G457,4)),VALUE(MID(G457,6,2)),VALUE(RIGHT(G457,2))),IF(ISNUMBER(FIND(".",G457)),DATE(VALUE(RIGHT(G457,4)),VALUE(MID(G457,4,2)),VALUE(LEFT(G457,2))),DATE(VALUE(RIGHT(G457,4)),VLOOKUP(TRIM(MID(G457,FIND(" ",G457)+1,LEN(G457)-FIND(" ",G457)-5)),Справочники!$M$3:$N$14,2,0),VALUE(LEFT(G457,FIND(" ",G457)-1))))),"")</f>
        <v>49166</v>
      </c>
      <c r="M457" t="str">
        <f t="shared" si="230"/>
        <v xml:space="preserve">+7 (903) 890-12-34</v>
      </c>
      <c r="N457" t="str">
        <f t="shared" si="231"/>
        <v>rudakov@gmail</v>
      </c>
      <c r="O457" t="str">
        <f t="shared" si="232"/>
        <v xml:space="preserve">Ошибка Email</v>
      </c>
      <c r="P457" t="str">
        <f>IFERROR(VLOOKUP(TRIM(SUBSTITUTE(SUBSTITUTE(" "&amp;F457," г "," "),"г.","")),Справочники!$J$3:$K$102,2,0),TRIM(SUBSTITUTE(SUBSTITUTE(" "&amp;F457," г "," "),"г.","")))</f>
        <v>Шахты</v>
      </c>
    </row>
    <row r="458">
      <c r="A458" s="3" t="s">
        <v>2949</v>
      </c>
      <c r="B458" s="3" t="s">
        <v>5865</v>
      </c>
      <c r="C458" s="3" t="s">
        <v>5866</v>
      </c>
      <c r="D458" s="3" t="s">
        <v>4007</v>
      </c>
      <c r="E458" s="3" t="s">
        <v>5867</v>
      </c>
      <c r="F458" s="3" t="s">
        <v>4400</v>
      </c>
      <c r="G458" s="3" t="s">
        <v>5868</v>
      </c>
      <c r="H458" t="str">
        <f t="shared" si="227"/>
        <v xml:space="preserve">Мосина Елена Владимировна</v>
      </c>
      <c r="I458" s="5">
        <f>IFERROR(IF(ISNUMBER(FIND("-",C458)),DATE(VALUE(LEFT(C458,4)),VALUE(MID(C458,6,2)),VALUE(RIGHT(C458,2))),IF(ISNUMBER(FIND(".",C458)),DATE(VALUE(RIGHT(C458,4)),VALUE(MID(C458,4,2)),VALUE(LEFT(C458,2))),DATE(VALUE(RIGHT(C458,4)),VLOOKUP(TRIM(MID(C458,FIND(" ",C458)+1,LEN(C458)-FIND(" ",C458)-5)),Справочники!$M$3:$N$14,2,0),VALUE(LEFT(C458,FIND(" ",C458)-1))))),"")</f>
        <v>29439</v>
      </c>
      <c r="J458" s="6">
        <f t="shared" si="228"/>
        <v>46</v>
      </c>
      <c r="K458" t="str">
        <f t="shared" si="229"/>
        <v>ОК</v>
      </c>
      <c r="L458" s="5">
        <f>IFERROR(IF(ISNUMBER(FIND("-",G458)),DATE(VALUE(LEFT(G458,4)),VALUE(MID(G458,6,2)),VALUE(RIGHT(G458,2))),IF(ISNUMBER(FIND(".",G458)),DATE(VALUE(RIGHT(G458,4)),VALUE(MID(G458,4,2)),VALUE(LEFT(G458,2))),DATE(VALUE(RIGHT(G458,4)),VLOOKUP(TRIM(MID(G458,FIND(" ",G458)+1,LEN(G458)-FIND(" ",G458)-5)),Справочники!$M$3:$N$14,2,0),VALUE(LEFT(G458,FIND(" ",G458)-1))))),"")</f>
        <v>49188</v>
      </c>
      <c r="M458" t="str">
        <f t="shared" si="230"/>
        <v xml:space="preserve">+7 (903) 890-12-34</v>
      </c>
      <c r="N458" t="str">
        <f t="shared" si="231"/>
        <v>mosina@mail</v>
      </c>
      <c r="O458" t="str">
        <f t="shared" si="232"/>
        <v xml:space="preserve">Ошибка Email</v>
      </c>
      <c r="P458" t="str">
        <f>IFERROR(VLOOKUP(TRIM(SUBSTITUTE(SUBSTITUTE(" "&amp;F458," г "," "),"г.","")),Справочники!$J$3:$K$102,2,0),TRIM(SUBSTITUTE(SUBSTITUTE(" "&amp;F458," г "," "),"г.","")))</f>
        <v>Златоуст</v>
      </c>
    </row>
    <row r="459">
      <c r="A459" s="3" t="s">
        <v>2951</v>
      </c>
      <c r="B459" s="3" t="s">
        <v>5869</v>
      </c>
      <c r="C459" s="3" t="s">
        <v>5870</v>
      </c>
      <c r="D459" s="3" t="s">
        <v>1619</v>
      </c>
      <c r="E459" s="3" t="s">
        <v>5871</v>
      </c>
      <c r="F459" s="3" t="s">
        <v>4405</v>
      </c>
      <c r="G459" s="3" t="s">
        <v>5872</v>
      </c>
      <c r="H459" t="str">
        <f t="shared" si="227"/>
        <v xml:space="preserve">Титов Андрей Сергеевич</v>
      </c>
      <c r="I459" s="5">
        <f>IFERROR(IF(ISNUMBER(FIND("-",C459)),DATE(VALUE(LEFT(C459,4)),VALUE(MID(C459,6,2)),VALUE(RIGHT(C459,2))),IF(ISNUMBER(FIND(".",C459)),DATE(VALUE(RIGHT(C459,4)),VALUE(MID(C459,4,2)),VALUE(LEFT(C459,2))),DATE(VALUE(RIGHT(C459,4)),VLOOKUP(TRIM(MID(C459,FIND(" ",C459)+1,LEN(C459)-FIND(" ",C459)-5)),Справочники!$M$3:$N$14,2,0),VALUE(LEFT(C459,FIND(" ",C459)-1))))),"")</f>
        <v>33171</v>
      </c>
      <c r="J459" s="6">
        <f t="shared" si="228"/>
        <v>35</v>
      </c>
      <c r="K459" t="str">
        <f t="shared" si="229"/>
        <v>ОК</v>
      </c>
      <c r="L459" s="5">
        <f>IFERROR(IF(ISNUMBER(FIND("-",G459)),DATE(VALUE(LEFT(G459,4)),VALUE(MID(G459,6,2)),VALUE(RIGHT(G459,2))),IF(ISNUMBER(FIND(".",G459)),DATE(VALUE(RIGHT(G459,4)),VALUE(MID(G459,4,2)),VALUE(LEFT(G459,2))),DATE(VALUE(RIGHT(G459,4)),VLOOKUP(TRIM(MID(G459,FIND(" ",G459)+1,LEN(G459)-FIND(" ",G459)-5)),Справочники!$M$3:$N$14,2,0),VALUE(LEFT(G459,FIND(" ",G459)-1))))),"")</f>
        <v>49202</v>
      </c>
      <c r="M459" t="str">
        <f t="shared" si="230"/>
        <v xml:space="preserve">+7 (903) 890-12-34</v>
      </c>
      <c r="N459" t="str">
        <f t="shared" si="231"/>
        <v>titov@yandex</v>
      </c>
      <c r="O459" t="str">
        <f t="shared" si="232"/>
        <v xml:space="preserve">Ошибка Email</v>
      </c>
      <c r="P459" t="str">
        <f>IFERROR(VLOOKUP(TRIM(SUBSTITUTE(SUBSTITUTE(" "&amp;F459," г "," "),"г.","")),Справочники!$J$3:$K$102,2,0),TRIM(SUBSTITUTE(SUBSTITUTE(" "&amp;F459," г "," "),"г.","")))</f>
        <v>Ангарск</v>
      </c>
    </row>
    <row r="460">
      <c r="A460" s="3" t="s">
        <v>2953</v>
      </c>
      <c r="B460" s="3" t="s">
        <v>5873</v>
      </c>
      <c r="C460" s="3" t="s">
        <v>5874</v>
      </c>
      <c r="D460" s="3" t="s">
        <v>4018</v>
      </c>
      <c r="E460" s="3" t="s">
        <v>5875</v>
      </c>
      <c r="F460" s="3" t="s">
        <v>4410</v>
      </c>
      <c r="G460" s="3" t="s">
        <v>5876</v>
      </c>
      <c r="H460" t="str">
        <f t="shared" si="227"/>
        <v xml:space="preserve">Вершинина Мария Николаевна</v>
      </c>
      <c r="I460" s="5">
        <f>IFERROR(IF(ISNUMBER(FIND("-",C460)),DATE(VALUE(LEFT(C460,4)),VALUE(MID(C460,6,2)),VALUE(RIGHT(C460,2))),IF(ISNUMBER(FIND(".",C460)),DATE(VALUE(RIGHT(C460,4)),VALUE(MID(C460,4,2)),VALUE(LEFT(C460,2))),DATE(VALUE(RIGHT(C460,4)),VLOOKUP(TRIM(MID(C460,FIND(" ",C460)+1,LEN(C460)-FIND(" ",C460)-5)),Справочники!$M$3:$N$14,2,0),VALUE(LEFT(C460,FIND(" ",C460)-1))))),"")</f>
        <v>31241</v>
      </c>
      <c r="J460" s="6">
        <f t="shared" si="228"/>
        <v>41</v>
      </c>
      <c r="K460" t="str">
        <f t="shared" si="229"/>
        <v>ОК</v>
      </c>
      <c r="L460" s="5">
        <f>IFERROR(IF(ISNUMBER(FIND("-",G460)),DATE(VALUE(LEFT(G460,4)),VALUE(MID(G460,6,2)),VALUE(RIGHT(G460,2))),IF(ISNUMBER(FIND(".",G460)),DATE(VALUE(RIGHT(G460,4)),VALUE(MID(G460,4,2)),VALUE(LEFT(G460,2))),DATE(VALUE(RIGHT(G460,4)),VLOOKUP(TRIM(MID(G460,FIND(" ",G460)+1,LEN(G460)-FIND(" ",G460)-5)),Справочники!$M$3:$N$14,2,0),VALUE(LEFT(G460,FIND(" ",G460)-1))))),"")</f>
        <v>49202</v>
      </c>
      <c r="M460" t="str">
        <f t="shared" si="230"/>
        <v xml:space="preserve">+7 (903) 901-23-45</v>
      </c>
      <c r="N460" t="str">
        <f t="shared" si="231"/>
        <v>vershinina@gmail</v>
      </c>
      <c r="O460" t="str">
        <f t="shared" si="232"/>
        <v xml:space="preserve">Ошибка Email</v>
      </c>
      <c r="P460" t="str">
        <f>IFERROR(VLOOKUP(TRIM(SUBSTITUTE(SUBSTITUTE(" "&amp;F460," г "," "),"г.","")),Справочники!$J$3:$K$102,2,0),TRIM(SUBSTITUTE(SUBSTITUTE(" "&amp;F460," г "," "),"г.","")))</f>
        <v>Озёрск</v>
      </c>
    </row>
    <row r="461">
      <c r="A461" s="3" t="s">
        <v>2954</v>
      </c>
      <c r="B461" s="3" t="s">
        <v>5877</v>
      </c>
      <c r="C461" s="3" t="s">
        <v>5878</v>
      </c>
      <c r="D461" s="3" t="s">
        <v>1626</v>
      </c>
      <c r="E461" s="3" t="s">
        <v>5879</v>
      </c>
      <c r="F461" s="3" t="s">
        <v>4415</v>
      </c>
      <c r="G461" s="3" t="s">
        <v>5880</v>
      </c>
      <c r="H461" t="str">
        <f t="shared" si="227"/>
        <v xml:space="preserve">Ануфриев Илья Олегович</v>
      </c>
      <c r="I461" s="5">
        <f>IFERROR(IF(ISNUMBER(FIND("-",C461)),DATE(VALUE(LEFT(C461,4)),VALUE(MID(C461,6,2)),VALUE(RIGHT(C461,2))),IF(ISNUMBER(FIND(".",C461)),DATE(VALUE(RIGHT(C461,4)),VALUE(MID(C461,4,2)),VALUE(LEFT(C461,2))),DATE(VALUE(RIGHT(C461,4)),VLOOKUP(TRIM(MID(C461,FIND(" ",C461)+1,LEN(C461)-FIND(" ",C461)-5)),Справочники!$M$3:$N$14,2,0),VALUE(LEFT(C461,FIND(" ",C461)-1))))),"")</f>
        <v>27031</v>
      </c>
      <c r="J461" s="6">
        <f t="shared" si="228"/>
        <v>52</v>
      </c>
      <c r="K461" t="str">
        <f t="shared" si="229"/>
        <v>ОК</v>
      </c>
      <c r="L461" s="5">
        <f>IFERROR(IF(ISNUMBER(FIND("-",G461)),DATE(VALUE(LEFT(G461,4)),VALUE(MID(G461,6,2)),VALUE(RIGHT(G461,2))),IF(ISNUMBER(FIND(".",G461)),DATE(VALUE(RIGHT(G461,4)),VALUE(MID(G461,4,2)),VALUE(LEFT(G461,2))),DATE(VALUE(RIGHT(G461,4)),VLOOKUP(TRIM(MID(G461,FIND(" ",G461)+1,LEN(G461)-FIND(" ",G461)-5)),Справочники!$M$3:$N$14,2,0),VALUE(LEFT(G461,FIND(" ",G461)-1))))),"")</f>
        <v>49218</v>
      </c>
      <c r="M461" t="str">
        <f t="shared" si="230"/>
        <v xml:space="preserve">+7 (903) 901-23-45</v>
      </c>
      <c r="N461" t="str">
        <f t="shared" si="231"/>
        <v>anufriev@mail</v>
      </c>
      <c r="O461" t="str">
        <f t="shared" si="232"/>
        <v xml:space="preserve">Ошибка Email</v>
      </c>
      <c r="P461" t="str">
        <f>IFERROR(VLOOKUP(TRIM(SUBSTITUTE(SUBSTITUTE(" "&amp;F461," г "," "),"г.","")),Справочники!$J$3:$K$102,2,0),TRIM(SUBSTITUTE(SUBSTITUTE(" "&amp;F461," г "," "),"г.","")))</f>
        <v>Орел</v>
      </c>
    </row>
    <row r="462">
      <c r="A462" s="3" t="s">
        <v>2957</v>
      </c>
      <c r="B462" s="3" t="s">
        <v>5881</v>
      </c>
      <c r="C462" s="3" t="s">
        <v>5695</v>
      </c>
      <c r="D462" s="3" t="s">
        <v>4176</v>
      </c>
      <c r="E462" s="3" t="s">
        <v>5882</v>
      </c>
      <c r="F462" s="3" t="s">
        <v>4205</v>
      </c>
      <c r="G462" s="3" t="s">
        <v>5883</v>
      </c>
      <c r="H462" t="str">
        <f t="shared" si="227"/>
        <v xml:space="preserve">Черникова Ольга Александровна</v>
      </c>
      <c r="I462" s="5">
        <f>IFERROR(IF(ISNUMBER(FIND("-",C462)),DATE(VALUE(LEFT(C462,4)),VALUE(MID(C462,6,2)),VALUE(RIGHT(C462,2))),IF(ISNUMBER(FIND(".",C462)),DATE(VALUE(RIGHT(C462,4)),VALUE(MID(C462,4,2)),VALUE(LEFT(C462,2))),DATE(VALUE(RIGHT(C462,4)),VLOOKUP(TRIM(MID(C462,FIND(" ",C462)+1,LEN(C462)-FIND(" ",C462)-5)),Справочники!$M$3:$N$14,2,0),VALUE(LEFT(C462,FIND(" ",C462)-1))))),"")</f>
        <v>29911</v>
      </c>
      <c r="J462" s="6">
        <f t="shared" si="228"/>
        <v>44</v>
      </c>
      <c r="K462" t="str">
        <f t="shared" si="229"/>
        <v>ОК</v>
      </c>
      <c r="L462" s="5">
        <f>IFERROR(IF(ISNUMBER(FIND("-",G462)),DATE(VALUE(LEFT(G462,4)),VALUE(MID(G462,6,2)),VALUE(RIGHT(G462,2))),IF(ISNUMBER(FIND(".",G462)),DATE(VALUE(RIGHT(G462,4)),VALUE(MID(G462,4,2)),VALUE(LEFT(G462,2))),DATE(VALUE(RIGHT(G462,4)),VLOOKUP(TRIM(MID(G462,FIND(" ",G462)+1,LEN(G462)-FIND(" ",G462)-5)),Справочники!$M$3:$N$14,2,0),VALUE(LEFT(G462,FIND(" ",G462)-1))))),"")</f>
        <v>49227</v>
      </c>
      <c r="M462" t="str">
        <f t="shared" si="230"/>
        <v xml:space="preserve">+7 (903) 901-23-45</v>
      </c>
      <c r="N462" t="str">
        <f t="shared" si="231"/>
        <v>chernikova@yandex</v>
      </c>
      <c r="O462" t="str">
        <f t="shared" si="232"/>
        <v xml:space="preserve">Ошибка Email</v>
      </c>
      <c r="P462" t="str">
        <f>IFERROR(VLOOKUP(TRIM(SUBSTITUTE(SUBSTITUTE(" "&amp;F462," г "," "),"г.","")),Справочники!$J$3:$K$102,2,0),TRIM(SUBSTITUTE(SUBSTITUTE(" "&amp;F462," г "," "),"г.","")))</f>
        <v>Якутск</v>
      </c>
    </row>
    <row r="463">
      <c r="A463" s="3" t="s">
        <v>2958</v>
      </c>
      <c r="B463" s="3" t="s">
        <v>5884</v>
      </c>
      <c r="C463" s="3" t="s">
        <v>5885</v>
      </c>
      <c r="D463" s="3" t="s">
        <v>4182</v>
      </c>
      <c r="E463" s="3" t="s">
        <v>5886</v>
      </c>
      <c r="F463" s="3" t="s">
        <v>4152</v>
      </c>
      <c r="G463" s="3" t="s">
        <v>5887</v>
      </c>
      <c r="H463" t="str">
        <f t="shared" si="227"/>
        <v xml:space="preserve">Дударев Денис Павлович</v>
      </c>
      <c r="I463" s="5">
        <f>IFERROR(IF(ISNUMBER(FIND("-",C463)),DATE(VALUE(LEFT(C463,4)),VALUE(MID(C463,6,2)),VALUE(RIGHT(C463,2))),IF(ISNUMBER(FIND(".",C463)),DATE(VALUE(RIGHT(C463,4)),VALUE(MID(C463,4,2)),VALUE(LEFT(C463,2))),DATE(VALUE(RIGHT(C463,4)),VLOOKUP(TRIM(MID(C463,FIND(" ",C463)+1,LEN(C463)-FIND(" ",C463)-5)),Справочники!$M$3:$N$14,2,0),VALUE(LEFT(C463,FIND(" ",C463)-1))))),"")</f>
        <v>32400</v>
      </c>
      <c r="J463" s="6">
        <f t="shared" si="228"/>
        <v>38</v>
      </c>
      <c r="K463" t="str">
        <f t="shared" si="229"/>
        <v>ОК</v>
      </c>
      <c r="L463" s="5">
        <f>IFERROR(IF(ISNUMBER(FIND("-",G463)),DATE(VALUE(LEFT(G463,4)),VALUE(MID(G463,6,2)),VALUE(RIGHT(G463,2))),IF(ISNUMBER(FIND(".",G463)),DATE(VALUE(RIGHT(G463,4)),VALUE(MID(G463,4,2)),VALUE(LEFT(G463,2))),DATE(VALUE(RIGHT(G463,4)),VLOOKUP(TRIM(MID(G463,FIND(" ",G463)+1,LEN(G463)-FIND(" ",G463)-5)),Справочники!$M$3:$N$14,2,0),VALUE(LEFT(G463,FIND(" ",G463)-1))))),"")</f>
        <v>49227</v>
      </c>
      <c r="M463" t="str">
        <f t="shared" si="230"/>
        <v xml:space="preserve">+7 (903) 012-34-56</v>
      </c>
      <c r="N463" t="str">
        <f t="shared" si="231"/>
        <v>dudarev@gmail</v>
      </c>
      <c r="O463" t="str">
        <f t="shared" si="232"/>
        <v xml:space="preserve">Ошибка Email</v>
      </c>
      <c r="P463" t="str">
        <f>IFERROR(VLOOKUP(TRIM(SUBSTITUTE(SUBSTITUTE(" "&amp;F463," г "," "),"г.","")),Справочники!$J$3:$K$102,2,0),TRIM(SUBSTITUTE(SUBSTITUTE(" "&amp;F463," г "," "),"г.","")))</f>
        <v>Чебоксары</v>
      </c>
    </row>
    <row r="464">
      <c r="A464" s="3" t="s">
        <v>2960</v>
      </c>
      <c r="B464" s="3" t="s">
        <v>5888</v>
      </c>
      <c r="C464" s="3" t="s">
        <v>5889</v>
      </c>
      <c r="D464" s="3" t="s">
        <v>4188</v>
      </c>
      <c r="E464" s="3" t="s">
        <v>5890</v>
      </c>
      <c r="F464" s="3" t="s">
        <v>4245</v>
      </c>
      <c r="G464" s="3" t="s">
        <v>5891</v>
      </c>
      <c r="H464" t="str">
        <f t="shared" si="227"/>
        <v xml:space="preserve">Лаптева Екатерина Игоревна</v>
      </c>
      <c r="I464" s="5">
        <f>IFERROR(IF(ISNUMBER(FIND("-",C464)),DATE(VALUE(LEFT(C464,4)),VALUE(MID(C464,6,2)),VALUE(RIGHT(C464,2))),IF(ISNUMBER(FIND(".",C464)),DATE(VALUE(RIGHT(C464,4)),VALUE(MID(C464,4,2)),VALUE(LEFT(C464,2))),DATE(VALUE(RIGHT(C464,4)),VLOOKUP(TRIM(MID(C464,FIND(" ",C464)+1,LEN(C464)-FIND(" ",C464)-5)),Справочники!$M$3:$N$14,2,0),VALUE(LEFT(C464,FIND(" ",C464)-1))))),"")</f>
        <v>27929</v>
      </c>
      <c r="J464" s="6">
        <f t="shared" si="228"/>
        <v>50</v>
      </c>
      <c r="K464" t="str">
        <f t="shared" si="229"/>
        <v>ОК</v>
      </c>
      <c r="L464" s="5">
        <f>IFERROR(IF(ISNUMBER(FIND("-",G464)),DATE(VALUE(LEFT(G464,4)),VALUE(MID(G464,6,2)),VALUE(RIGHT(G464,2))),IF(ISNUMBER(FIND(".",G464)),DATE(VALUE(RIGHT(G464,4)),VALUE(MID(G464,4,2)),VALUE(LEFT(G464,2))),DATE(VALUE(RIGHT(G464,4)),VLOOKUP(TRIM(MID(G464,FIND(" ",G464)+1,LEN(G464)-FIND(" ",G464)-5)),Справочники!$M$3:$N$14,2,0),VALUE(LEFT(G464,FIND(" ",G464)-1))))),"")</f>
        <v>49249</v>
      </c>
      <c r="M464" t="str">
        <f t="shared" si="230"/>
        <v xml:space="preserve">+7 (903) 012-34-56</v>
      </c>
      <c r="N464" t="str">
        <f t="shared" si="231"/>
        <v>lapteva@mail</v>
      </c>
      <c r="O464" t="str">
        <f t="shared" si="232"/>
        <v xml:space="preserve">Ошибка Email</v>
      </c>
      <c r="P464" t="str">
        <f>IFERROR(VLOOKUP(TRIM(SUBSTITUTE(SUBSTITUTE(" "&amp;F464," г "," "),"г.","")),Справочники!$J$3:$K$102,2,0),TRIM(SUBSTITUTE(SUBSTITUTE(" "&amp;F464," г "," "),"г.","")))</f>
        <v>Мурманск</v>
      </c>
    </row>
    <row r="465">
      <c r="A465" s="3" t="s">
        <v>2962</v>
      </c>
      <c r="B465" s="3" t="s">
        <v>5892</v>
      </c>
      <c r="C465" s="3" t="s">
        <v>5893</v>
      </c>
      <c r="D465" s="3" t="s">
        <v>1633</v>
      </c>
      <c r="E465" s="3" t="s">
        <v>5894</v>
      </c>
      <c r="F465" s="3" t="s">
        <v>4235</v>
      </c>
      <c r="G465" s="3" t="s">
        <v>5895</v>
      </c>
      <c r="H465" t="str">
        <f t="shared" si="227"/>
        <v xml:space="preserve">Печников Андрей Викторович</v>
      </c>
      <c r="I465" s="5">
        <f>IFERROR(IF(ISNUMBER(FIND("-",C465)),DATE(VALUE(LEFT(C465,4)),VALUE(MID(C465,6,2)),VALUE(RIGHT(C465,2))),IF(ISNUMBER(FIND(".",C465)),DATE(VALUE(RIGHT(C465,4)),VALUE(MID(C465,4,2)),VALUE(LEFT(C465,2))),DATE(VALUE(RIGHT(C465,4)),VLOOKUP(TRIM(MID(C465,FIND(" ",C465)+1,LEN(C465)-FIND(" ",C465)-5)),Справочники!$M$3:$N$14,2,0),VALUE(LEFT(C465,FIND(" ",C465)-1))))),"")</f>
        <v>30655</v>
      </c>
      <c r="J465" s="6">
        <f t="shared" si="228"/>
        <v>42</v>
      </c>
      <c r="K465" t="str">
        <f t="shared" si="229"/>
        <v>ОК</v>
      </c>
      <c r="L465" s="5">
        <f>IFERROR(IF(ISNUMBER(FIND("-",G465)),DATE(VALUE(LEFT(G465,4)),VALUE(MID(G465,6,2)),VALUE(RIGHT(G465,2))),IF(ISNUMBER(FIND(".",G465)),DATE(VALUE(RIGHT(G465,4)),VALUE(MID(G465,4,2)),VALUE(LEFT(G465,2))),DATE(VALUE(RIGHT(G465,4)),VLOOKUP(TRIM(MID(G465,FIND(" ",G465)+1,LEN(G465)-FIND(" ",G465)-5)),Справочники!$M$3:$N$14,2,0),VALUE(LEFT(G465,FIND(" ",G465)-1))))),"")</f>
        <v>49263</v>
      </c>
      <c r="M465" t="str">
        <f t="shared" si="230"/>
        <v xml:space="preserve">+7 (903) 012-34-56</v>
      </c>
      <c r="N465" t="str">
        <f t="shared" si="231"/>
        <v>pechnikov@yandex</v>
      </c>
      <c r="O465" t="str">
        <f t="shared" si="232"/>
        <v xml:space="preserve">Ошибка Email</v>
      </c>
      <c r="P465" t="str">
        <f>IFERROR(VLOOKUP(TRIM(SUBSTITUTE(SUBSTITUTE(" "&amp;F465," г "," "),"г.","")),Справочники!$J$3:$K$102,2,0),TRIM(SUBSTITUTE(SUBSTITUTE(" "&amp;F465," г "," "),"г.","")))</f>
        <v>Смоленск</v>
      </c>
    </row>
    <row r="466">
      <c r="A466" s="3" t="s">
        <v>2965</v>
      </c>
      <c r="B466" s="3" t="s">
        <v>5896</v>
      </c>
      <c r="C466" s="3" t="s">
        <v>5897</v>
      </c>
      <c r="D466" s="3" t="s">
        <v>4034</v>
      </c>
      <c r="E466" s="3" t="s">
        <v>5898</v>
      </c>
      <c r="F466" s="3" t="s">
        <v>4220</v>
      </c>
      <c r="G466" s="3" t="s">
        <v>5899</v>
      </c>
      <c r="H466" t="str">
        <f t="shared" si="227"/>
        <v xml:space="preserve">Бобылева Мария Сергеевна</v>
      </c>
      <c r="I466" s="5">
        <f>IFERROR(IF(ISNUMBER(FIND("-",C466)),DATE(VALUE(LEFT(C466,4)),VALUE(MID(C466,6,2)),VALUE(RIGHT(C466,2))),IF(ISNUMBER(FIND(".",C466)),DATE(VALUE(RIGHT(C466,4)),VALUE(MID(C466,4,2)),VALUE(LEFT(C466,2))),DATE(VALUE(RIGHT(C466,4)),VLOOKUP(TRIM(MID(C466,FIND(" ",C466)+1,LEN(C466)-FIND(" ",C466)-5)),Справочники!$M$3:$N$14,2,0),VALUE(LEFT(C466,FIND(" ",C466)-1))))),"")</f>
        <v>33323</v>
      </c>
      <c r="J466" s="6">
        <f t="shared" si="228"/>
        <v>35</v>
      </c>
      <c r="K466" t="str">
        <f t="shared" si="229"/>
        <v>ОК</v>
      </c>
      <c r="L466" s="5">
        <f>IFERROR(IF(ISNUMBER(FIND("-",G466)),DATE(VALUE(LEFT(G466,4)),VALUE(MID(G466,6,2)),VALUE(RIGHT(G466,2))),IF(ISNUMBER(FIND(".",G466)),DATE(VALUE(RIGHT(G466,4)),VALUE(MID(G466,4,2)),VALUE(LEFT(G466,2))),DATE(VALUE(RIGHT(G466,4)),VLOOKUP(TRIM(MID(G466,FIND(" ",G466)+1,LEN(G466)-FIND(" ",G466)-5)),Справочники!$M$3:$N$14,2,0),VALUE(LEFT(G466,FIND(" ",G466)-1))))),"")</f>
        <v>49263</v>
      </c>
      <c r="M466" t="str">
        <f t="shared" si="230"/>
        <v xml:space="preserve">+7 (903) 123-45-67</v>
      </c>
      <c r="N466" t="str">
        <f t="shared" si="231"/>
        <v>bobyleva@gmail</v>
      </c>
      <c r="O466" t="str">
        <f t="shared" si="232"/>
        <v xml:space="preserve">Ошибка Email</v>
      </c>
      <c r="P466" t="str">
        <f>IFERROR(VLOOKUP(TRIM(SUBSTITUTE(SUBSTITUTE(" "&amp;F466," г "," "),"г.","")),Справочники!$J$3:$K$102,2,0),TRIM(SUBSTITUTE(SUBSTITUTE(" "&amp;F466," г "," "),"г.","")))</f>
        <v>Тула</v>
      </c>
    </row>
    <row r="467">
      <c r="A467" s="3" t="s">
        <v>2967</v>
      </c>
      <c r="B467" s="3" t="s">
        <v>5900</v>
      </c>
      <c r="C467" s="3" t="s">
        <v>5901</v>
      </c>
      <c r="D467" s="3" t="s">
        <v>4040</v>
      </c>
      <c r="E467" s="3" t="s">
        <v>5902</v>
      </c>
      <c r="F467" s="3" t="s">
        <v>4225</v>
      </c>
      <c r="G467" s="3" t="s">
        <v>5903</v>
      </c>
      <c r="H467" t="str">
        <f t="shared" si="227"/>
        <v xml:space="preserve">Гордеев Денис Олегович</v>
      </c>
      <c r="I467" s="5">
        <f>IFERROR(IF(ISNUMBER(FIND("-",C467)),DATE(VALUE(LEFT(C467,4)),VALUE(MID(C467,6,2)),VALUE(RIGHT(C467,2))),IF(ISNUMBER(FIND(".",C467)),DATE(VALUE(RIGHT(C467,4)),VALUE(MID(C467,4,2)),VALUE(LEFT(C467,2))),DATE(VALUE(RIGHT(C467,4)),VLOOKUP(TRIM(MID(C467,FIND(" ",C467)+1,LEN(C467)-FIND(" ",C467)-5)),Справочники!$M$3:$N$14,2,0),VALUE(LEFT(C467,FIND(" ",C467)-1))))),"")</f>
        <v>26581</v>
      </c>
      <c r="J467" s="6">
        <f t="shared" si="228"/>
        <v>54</v>
      </c>
      <c r="K467" t="str">
        <f t="shared" si="229"/>
        <v>ОК</v>
      </c>
      <c r="L467" s="5">
        <f>IFERROR(IF(ISNUMBER(FIND("-",G467)),DATE(VALUE(LEFT(G467,4)),VALUE(MID(G467,6,2)),VALUE(RIGHT(G467,2))),IF(ISNUMBER(FIND(".",G467)),DATE(VALUE(RIGHT(G467,4)),VALUE(MID(G467,4,2)),VALUE(LEFT(G467,2))),DATE(VALUE(RIGHT(G467,4)),VLOOKUP(TRIM(MID(G467,FIND(" ",G467)+1,LEN(G467)-FIND(" ",G467)-5)),Справочники!$M$3:$N$14,2,0),VALUE(LEFT(G467,FIND(" ",G467)-1))))),"")</f>
        <v>49279</v>
      </c>
      <c r="M467" t="str">
        <f t="shared" si="230"/>
        <v xml:space="preserve">+7 (903) 123-45-67</v>
      </c>
      <c r="N467" t="str">
        <f t="shared" si="231"/>
        <v>gordeev@mail</v>
      </c>
      <c r="O467" t="str">
        <f t="shared" si="232"/>
        <v xml:space="preserve">Ошибка Email</v>
      </c>
      <c r="P467" t="str">
        <f>IFERROR(VLOOKUP(TRIM(SUBSTITUTE(SUBSTITUTE(" "&amp;F467," г "," "),"г.","")),Справочники!$J$3:$K$102,2,0),TRIM(SUBSTITUTE(SUBSTITUTE(" "&amp;F467," г "," "),"г.","")))</f>
        <v>Калуга</v>
      </c>
    </row>
    <row r="468">
      <c r="A468" s="3" t="s">
        <v>2969</v>
      </c>
      <c r="B468" s="3" t="s">
        <v>5904</v>
      </c>
      <c r="C468" s="3" t="s">
        <v>5905</v>
      </c>
      <c r="D468" s="3" t="s">
        <v>1570</v>
      </c>
      <c r="E468" s="3" t="s">
        <v>5906</v>
      </c>
      <c r="F468" s="3" t="s">
        <v>4230</v>
      </c>
      <c r="G468" s="3" t="s">
        <v>5907</v>
      </c>
      <c r="H468" t="str">
        <f t="shared" si="227"/>
        <v xml:space="preserve">Слепцова Ольга Владимировна</v>
      </c>
      <c r="I468" s="5">
        <f>IFERROR(IF(ISNUMBER(FIND("-",C468)),DATE(VALUE(LEFT(C468,4)),VALUE(MID(C468,6,2)),VALUE(RIGHT(C468,2))),IF(ISNUMBER(FIND(".",C468)),DATE(VALUE(RIGHT(C468,4)),VALUE(MID(C468,4,2)),VALUE(LEFT(C468,2))),DATE(VALUE(RIGHT(C468,4)),VLOOKUP(TRIM(MID(C468,FIND(" ",C468)+1,LEN(C468)-FIND(" ",C468)-5)),Справочники!$M$3:$N$14,2,0),VALUE(LEFT(C468,FIND(" ",C468)-1))))),"")</f>
        <v>31646</v>
      </c>
      <c r="J468" s="6">
        <f t="shared" si="228"/>
        <v>40</v>
      </c>
      <c r="K468" t="str">
        <f t="shared" si="229"/>
        <v>ОК</v>
      </c>
      <c r="L468" s="5">
        <f>IFERROR(IF(ISNUMBER(FIND("-",G468)),DATE(VALUE(LEFT(G468,4)),VALUE(MID(G468,6,2)),VALUE(RIGHT(G468,2))),IF(ISNUMBER(FIND(".",G468)),DATE(VALUE(RIGHT(G468,4)),VALUE(MID(G468,4,2)),VALUE(LEFT(G468,2))),DATE(VALUE(RIGHT(G468,4)),VLOOKUP(TRIM(MID(G468,FIND(" ",G468)+1,LEN(G468)-FIND(" ",G468)-5)),Справочники!$M$3:$N$14,2,0),VALUE(LEFT(G468,FIND(" ",G468)-1))))),"")</f>
        <v>49288</v>
      </c>
      <c r="M468" t="str">
        <f t="shared" si="230"/>
        <v xml:space="preserve">+7 (903) 123-45-67</v>
      </c>
      <c r="N468" t="str">
        <f t="shared" si="231"/>
        <v>sleptsova@yandex</v>
      </c>
      <c r="O468" t="str">
        <f t="shared" si="232"/>
        <v xml:space="preserve">Ошибка Email</v>
      </c>
      <c r="P468" t="str">
        <f>IFERROR(VLOOKUP(TRIM(SUBSTITUTE(SUBSTITUTE(" "&amp;F468," г "," "),"г.","")),Справочники!$J$3:$K$102,2,0),TRIM(SUBSTITUTE(SUBSTITUTE(" "&amp;F468," г "," "),"г.","")))</f>
        <v>Владикавказ</v>
      </c>
    </row>
    <row r="469">
      <c r="A469" s="3" t="s">
        <v>2971</v>
      </c>
      <c r="B469" s="3" t="s">
        <v>5908</v>
      </c>
      <c r="C469" s="3" t="s">
        <v>5909</v>
      </c>
      <c r="D469" s="3" t="s">
        <v>4051</v>
      </c>
      <c r="E469" s="3" t="s">
        <v>5910</v>
      </c>
      <c r="F469" s="3" t="s">
        <v>4235</v>
      </c>
      <c r="G469" s="3" t="s">
        <v>5911</v>
      </c>
      <c r="H469" t="str">
        <f t="shared" si="227"/>
        <v xml:space="preserve">Пономарев Илья Александрович</v>
      </c>
      <c r="I469" s="5">
        <f>IFERROR(IF(ISNUMBER(FIND("-",C469)),DATE(VALUE(LEFT(C469,4)),VALUE(MID(C469,6,2)),VALUE(RIGHT(C469,2))),IF(ISNUMBER(FIND(".",C469)),DATE(VALUE(RIGHT(C469,4)),VALUE(MID(C469,4,2)),VALUE(LEFT(C469,2))),DATE(VALUE(RIGHT(C469,4)),VLOOKUP(TRIM(MID(C469,FIND(" ",C469)+1,LEN(C469)-FIND(" ",C469)-5)),Справочники!$M$3:$N$14,2,0),VALUE(LEFT(C469,FIND(" ",C469)-1))))),"")</f>
        <v>33621</v>
      </c>
      <c r="J469" s="6">
        <f t="shared" si="228"/>
        <v>34</v>
      </c>
      <c r="K469" t="str">
        <f t="shared" si="229"/>
        <v>ОК</v>
      </c>
      <c r="L469" s="5">
        <f>IFERROR(IF(ISNUMBER(FIND("-",G469)),DATE(VALUE(LEFT(G469,4)),VALUE(MID(G469,6,2)),VALUE(RIGHT(G469,2))),IF(ISNUMBER(FIND(".",G469)),DATE(VALUE(RIGHT(G469,4)),VALUE(MID(G469,4,2)),VALUE(LEFT(G469,2))),DATE(VALUE(RIGHT(G469,4)),VLOOKUP(TRIM(MID(G469,FIND(" ",G469)+1,LEN(G469)-FIND(" ",G469)-5)),Справочники!$M$3:$N$14,2,0),VALUE(LEFT(G469,FIND(" ",G469)-1))))),"")</f>
        <v>49288</v>
      </c>
      <c r="M469" t="str">
        <f t="shared" si="230"/>
        <v xml:space="preserve">+7 (903) 234-56-78</v>
      </c>
      <c r="N469" t="str">
        <f t="shared" si="231"/>
        <v>ponomarev@gmail</v>
      </c>
      <c r="O469" t="str">
        <f t="shared" si="232"/>
        <v xml:space="preserve">Ошибка Email</v>
      </c>
      <c r="P469" t="str">
        <f>IFERROR(VLOOKUP(TRIM(SUBSTITUTE(SUBSTITUTE(" "&amp;F469," г "," "),"г.","")),Справочники!$J$3:$K$102,2,0),TRIM(SUBSTITUTE(SUBSTITUTE(" "&amp;F469," г "," "),"г.","")))</f>
        <v>Смоленск</v>
      </c>
    </row>
    <row r="470">
      <c r="A470" s="3" t="s">
        <v>2974</v>
      </c>
      <c r="B470" s="3" t="s">
        <v>5912</v>
      </c>
      <c r="C470" s="3" t="s">
        <v>5913</v>
      </c>
      <c r="D470" s="3" t="s">
        <v>4057</v>
      </c>
      <c r="E470" s="3" t="s">
        <v>5914</v>
      </c>
      <c r="F470" s="3" t="s">
        <v>4240</v>
      </c>
      <c r="G470" s="3" t="s">
        <v>5915</v>
      </c>
      <c r="H470" t="str">
        <f t="shared" si="227"/>
        <v xml:space="preserve">Овчаренко Елена Сергеевна</v>
      </c>
      <c r="I470" s="5">
        <f>IFERROR(IF(ISNUMBER(FIND("-",C470)),DATE(VALUE(LEFT(C470,4)),VALUE(MID(C470,6,2)),VALUE(RIGHT(C470,2))),IF(ISNUMBER(FIND(".",C470)),DATE(VALUE(RIGHT(C470,4)),VALUE(MID(C470,4,2)),VALUE(LEFT(C470,2))),DATE(VALUE(RIGHT(C470,4)),VLOOKUP(TRIM(MID(C470,FIND(" ",C470)+1,LEN(C470)-FIND(" ",C470)-5)),Справочники!$M$3:$N$14,2,0),VALUE(LEFT(C470,FIND(" ",C470)-1))))),"")</f>
        <v>29409</v>
      </c>
      <c r="J470" s="6">
        <f t="shared" si="228"/>
        <v>46</v>
      </c>
      <c r="K470" t="str">
        <f t="shared" si="229"/>
        <v>ОК</v>
      </c>
      <c r="L470" s="5">
        <f>IFERROR(IF(ISNUMBER(FIND("-",G470)),DATE(VALUE(LEFT(G470,4)),VALUE(MID(G470,6,2)),VALUE(RIGHT(G470,2))),IF(ISNUMBER(FIND(".",G470)),DATE(VALUE(RIGHT(G470,4)),VALUE(MID(G470,4,2)),VALUE(LEFT(G470,2))),DATE(VALUE(RIGHT(G470,4)),VLOOKUP(TRIM(MID(G470,FIND(" ",G470)+1,LEN(G470)-FIND(" ",G470)-5)),Справочники!$M$3:$N$14,2,0),VALUE(LEFT(G470,FIND(" ",G470)-1))))),"")</f>
        <v>49310</v>
      </c>
      <c r="M470" t="str">
        <f t="shared" si="230"/>
        <v xml:space="preserve">+7 (903) 234-56-78</v>
      </c>
      <c r="N470" t="str">
        <f t="shared" si="231"/>
        <v>ovcharenko@mail</v>
      </c>
      <c r="O470" t="str">
        <f t="shared" si="232"/>
        <v xml:space="preserve">Ошибка Email</v>
      </c>
      <c r="P470" t="str">
        <f>IFERROR(VLOOKUP(TRIM(SUBSTITUTE(SUBSTITUTE(" "&amp;F470," г "," "),"г.","")),Справочники!$J$3:$K$102,2,0),TRIM(SUBSTITUTE(SUBSTITUTE(" "&amp;F470," г "," "),"г.","")))</f>
        <v>Белгород</v>
      </c>
    </row>
    <row r="471">
      <c r="A471" s="3" t="s">
        <v>2976</v>
      </c>
      <c r="B471" s="3" t="s">
        <v>5916</v>
      </c>
      <c r="C471" s="3" t="s">
        <v>4680</v>
      </c>
      <c r="D471" s="3" t="s">
        <v>1712</v>
      </c>
      <c r="E471" s="3" t="s">
        <v>5917</v>
      </c>
      <c r="F471" s="3" t="s">
        <v>4245</v>
      </c>
      <c r="G471" s="3" t="s">
        <v>5918</v>
      </c>
      <c r="H471" t="str">
        <f t="shared" si="227"/>
        <v xml:space="preserve">Клименков Андрей Павлович</v>
      </c>
      <c r="I471" s="5">
        <f>IFERROR(IF(ISNUMBER(FIND("-",C471)),DATE(VALUE(LEFT(C471,4)),VALUE(MID(C471,6,2)),VALUE(RIGHT(C471,2))),IF(ISNUMBER(FIND(".",C471)),DATE(VALUE(RIGHT(C471,4)),VALUE(MID(C471,4,2)),VALUE(LEFT(C471,2))),DATE(VALUE(RIGHT(C471,4)),VLOOKUP(TRIM(MID(C471,FIND(" ",C471)+1,LEN(C471)-FIND(" ",C471)-5)),Справочники!$M$3:$N$14,2,0),VALUE(LEFT(C471,FIND(" ",C471)-1))))),"")</f>
        <v>31354</v>
      </c>
      <c r="J471" s="6">
        <f t="shared" si="228"/>
        <v>40</v>
      </c>
      <c r="K471" t="str">
        <f t="shared" si="229"/>
        <v>ОК</v>
      </c>
      <c r="L471" s="5">
        <f>IFERROR(IF(ISNUMBER(FIND("-",G471)),DATE(VALUE(LEFT(G471,4)),VALUE(MID(G471,6,2)),VALUE(RIGHT(G471,2))),IF(ISNUMBER(FIND(".",G471)),DATE(VALUE(RIGHT(G471,4)),VALUE(MID(G471,4,2)),VALUE(LEFT(G471,2))),DATE(VALUE(RIGHT(G471,4)),VLOOKUP(TRIM(MID(G471,FIND(" ",G471)+1,LEN(G471)-FIND(" ",G471)-5)),Справочники!$M$3:$N$14,2,0),VALUE(LEFT(G471,FIND(" ",G471)-1))))),"")</f>
        <v>49324</v>
      </c>
      <c r="M471" t="str">
        <f t="shared" si="230"/>
        <v xml:space="preserve">+7 (903) 234-56-78</v>
      </c>
      <c r="N471" t="str">
        <f t="shared" si="231"/>
        <v>klimenkov@yandex</v>
      </c>
      <c r="O471" t="str">
        <f t="shared" si="232"/>
        <v xml:space="preserve">Ошибка Email</v>
      </c>
      <c r="P471" t="str">
        <f>IFERROR(VLOOKUP(TRIM(SUBSTITUTE(SUBSTITUTE(" "&amp;F471," г "," "),"г.","")),Справочники!$J$3:$K$102,2,0),TRIM(SUBSTITUTE(SUBSTITUTE(" "&amp;F471," г "," "),"г.","")))</f>
        <v>Мурманск</v>
      </c>
    </row>
    <row r="472">
      <c r="A472" s="3" t="s">
        <v>2979</v>
      </c>
      <c r="B472" s="3" t="s">
        <v>5919</v>
      </c>
      <c r="C472" s="3" t="s">
        <v>5920</v>
      </c>
      <c r="D472" s="3" t="s">
        <v>1584</v>
      </c>
      <c r="E472" s="3" t="s">
        <v>5921</v>
      </c>
      <c r="F472" s="3" t="s">
        <v>4250</v>
      </c>
      <c r="G472" s="3" t="s">
        <v>5922</v>
      </c>
      <c r="H472" t="str">
        <f t="shared" si="227"/>
        <v xml:space="preserve">Гурьева Мария Викторовна</v>
      </c>
      <c r="I472" s="5">
        <f>IFERROR(IF(ISNUMBER(FIND("-",C472)),DATE(VALUE(LEFT(C472,4)),VALUE(MID(C472,6,2)),VALUE(RIGHT(C472,2))),IF(ISNUMBER(FIND(".",C472)),DATE(VALUE(RIGHT(C472,4)),VALUE(MID(C472,4,2)),VALUE(LEFT(C472,2))),DATE(VALUE(RIGHT(C472,4)),VLOOKUP(TRIM(MID(C472,FIND(" ",C472)+1,LEN(C472)-FIND(" ",C472)-5)),Справочники!$M$3:$N$14,2,0),VALUE(LEFT(C472,FIND(" ",C472)-1))))),"")</f>
        <v>28905</v>
      </c>
      <c r="J472" s="6">
        <f t="shared" si="228"/>
        <v>47</v>
      </c>
      <c r="K472" t="str">
        <f t="shared" si="229"/>
        <v>ОК</v>
      </c>
      <c r="L472" s="5">
        <f>IFERROR(IF(ISNUMBER(FIND("-",G472)),DATE(VALUE(LEFT(G472,4)),VALUE(MID(G472,6,2)),VALUE(RIGHT(G472,2))),IF(ISNUMBER(FIND(".",G472)),DATE(VALUE(RIGHT(G472,4)),VALUE(MID(G472,4,2)),VALUE(LEFT(G472,2))),DATE(VALUE(RIGHT(G472,4)),VLOOKUP(TRIM(MID(G472,FIND(" ",G472)+1,LEN(G472)-FIND(" ",G472)-5)),Справочники!$M$3:$N$14,2,0),VALUE(LEFT(G472,FIND(" ",G472)-1))))),"")</f>
        <v>49324</v>
      </c>
      <c r="M472" t="str">
        <f t="shared" si="230"/>
        <v xml:space="preserve">+7 (903) 345-67-89</v>
      </c>
      <c r="N472" t="str">
        <f t="shared" si="231"/>
        <v>gurieva@gmail</v>
      </c>
      <c r="O472" t="str">
        <f t="shared" si="232"/>
        <v xml:space="preserve">Ошибка Email</v>
      </c>
      <c r="P472" t="str">
        <f>IFERROR(VLOOKUP(TRIM(SUBSTITUTE(SUBSTITUTE(" "&amp;F472," г "," "),"г.","")),Справочники!$J$3:$K$102,2,0),TRIM(SUBSTITUTE(SUBSTITUTE(" "&amp;F472," г "," "),"г.","")))</f>
        <v>Ставрополь</v>
      </c>
    </row>
    <row r="473">
      <c r="A473" s="3" t="s">
        <v>2980</v>
      </c>
      <c r="B473" s="3" t="s">
        <v>5923</v>
      </c>
      <c r="C473" s="3" t="s">
        <v>5924</v>
      </c>
      <c r="D473" s="3" t="s">
        <v>4073</v>
      </c>
      <c r="E473" s="3" t="s">
        <v>5925</v>
      </c>
      <c r="F473" s="3" t="s">
        <v>4255</v>
      </c>
      <c r="G473" s="3" t="s">
        <v>5926</v>
      </c>
      <c r="H473" t="str">
        <f t="shared" si="227"/>
        <v xml:space="preserve">Селезнев Денис Алексеевич</v>
      </c>
      <c r="I473" s="5">
        <f>IFERROR(IF(ISNUMBER(FIND("-",C473)),DATE(VALUE(LEFT(C473,4)),VALUE(MID(C473,6,2)),VALUE(RIGHT(C473,2))),IF(ISNUMBER(FIND(".",C473)),DATE(VALUE(RIGHT(C473,4)),VALUE(MID(C473,4,2)),VALUE(LEFT(C473,2))),DATE(VALUE(RIGHT(C473,4)),VLOOKUP(TRIM(MID(C473,FIND(" ",C473)+1,LEN(C473)-FIND(" ",C473)-5)),Справочники!$M$3:$N$14,2,0),VALUE(LEFT(C473,FIND(" ",C473)-1))))),"")</f>
        <v>30421</v>
      </c>
      <c r="J473" s="6">
        <f t="shared" si="228"/>
        <v>43</v>
      </c>
      <c r="K473" t="str">
        <f t="shared" si="229"/>
        <v>ОК</v>
      </c>
      <c r="L473" s="5">
        <f>IFERROR(IF(ISNUMBER(FIND("-",G473)),DATE(VALUE(LEFT(G473,4)),VALUE(MID(G473,6,2)),VALUE(RIGHT(G473,2))),IF(ISNUMBER(FIND(".",G473)),DATE(VALUE(RIGHT(G473,4)),VALUE(MID(G473,4,2)),VALUE(LEFT(G473,2))),DATE(VALUE(RIGHT(G473,4)),VLOOKUP(TRIM(MID(G473,FIND(" ",G473)+1,LEN(G473)-FIND(" ",G473)-5)),Справочники!$M$3:$N$14,2,0),VALUE(LEFT(G473,FIND(" ",G473)-1))))),"")</f>
        <v>49341</v>
      </c>
      <c r="M473" t="str">
        <f t="shared" si="230"/>
        <v xml:space="preserve">+7 (903) 345-67-89</v>
      </c>
      <c r="N473" t="str">
        <f t="shared" si="231"/>
        <v>seleznev@mail</v>
      </c>
      <c r="O473" t="str">
        <f t="shared" si="232"/>
        <v xml:space="preserve">Ошибка Email</v>
      </c>
      <c r="P473" t="str">
        <f>IFERROR(VLOOKUP(TRIM(SUBSTITUTE(SUBSTITUTE(" "&amp;F473," г "," "),"г.","")),Справочники!$J$3:$K$102,2,0),TRIM(SUBSTITUTE(SUBSTITUTE(" "&amp;F473," г "," "),"г.","")))</f>
        <v>Севастополь</v>
      </c>
    </row>
    <row r="474">
      <c r="A474" s="3" t="s">
        <v>2983</v>
      </c>
      <c r="B474" s="3" t="s">
        <v>5927</v>
      </c>
      <c r="C474" s="3" t="s">
        <v>5928</v>
      </c>
      <c r="D474" s="3" t="s">
        <v>4079</v>
      </c>
      <c r="E474" s="3" t="s">
        <v>5929</v>
      </c>
      <c r="F474" s="3" t="s">
        <v>4260</v>
      </c>
      <c r="G474" s="3" t="s">
        <v>5930</v>
      </c>
      <c r="H474" t="str">
        <f t="shared" si="227"/>
        <v xml:space="preserve">Стрельцова Ольга Николаевна</v>
      </c>
      <c r="I474" s="5">
        <f>IFERROR(IF(ISNUMBER(FIND("-",C474)),DATE(VALUE(LEFT(C474,4)),VALUE(MID(C474,6,2)),VALUE(RIGHT(C474,2))),IF(ISNUMBER(FIND(".",C474)),DATE(VALUE(RIGHT(C474,4)),VALUE(MID(C474,4,2)),VALUE(LEFT(C474,2))),DATE(VALUE(RIGHT(C474,4)),VLOOKUP(TRIM(MID(C474,FIND(" ",C474)+1,LEN(C474)-FIND(" ",C474)-5)),Справочники!$M$3:$N$14,2,0),VALUE(LEFT(C474,FIND(" ",C474)-1))))),"")</f>
        <v>32048</v>
      </c>
      <c r="J474" s="6">
        <f t="shared" si="228"/>
        <v>39</v>
      </c>
      <c r="K474" t="str">
        <f t="shared" si="229"/>
        <v>ОК</v>
      </c>
      <c r="L474" s="5">
        <f>IFERROR(IF(ISNUMBER(FIND("-",G474)),DATE(VALUE(LEFT(G474,4)),VALUE(MID(G474,6,2)),VALUE(RIGHT(G474,2))),IF(ISNUMBER(FIND(".",G474)),DATE(VALUE(RIGHT(G474,4)),VALUE(MID(G474,4,2)),VALUE(LEFT(G474,2))),DATE(VALUE(RIGHT(G474,4)),VLOOKUP(TRIM(MID(G474,FIND(" ",G474)+1,LEN(G474)-FIND(" ",G474)-5)),Справочники!$M$3:$N$14,2,0),VALUE(LEFT(G474,FIND(" ",G474)-1))))),"")</f>
        <v>49350</v>
      </c>
      <c r="M474" t="str">
        <f t="shared" si="230"/>
        <v xml:space="preserve">+7 (903) 345-67-89</v>
      </c>
      <c r="N474" t="str">
        <f t="shared" si="231"/>
        <v>streltsova@yandex</v>
      </c>
      <c r="O474" t="str">
        <f t="shared" si="232"/>
        <v xml:space="preserve">Ошибка Email</v>
      </c>
      <c r="P474" t="str">
        <f>IFERROR(VLOOKUP(TRIM(SUBSTITUTE(SUBSTITUTE(" "&amp;F474," г "," "),"г.","")),Справочники!$J$3:$K$102,2,0),TRIM(SUBSTITUTE(SUBSTITUTE(" "&amp;F474," г "," "),"г.","")))</f>
        <v>Сочи</v>
      </c>
    </row>
    <row r="475">
      <c r="A475" s="3" t="s">
        <v>2985</v>
      </c>
      <c r="B475" s="3" t="s">
        <v>5931</v>
      </c>
      <c r="C475" s="3" t="s">
        <v>5932</v>
      </c>
      <c r="D475" s="3" t="s">
        <v>4085</v>
      </c>
      <c r="E475" s="3" t="s">
        <v>5933</v>
      </c>
      <c r="F475" s="3" t="s">
        <v>4265</v>
      </c>
      <c r="G475" s="3" t="s">
        <v>5934</v>
      </c>
      <c r="H475" t="str">
        <f t="shared" si="227"/>
        <v xml:space="preserve">Бондаренко Илья Игоревич</v>
      </c>
      <c r="I475" s="5">
        <f>IFERROR(IF(ISNUMBER(FIND("-",C475)),DATE(VALUE(LEFT(C475,4)),VALUE(MID(C475,6,2)),VALUE(RIGHT(C475,2))),IF(ISNUMBER(FIND(".",C475)),DATE(VALUE(RIGHT(C475,4)),VALUE(MID(C475,4,2)),VALUE(LEFT(C475,2))),DATE(VALUE(RIGHT(C475,4)),VLOOKUP(TRIM(MID(C475,FIND(" ",C475)+1,LEN(C475)-FIND(" ",C475)-5)),Справочники!$M$3:$N$14,2,0),VALUE(LEFT(C475,FIND(" ",C475)-1))))),"")</f>
        <v>26278</v>
      </c>
      <c r="J475" s="6">
        <f t="shared" si="228"/>
        <v>54</v>
      </c>
      <c r="K475" t="str">
        <f t="shared" si="229"/>
        <v>ОК</v>
      </c>
      <c r="L475" s="5">
        <f>IFERROR(IF(ISNUMBER(FIND("-",G475)),DATE(VALUE(LEFT(G475,4)),VALUE(MID(G475,6,2)),VALUE(RIGHT(G475,2))),IF(ISNUMBER(FIND(".",G475)),DATE(VALUE(RIGHT(G475,4)),VALUE(MID(G475,4,2)),VALUE(LEFT(G475,2))),DATE(VALUE(RIGHT(G475,4)),VLOOKUP(TRIM(MID(G475,FIND(" ",G475)+1,LEN(G475)-FIND(" ",G475)-5)),Справочники!$M$3:$N$14,2,0),VALUE(LEFT(G475,FIND(" ",G475)-1))))),"")</f>
        <v>49350</v>
      </c>
      <c r="M475" t="str">
        <f t="shared" si="230"/>
        <v xml:space="preserve">+7 (903) 456-78-90</v>
      </c>
      <c r="N475" t="str">
        <f t="shared" si="231"/>
        <v>bondarenko@gmail</v>
      </c>
      <c r="O475" t="str">
        <f t="shared" si="232"/>
        <v xml:space="preserve">Ошибка Email</v>
      </c>
      <c r="P475" t="str">
        <f>IFERROR(VLOOKUP(TRIM(SUBSTITUTE(SUBSTITUTE(" "&amp;F475," г "," "),"г.","")),Справочники!$J$3:$K$102,2,0),TRIM(SUBSTITUTE(SUBSTITUTE(" "&amp;F475," г "," "),"г.","")))</f>
        <v>Симферополь</v>
      </c>
    </row>
    <row r="476">
      <c r="A476" s="3" t="s">
        <v>2988</v>
      </c>
      <c r="B476" s="3" t="s">
        <v>5935</v>
      </c>
      <c r="C476" s="3" t="s">
        <v>5936</v>
      </c>
      <c r="D476" s="3" t="s">
        <v>1591</v>
      </c>
      <c r="E476" s="3" t="s">
        <v>5937</v>
      </c>
      <c r="F476" s="3" t="s">
        <v>4270</v>
      </c>
      <c r="G476" s="3" t="s">
        <v>5938</v>
      </c>
      <c r="H476" t="str">
        <f t="shared" si="227"/>
        <v xml:space="preserve">Белоусова Екатерина Сергеевна</v>
      </c>
      <c r="I476" s="5">
        <f>IFERROR(IF(ISNUMBER(FIND("-",C476)),DATE(VALUE(LEFT(C476,4)),VALUE(MID(C476,6,2)),VALUE(RIGHT(C476,2))),IF(ISNUMBER(FIND(".",C476)),DATE(VALUE(RIGHT(C476,4)),VALUE(MID(C476,4,2)),VALUE(LEFT(C476,2))),DATE(VALUE(RIGHT(C476,4)),VLOOKUP(TRIM(MID(C476,FIND(" ",C476)+1,LEN(C476)-FIND(" ",C476)-5)),Справочники!$M$3:$N$14,2,0),VALUE(LEFT(C476,FIND(" ",C476)-1))))),"")</f>
        <v>34174</v>
      </c>
      <c r="J476" s="6">
        <f t="shared" si="228"/>
        <v>33</v>
      </c>
      <c r="K476" t="str">
        <f t="shared" si="229"/>
        <v>ОК</v>
      </c>
      <c r="L476" s="5">
        <f>IFERROR(IF(ISNUMBER(FIND("-",G476)),DATE(VALUE(LEFT(G476,4)),VALUE(MID(G476,6,2)),VALUE(RIGHT(G476,2))),IF(ISNUMBER(FIND(".",G476)),DATE(VALUE(RIGHT(G476,4)),VALUE(MID(G476,4,2)),VALUE(LEFT(G476,2))),DATE(VALUE(RIGHT(G476,4)),VLOOKUP(TRIM(MID(G476,FIND(" ",G476)+1,LEN(G476)-FIND(" ",G476)-5)),Справочники!$M$3:$N$14,2,0),VALUE(LEFT(G476,FIND(" ",G476)-1))))),"")</f>
        <v>49369</v>
      </c>
      <c r="M476" t="str">
        <f t="shared" si="230"/>
        <v xml:space="preserve">+7 (903) 456-78-90</v>
      </c>
      <c r="N476" t="str">
        <f t="shared" si="231"/>
        <v>belousova@mail</v>
      </c>
      <c r="O476" t="str">
        <f t="shared" si="232"/>
        <v xml:space="preserve">Ошибка Email</v>
      </c>
      <c r="P476" t="str">
        <f>IFERROR(VLOOKUP(TRIM(SUBSTITUTE(SUBSTITUTE(" "&amp;F476," г "," "),"г.","")),Справочники!$J$3:$K$102,2,0),TRIM(SUBSTITUTE(SUBSTITUTE(" "&amp;F476," г "," "),"г.","")))</f>
        <v>Брянск</v>
      </c>
    </row>
    <row r="477">
      <c r="A477" s="3" t="s">
        <v>2989</v>
      </c>
      <c r="B477" s="3" t="s">
        <v>5939</v>
      </c>
      <c r="C477" s="3" t="s">
        <v>5940</v>
      </c>
      <c r="D477" s="3" t="s">
        <v>1660</v>
      </c>
      <c r="E477" s="3" t="s">
        <v>5941</v>
      </c>
      <c r="F477" s="3" t="s">
        <v>4275</v>
      </c>
      <c r="G477" s="3" t="s">
        <v>5942</v>
      </c>
      <c r="H477" t="str">
        <f t="shared" si="227"/>
        <v xml:space="preserve">Бурмистров Андрей Олегович</v>
      </c>
      <c r="I477" s="5">
        <f>IFERROR(IF(ISNUMBER(FIND("-",C477)),DATE(VALUE(LEFT(C477,4)),VALUE(MID(C477,6,2)),VALUE(RIGHT(C477,2))),IF(ISNUMBER(FIND(".",C477)),DATE(VALUE(RIGHT(C477,4)),VALUE(MID(C477,4,2)),VALUE(LEFT(C477,2))),DATE(VALUE(RIGHT(C477,4)),VLOOKUP(TRIM(MID(C477,FIND(" ",C477)+1,LEN(C477)-FIND(" ",C477)-5)),Справочники!$M$3:$N$14,2,0),VALUE(LEFT(C477,FIND(" ",C477)-1))))),"")</f>
        <v>30240</v>
      </c>
      <c r="J477" s="6">
        <f t="shared" si="228"/>
        <v>44</v>
      </c>
      <c r="K477" t="str">
        <f t="shared" si="229"/>
        <v>ОК</v>
      </c>
      <c r="L477" s="5">
        <f>IFERROR(IF(ISNUMBER(FIND("-",G477)),DATE(VALUE(LEFT(G477,4)),VALUE(MID(G477,6,2)),VALUE(RIGHT(G477,2))),IF(ISNUMBER(FIND(".",G477)),DATE(VALUE(RIGHT(G477,4)),VALUE(MID(G477,4,2)),VALUE(LEFT(G477,2))),DATE(VALUE(RIGHT(G477,4)),VLOOKUP(TRIM(MID(G477,FIND(" ",G477)+1,LEN(G477)-FIND(" ",G477)-5)),Справочники!$M$3:$N$14,2,0),VALUE(LEFT(G477,FIND(" ",G477)-1))))),"")</f>
        <v>49383</v>
      </c>
      <c r="M477" t="str">
        <f t="shared" si="230"/>
        <v xml:space="preserve">+7 (903) 456-78-90</v>
      </c>
      <c r="N477" t="str">
        <f t="shared" si="231"/>
        <v>burmistrov@yandex</v>
      </c>
      <c r="O477" t="str">
        <f t="shared" si="232"/>
        <v xml:space="preserve">Ошибка Email</v>
      </c>
      <c r="P477" t="str">
        <f>IFERROR(VLOOKUP(TRIM(SUBSTITUTE(SUBSTITUTE(" "&amp;F477," г "," "),"г.","")),Справочники!$J$3:$K$102,2,0),TRIM(SUBSTITUTE(SUBSTITUTE(" "&amp;F477," г "," "),"г.","")))</f>
        <v>Абакан</v>
      </c>
    </row>
    <row r="478">
      <c r="A478" s="3" t="s">
        <v>2991</v>
      </c>
      <c r="B478" s="3" t="s">
        <v>5943</v>
      </c>
      <c r="C478" s="3" t="s">
        <v>5944</v>
      </c>
      <c r="D478" s="3" t="s">
        <v>3984</v>
      </c>
      <c r="E478" s="3" t="s">
        <v>5945</v>
      </c>
      <c r="F478" s="3" t="s">
        <v>4280</v>
      </c>
      <c r="G478" s="3" t="s">
        <v>5946</v>
      </c>
      <c r="H478" t="str">
        <f t="shared" si="227"/>
        <v xml:space="preserve">Муратова Мария Павловна</v>
      </c>
      <c r="I478" s="5">
        <f>IFERROR(IF(ISNUMBER(FIND("-",C478)),DATE(VALUE(LEFT(C478,4)),VALUE(MID(C478,6,2)),VALUE(RIGHT(C478,2))),IF(ISNUMBER(FIND(".",C478)),DATE(VALUE(RIGHT(C478,4)),VALUE(MID(C478,4,2)),VALUE(LEFT(C478,2))),DATE(VALUE(RIGHT(C478,4)),VLOOKUP(TRIM(MID(C478,FIND(" ",C478)+1,LEN(C478)-FIND(" ",C478)-5)),Справочники!$M$3:$N$14,2,0),VALUE(LEFT(C478,FIND(" ",C478)-1))))),"")</f>
        <v>28189</v>
      </c>
      <c r="J478" s="6">
        <f t="shared" si="228"/>
        <v>49</v>
      </c>
      <c r="K478" t="str">
        <f t="shared" si="229"/>
        <v>ОК</v>
      </c>
      <c r="L478" s="5">
        <f>IFERROR(IF(ISNUMBER(FIND("-",G478)),DATE(VALUE(LEFT(G478,4)),VALUE(MID(G478,6,2)),VALUE(RIGHT(G478,2))),IF(ISNUMBER(FIND(".",G478)),DATE(VALUE(RIGHT(G478,4)),VALUE(MID(G478,4,2)),VALUE(LEFT(G478,2))),DATE(VALUE(RIGHT(G478,4)),VLOOKUP(TRIM(MID(G478,FIND(" ",G478)+1,LEN(G478)-FIND(" ",G478)-5)),Справочники!$M$3:$N$14,2,0),VALUE(LEFT(G478,FIND(" ",G478)-1))))),"")</f>
        <v>49383</v>
      </c>
      <c r="M478" t="str">
        <f t="shared" si="230"/>
        <v xml:space="preserve">+7 (903) 567-89-01</v>
      </c>
      <c r="N478" t="str">
        <f t="shared" si="231"/>
        <v>muratova@gmail</v>
      </c>
      <c r="O478" t="str">
        <f t="shared" si="232"/>
        <v xml:space="preserve">Ошибка Email</v>
      </c>
      <c r="P478" t="str">
        <f>IFERROR(VLOOKUP(TRIM(SUBSTITUTE(SUBSTITUTE(" "&amp;F478," г "," "),"г.","")),Справочники!$J$3:$K$102,2,0),TRIM(SUBSTITUTE(SUBSTITUTE(" "&amp;F478," г "," "),"г.","")))</f>
        <v>Грозный</v>
      </c>
    </row>
    <row r="479">
      <c r="A479" s="3" t="s">
        <v>2992</v>
      </c>
      <c r="B479" s="3" t="s">
        <v>5947</v>
      </c>
      <c r="C479" s="3" t="s">
        <v>5948</v>
      </c>
      <c r="D479" s="3" t="s">
        <v>3990</v>
      </c>
      <c r="E479" s="3" t="s">
        <v>5949</v>
      </c>
      <c r="F479" s="3" t="s">
        <v>4285</v>
      </c>
      <c r="G479" s="3" t="s">
        <v>5950</v>
      </c>
      <c r="H479" t="str">
        <f t="shared" si="227"/>
        <v xml:space="preserve">Лазаренко Денис Викторович</v>
      </c>
      <c r="I479" s="5">
        <f>IFERROR(IF(ISNUMBER(FIND("-",C479)),DATE(VALUE(LEFT(C479,4)),VALUE(MID(C479,6,2)),VALUE(RIGHT(C479,2))),IF(ISNUMBER(FIND(".",C479)),DATE(VALUE(RIGHT(C479,4)),VALUE(MID(C479,4,2)),VALUE(LEFT(C479,2))),DATE(VALUE(RIGHT(C479,4)),VLOOKUP(TRIM(MID(C479,FIND(" ",C479)+1,LEN(C479)-FIND(" ",C479)-5)),Справочники!$M$3:$N$14,2,0),VALUE(LEFT(C479,FIND(" ",C479)-1))))),"")</f>
        <v>32503</v>
      </c>
      <c r="J479" s="6">
        <f t="shared" si="228"/>
        <v>37</v>
      </c>
      <c r="K479" t="str">
        <f t="shared" si="229"/>
        <v>ОК</v>
      </c>
      <c r="L479" s="5">
        <f>IFERROR(IF(ISNUMBER(FIND("-",G479)),DATE(VALUE(LEFT(G479,4)),VALUE(MID(G479,6,2)),VALUE(RIGHT(G479,2))),IF(ISNUMBER(FIND(".",G479)),DATE(VALUE(RIGHT(G479,4)),VALUE(MID(G479,4,2)),VALUE(LEFT(G479,2))),DATE(VALUE(RIGHT(G479,4)),VLOOKUP(TRIM(MID(G479,FIND(" ",G479)+1,LEN(G479)-FIND(" ",G479)-5)),Справочники!$M$3:$N$14,2,0),VALUE(LEFT(G479,FIND(" ",G479)-1))))),"")</f>
        <v>49400</v>
      </c>
      <c r="M479" t="str">
        <f t="shared" si="230"/>
        <v xml:space="preserve">+7 (903) 567-89-01</v>
      </c>
      <c r="N479" t="str">
        <f t="shared" si="231"/>
        <v>lazarenko@mail</v>
      </c>
      <c r="O479" t="str">
        <f t="shared" si="232"/>
        <v xml:space="preserve">Ошибка Email</v>
      </c>
      <c r="P479" t="str">
        <f>IFERROR(VLOOKUP(TRIM(SUBSTITUTE(SUBSTITUTE(" "&amp;F479," г "," "),"г.","")),Справочники!$J$3:$K$102,2,0),TRIM(SUBSTITUTE(SUBSTITUTE(" "&amp;F479," г "," "),"г.","")))</f>
        <v>Бийск</v>
      </c>
    </row>
    <row r="480">
      <c r="A480" s="3" t="s">
        <v>2994</v>
      </c>
      <c r="B480" s="3" t="s">
        <v>5951</v>
      </c>
      <c r="C480" s="3" t="s">
        <v>5952</v>
      </c>
      <c r="D480" s="3" t="s">
        <v>1598</v>
      </c>
      <c r="E480" s="3" t="s">
        <v>5953</v>
      </c>
      <c r="F480" s="3" t="s">
        <v>4290</v>
      </c>
      <c r="G480" s="3" t="s">
        <v>5954</v>
      </c>
      <c r="H480" t="str">
        <f t="shared" si="227"/>
        <v xml:space="preserve">Самарская Ольга Владимировна</v>
      </c>
      <c r="I480" s="5">
        <f>IFERROR(IF(ISNUMBER(FIND("-",C480)),DATE(VALUE(LEFT(C480,4)),VALUE(MID(C480,6,2)),VALUE(RIGHT(C480,2))),IF(ISNUMBER(FIND(".",C480)),DATE(VALUE(RIGHT(C480,4)),VALUE(MID(C480,4,2)),VALUE(LEFT(C480,2))),DATE(VALUE(RIGHT(C480,4)),VLOOKUP(TRIM(MID(C480,FIND(" ",C480)+1,LEN(C480)-FIND(" ",C480)-5)),Справочники!$M$3:$N$14,2,0),VALUE(LEFT(C480,FIND(" ",C480)-1))))),"")</f>
        <v>27163</v>
      </c>
      <c r="J480" s="6">
        <f t="shared" si="228"/>
        <v>52</v>
      </c>
      <c r="K480" t="str">
        <f t="shared" si="229"/>
        <v>ОК</v>
      </c>
      <c r="L480" s="5">
        <f>IFERROR(IF(ISNUMBER(FIND("-",G480)),DATE(VALUE(LEFT(G480,4)),VALUE(MID(G480,6,2)),VALUE(RIGHT(G480,2))),IF(ISNUMBER(FIND(".",G480)),DATE(VALUE(RIGHT(G480,4)),VALUE(MID(G480,4,2)),VALUE(LEFT(G480,2))),DATE(VALUE(RIGHT(G480,4)),VLOOKUP(TRIM(MID(G480,FIND(" ",G480)+1,LEN(G480)-FIND(" ",G480)-5)),Справочники!$M$3:$N$14,2,0),VALUE(LEFT(G480,FIND(" ",G480)-1))))),"")</f>
        <v>49409</v>
      </c>
      <c r="M480" t="str">
        <f t="shared" si="230"/>
        <v xml:space="preserve">+7 (903) 567-89-01</v>
      </c>
      <c r="N480" t="str">
        <f t="shared" si="231"/>
        <v>samarskaya@yandex</v>
      </c>
      <c r="O480" t="str">
        <f t="shared" si="232"/>
        <v xml:space="preserve">Ошибка Email</v>
      </c>
      <c r="P480" t="str">
        <f>IFERROR(VLOOKUP(TRIM(SUBSTITUTE(SUBSTITUTE(" "&amp;F480," г "," "),"г.","")),Справочники!$J$3:$K$102,2,0),TRIM(SUBSTITUTE(SUBSTITUTE(" "&amp;F480," г "," "),"г.","")))</f>
        <v>Йошкар-Ола</v>
      </c>
    </row>
    <row r="481">
      <c r="A481" s="3" t="s">
        <v>2996</v>
      </c>
      <c r="B481" s="3" t="s">
        <v>5955</v>
      </c>
      <c r="C481" s="3" t="s">
        <v>5956</v>
      </c>
      <c r="D481" s="3" t="s">
        <v>4116</v>
      </c>
      <c r="E481" s="3" t="s">
        <v>5957</v>
      </c>
      <c r="F481" s="3" t="s">
        <v>4295</v>
      </c>
      <c r="G481" s="3" t="s">
        <v>5958</v>
      </c>
      <c r="H481" t="str">
        <f t="shared" si="227"/>
        <v xml:space="preserve">Никонов Илья Александрович</v>
      </c>
      <c r="I481" s="5">
        <f>IFERROR(IF(ISNUMBER(FIND("-",C481)),DATE(VALUE(LEFT(C481,4)),VALUE(MID(C481,6,2)),VALUE(RIGHT(C481,2))),IF(ISNUMBER(FIND(".",C481)),DATE(VALUE(RIGHT(C481,4)),VALUE(MID(C481,4,2)),VALUE(LEFT(C481,2))),DATE(VALUE(RIGHT(C481,4)),VLOOKUP(TRIM(MID(C481,FIND(" ",C481)+1,LEN(C481)-FIND(" ",C481)-5)),Справочники!$M$3:$N$14,2,0),VALUE(LEFT(C481,FIND(" ",C481)-1))))),"")</f>
        <v>29441</v>
      </c>
      <c r="J481" s="6">
        <f t="shared" si="228"/>
        <v>46</v>
      </c>
      <c r="K481" t="str">
        <f t="shared" si="229"/>
        <v>ОК</v>
      </c>
      <c r="L481" s="5">
        <f>IFERROR(IF(ISNUMBER(FIND("-",G481)),DATE(VALUE(LEFT(G481,4)),VALUE(MID(G481,6,2)),VALUE(RIGHT(G481,2))),IF(ISNUMBER(FIND(".",G481)),DATE(VALUE(RIGHT(G481,4)),VALUE(MID(G481,4,2)),VALUE(LEFT(G481,2))),DATE(VALUE(RIGHT(G481,4)),VLOOKUP(TRIM(MID(G481,FIND(" ",G481)+1,LEN(G481)-FIND(" ",G481)-5)),Справочники!$M$3:$N$14,2,0),VALUE(LEFT(G481,FIND(" ",G481)-1))))),"")</f>
        <v>49409</v>
      </c>
      <c r="M481" t="str">
        <f t="shared" si="230"/>
        <v xml:space="preserve">+7 (903) 678-90-12</v>
      </c>
      <c r="N481" t="str">
        <f t="shared" si="231"/>
        <v>nikonov@gmail</v>
      </c>
      <c r="O481" t="str">
        <f t="shared" si="232"/>
        <v xml:space="preserve">Ошибка Email</v>
      </c>
      <c r="P481" t="str">
        <f>IFERROR(VLOOKUP(TRIM(SUBSTITUTE(SUBSTITUTE(" "&amp;F481," г "," "),"г.","")),Справочники!$J$3:$K$102,2,0),TRIM(SUBSTITUTE(SUBSTITUTE(" "&amp;F481," г "," "),"г.","")))</f>
        <v>Курган</v>
      </c>
    </row>
    <row r="482">
      <c r="A482" s="3" t="s">
        <v>2998</v>
      </c>
      <c r="B482" s="3" t="s">
        <v>5959</v>
      </c>
      <c r="C482" s="3" t="s">
        <v>5960</v>
      </c>
      <c r="D482" s="3" t="s">
        <v>4122</v>
      </c>
      <c r="E482" s="3" t="s">
        <v>5961</v>
      </c>
      <c r="F482" s="3" t="s">
        <v>4300</v>
      </c>
      <c r="G482" s="3" t="s">
        <v>5962</v>
      </c>
      <c r="H482" t="str">
        <f t="shared" si="227"/>
        <v xml:space="preserve">Ермоленко Екатерина Сергеевна</v>
      </c>
      <c r="I482" s="5">
        <f>IFERROR(IF(ISNUMBER(FIND("-",C482)),DATE(VALUE(LEFT(C482,4)),VALUE(MID(C482,6,2)),VALUE(RIGHT(C482,2))),IF(ISNUMBER(FIND(".",C482)),DATE(VALUE(RIGHT(C482,4)),VALUE(MID(C482,4,2)),VALUE(LEFT(C482,2))),DATE(VALUE(RIGHT(C482,4)),VLOOKUP(TRIM(MID(C482,FIND(" ",C482)+1,LEN(C482)-FIND(" ",C482)-5)),Справочники!$M$3:$N$14,2,0),VALUE(LEFT(C482,FIND(" ",C482)-1))))),"")</f>
        <v>30946</v>
      </c>
      <c r="J482" s="6">
        <f t="shared" si="228"/>
        <v>42</v>
      </c>
      <c r="K482" t="str">
        <f t="shared" si="229"/>
        <v>ОК</v>
      </c>
      <c r="L482" s="5">
        <f>IFERROR(IF(ISNUMBER(FIND("-",G482)),DATE(VALUE(LEFT(G482,4)),VALUE(MID(G482,6,2)),VALUE(RIGHT(G482,2))),IF(ISNUMBER(FIND(".",G482)),DATE(VALUE(RIGHT(G482,4)),VALUE(MID(G482,4,2)),VALUE(LEFT(G482,2))),DATE(VALUE(RIGHT(G482,4)),VLOOKUP(TRIM(MID(G482,FIND(" ",G482)+1,LEN(G482)-FIND(" ",G482)-5)),Справочники!$M$3:$N$14,2,0),VALUE(LEFT(G482,FIND(" ",G482)-1))))),"")</f>
        <v>49430</v>
      </c>
      <c r="M482" t="str">
        <f t="shared" si="230"/>
        <v xml:space="preserve">+7 (903) 678-90-12</v>
      </c>
      <c r="N482" t="str">
        <f t="shared" si="231"/>
        <v>ermolenko@mail</v>
      </c>
      <c r="O482" t="str">
        <f t="shared" si="232"/>
        <v xml:space="preserve">Ошибка Email</v>
      </c>
      <c r="P482" t="str">
        <f>IFERROR(VLOOKUP(TRIM(SUBSTITUTE(SUBSTITUTE(" "&amp;F482," г "," "),"г.","")),Справочники!$J$3:$K$102,2,0),TRIM(SUBSTITUTE(SUBSTITUTE(" "&amp;F482," г "," "),"г.","")))</f>
        <v>Архангельск</v>
      </c>
    </row>
    <row r="483">
      <c r="A483" s="3" t="s">
        <v>2999</v>
      </c>
      <c r="B483" s="3" t="s">
        <v>5963</v>
      </c>
      <c r="C483" s="3" t="s">
        <v>5964</v>
      </c>
      <c r="D483" s="3" t="s">
        <v>1605</v>
      </c>
      <c r="E483" s="3" t="s">
        <v>5965</v>
      </c>
      <c r="F483" s="3" t="s">
        <v>4305</v>
      </c>
      <c r="G483" s="3" t="s">
        <v>5966</v>
      </c>
      <c r="H483" t="str">
        <f t="shared" si="227"/>
        <v xml:space="preserve">Пахомов Андрей Павлович</v>
      </c>
      <c r="I483" s="5">
        <f>IFERROR(IF(ISNUMBER(FIND("-",C483)),DATE(VALUE(LEFT(C483,4)),VALUE(MID(C483,6,2)),VALUE(RIGHT(C483,2))),IF(ISNUMBER(FIND(".",C483)),DATE(VALUE(RIGHT(C483,4)),VALUE(MID(C483,4,2)),VALUE(LEFT(C483,2))),DATE(VALUE(RIGHT(C483,4)),VLOOKUP(TRIM(MID(C483,FIND(" ",C483)+1,LEN(C483)-FIND(" ",C483)-5)),Справочники!$M$3:$N$14,2,0),VALUE(LEFT(C483,FIND(" ",C483)-1))))),"")</f>
        <v>33251</v>
      </c>
      <c r="J483" s="6">
        <f t="shared" si="228"/>
        <v>35</v>
      </c>
      <c r="K483" t="str">
        <f t="shared" si="229"/>
        <v>ОК</v>
      </c>
      <c r="L483" s="5">
        <f>IFERROR(IF(ISNUMBER(FIND("-",G483)),DATE(VALUE(LEFT(G483,4)),VALUE(MID(G483,6,2)),VALUE(RIGHT(G483,2))),IF(ISNUMBER(FIND(".",G483)),DATE(VALUE(RIGHT(G483,4)),VALUE(MID(G483,4,2)),VALUE(LEFT(G483,2))),DATE(VALUE(RIGHT(G483,4)),VLOOKUP(TRIM(MID(G483,FIND(" ",G483)+1,LEN(G483)-FIND(" ",G483)-5)),Справочники!$M$3:$N$14,2,0),VALUE(LEFT(G483,FIND(" ",G483)-1))))),"")</f>
        <v>49444</v>
      </c>
      <c r="M483" t="str">
        <f t="shared" si="230"/>
        <v xml:space="preserve">+7 (903) 678-90-12</v>
      </c>
      <c r="N483" t="str">
        <f t="shared" si="231"/>
        <v>pahomov@yandex</v>
      </c>
      <c r="O483" t="str">
        <f t="shared" si="232"/>
        <v xml:space="preserve">Ошибка Email</v>
      </c>
      <c r="P483" t="str">
        <f>IFERROR(VLOOKUP(TRIM(SUBSTITUTE(SUBSTITUTE(" "&amp;F483," г "," "),"г.","")),Справочники!$J$3:$K$102,2,0),TRIM(SUBSTITUTE(SUBSTITUTE(" "&amp;F483," г "," "),"г.","")))</f>
        <v>Благовещенск</v>
      </c>
    </row>
    <row r="484">
      <c r="A484" s="3" t="s">
        <v>3002</v>
      </c>
      <c r="B484" s="3" t="s">
        <v>5967</v>
      </c>
      <c r="C484" s="3" t="s">
        <v>5968</v>
      </c>
      <c r="D484" s="3" t="s">
        <v>4001</v>
      </c>
      <c r="E484" s="3" t="s">
        <v>5969</v>
      </c>
      <c r="F484" s="3" t="s">
        <v>4310</v>
      </c>
      <c r="G484" s="3" t="s">
        <v>5970</v>
      </c>
      <c r="H484" t="str">
        <f t="shared" ref="H484:H547" si="233">PROPER(TRIM(B484))</f>
        <v xml:space="preserve">Рыжова Мария Олеговна</v>
      </c>
      <c r="I484" s="5">
        <f>IFERROR(IF(ISNUMBER(FIND("-",C484)),DATE(VALUE(LEFT(C484,4)),VALUE(MID(C484,6,2)),VALUE(RIGHT(C484,2))),IF(ISNUMBER(FIND(".",C484)),DATE(VALUE(RIGHT(C484,4)),VALUE(MID(C484,4,2)),VALUE(LEFT(C484,2))),DATE(VALUE(RIGHT(C484,4)),VLOOKUP(TRIM(MID(C484,FIND(" ",C484)+1,LEN(C484)-FIND(" ",C484)-5)),Справочники!$M$3:$N$14,2,0),VALUE(LEFT(C484,FIND(" ",C484)-1))))),"")</f>
        <v>27915</v>
      </c>
      <c r="J484" s="6">
        <f t="shared" ref="J484:J547" si="234">IF(I484="","",DATEDIF(I484,TODAY(),"Y"))</f>
        <v>50</v>
      </c>
      <c r="K484" t="str">
        <f t="shared" ref="K484:K547" si="235">IF(OR(I484="",J484&lt;18,J484&gt;120),"Ошибка даты рождения","ОК")</f>
        <v>ОК</v>
      </c>
      <c r="L484" s="5">
        <f>IFERROR(IF(ISNUMBER(FIND("-",G484)),DATE(VALUE(LEFT(G484,4)),VALUE(MID(G484,6,2)),VALUE(RIGHT(G484,2))),IF(ISNUMBER(FIND(".",G484)),DATE(VALUE(RIGHT(G484,4)),VALUE(MID(G484,4,2)),VALUE(LEFT(G484,2))),DATE(VALUE(RIGHT(G484,4)),VLOOKUP(TRIM(MID(G484,FIND(" ",G484)+1,LEN(G484)-FIND(" ",G484)-5)),Справочники!$M$3:$N$14,2,0),VALUE(LEFT(G484,FIND(" ",G484)-1))))),"")</f>
        <v>49444</v>
      </c>
      <c r="M484" t="str">
        <f t="shared" ref="M484:M547" si="236">IF(LEN(SUBSTITUTE(SUBSTITUTE(SUBSTITUTE(SUBSTITUTE(SUBSTITUTE(D484,"+",""),"-","")," ",""),"(",""),")",""))&lt;10,"Ошибка телефона","+7 ("&amp;MID(RIGHT(SUBSTITUTE(SUBSTITUTE(SUBSTITUTE(SUBSTITUTE(SUBSTITUTE(D484,"+",""),"-","")," ",""),"(",""),")",""),10),1,3)&amp;") "&amp;MID(RIGHT(SUBSTITUTE(SUBSTITUTE(SUBSTITUTE(SUBSTITUTE(SUBSTITUTE(D484,"+",""),"-","")," ",""),"(",""),")",""),10),4,3)&amp;"-"&amp;MID(RIGHT(SUBSTITUTE(SUBSTITUTE(SUBSTITUTE(SUBSTITUTE(SUBSTITUTE(D484,"+",""),"-","")," ",""),"(",""),")",""),10),7,2)&amp;"-"&amp;RIGHT(SUBSTITUTE(SUBSTITUTE(SUBSTITUTE(SUBSTITUTE(SUBSTITUTE(D484,"+",""),"-","")," ",""),"(",""),")",""),2))</f>
        <v xml:space="preserve">+7 (903) 789-01-23</v>
      </c>
      <c r="N484" t="str">
        <f t="shared" ref="N484:N547" si="237">LOWER(SUBSTITUTE(TRIM(E484)," ",""))</f>
        <v>ryzhova@gmail</v>
      </c>
      <c r="O484" t="str">
        <f t="shared" ref="O484:O547" si="238">IF(AND(ISNUMBER(FIND("@",N484)),ISNUMBER(FIND(".",N484,FIND("@",N484)+2))),"ОК","Ошибка Email")</f>
        <v xml:space="preserve">Ошибка Email</v>
      </c>
      <c r="P484" t="str">
        <f>IFERROR(VLOOKUP(TRIM(SUBSTITUTE(SUBSTITUTE(" "&amp;F484," г "," "),"г.","")),Справочники!$J$3:$K$102,2,0),TRIM(SUBSTITUTE(SUBSTITUTE(" "&amp;F484," г "," "),"г.","")))</f>
        <v>Майкоп</v>
      </c>
    </row>
    <row r="485">
      <c r="A485" s="3" t="s">
        <v>3003</v>
      </c>
      <c r="B485" s="3" t="s">
        <v>5971</v>
      </c>
      <c r="C485" s="3" t="s">
        <v>5972</v>
      </c>
      <c r="D485" s="3" t="s">
        <v>4138</v>
      </c>
      <c r="E485" s="3" t="s">
        <v>5973</v>
      </c>
      <c r="F485" s="3" t="s">
        <v>4315</v>
      </c>
      <c r="G485" s="3" t="s">
        <v>5974</v>
      </c>
      <c r="H485" t="str">
        <f t="shared" si="233"/>
        <v xml:space="preserve">Ситников Денис Игоревич</v>
      </c>
      <c r="I485" s="5">
        <f>IFERROR(IF(ISNUMBER(FIND("-",C485)),DATE(VALUE(LEFT(C485,4)),VALUE(MID(C485,6,2)),VALUE(RIGHT(C485,2))),IF(ISNUMBER(FIND(".",C485)),DATE(VALUE(RIGHT(C485,4)),VALUE(MID(C485,4,2)),VALUE(LEFT(C485,2))),DATE(VALUE(RIGHT(C485,4)),VLOOKUP(TRIM(MID(C485,FIND(" ",C485)+1,LEN(C485)-FIND(" ",C485)-5)),Справочники!$M$3:$N$14,2,0),VALUE(LEFT(C485,FIND(" ",C485)-1))))),"")</f>
        <v>30647</v>
      </c>
      <c r="J485" s="6">
        <f t="shared" si="234"/>
        <v>42</v>
      </c>
      <c r="K485" t="str">
        <f t="shared" si="235"/>
        <v>ОК</v>
      </c>
      <c r="L485" s="5">
        <f>IFERROR(IF(ISNUMBER(FIND("-",G485)),DATE(VALUE(LEFT(G485,4)),VALUE(MID(G485,6,2)),VALUE(RIGHT(G485,2))),IF(ISNUMBER(FIND(".",G485)),DATE(VALUE(RIGHT(G485,4)),VALUE(MID(G485,4,2)),VALUE(LEFT(G485,2))),DATE(VALUE(RIGHT(G485,4)),VLOOKUP(TRIM(MID(G485,FIND(" ",G485)+1,LEN(G485)-FIND(" ",G485)-5)),Справочники!$M$3:$N$14,2,0),VALUE(LEFT(G485,FIND(" ",G485)-1))))),"")</f>
        <v>49461</v>
      </c>
      <c r="M485" t="str">
        <f t="shared" si="236"/>
        <v xml:space="preserve">+7 (903) 789-01-23</v>
      </c>
      <c r="N485" t="str">
        <f t="shared" si="237"/>
        <v>sitnikov@mail</v>
      </c>
      <c r="O485" t="str">
        <f t="shared" si="238"/>
        <v xml:space="preserve">Ошибка Email</v>
      </c>
      <c r="P485" t="str">
        <f>IFERROR(VLOOKUP(TRIM(SUBSTITUTE(SUBSTITUTE(" "&amp;F485," г "," "),"г.","")),Справочники!$J$3:$K$102,2,0),TRIM(SUBSTITUTE(SUBSTITUTE(" "&amp;F485," г "," "),"г.","")))</f>
        <v>Уссурийск</v>
      </c>
    </row>
    <row r="486">
      <c r="A486" s="3" t="s">
        <v>3005</v>
      </c>
      <c r="B486" s="3" t="s">
        <v>5975</v>
      </c>
      <c r="C486" s="3" t="s">
        <v>5976</v>
      </c>
      <c r="D486" s="3" t="s">
        <v>4144</v>
      </c>
      <c r="E486" s="3" t="s">
        <v>5977</v>
      </c>
      <c r="F486" s="3" t="s">
        <v>4320</v>
      </c>
      <c r="G486" s="3" t="s">
        <v>5978</v>
      </c>
      <c r="H486" t="str">
        <f t="shared" si="233"/>
        <v xml:space="preserve">Калмыкова Ольга Павловна</v>
      </c>
      <c r="I486" s="5">
        <f>IFERROR(IF(ISNUMBER(FIND("-",C486)),DATE(VALUE(LEFT(C486,4)),VALUE(MID(C486,6,2)),VALUE(RIGHT(C486,2))),IF(ISNUMBER(FIND(".",C486)),DATE(VALUE(RIGHT(C486,4)),VALUE(MID(C486,4,2)),VALUE(LEFT(C486,2))),DATE(VALUE(RIGHT(C486,4)),VLOOKUP(TRIM(MID(C486,FIND(" ",C486)+1,LEN(C486)-FIND(" ",C486)-5)),Справочники!$M$3:$N$14,2,0),VALUE(LEFT(C486,FIND(" ",C486)-1))))),"")</f>
        <v>32245</v>
      </c>
      <c r="J486" s="6">
        <f t="shared" si="234"/>
        <v>38</v>
      </c>
      <c r="K486" t="str">
        <f t="shared" si="235"/>
        <v>ОК</v>
      </c>
      <c r="L486" s="5">
        <f>IFERROR(IF(ISNUMBER(FIND("-",G486)),DATE(VALUE(LEFT(G486,4)),VALUE(MID(G486,6,2)),VALUE(RIGHT(G486,2))),IF(ISNUMBER(FIND(".",G486)),DATE(VALUE(RIGHT(G486,4)),VALUE(MID(G486,4,2)),VALUE(LEFT(G486,2))),DATE(VALUE(RIGHT(G486,4)),VLOOKUP(TRIM(MID(G486,FIND(" ",G486)+1,LEN(G486)-FIND(" ",G486)-5)),Справочники!$M$3:$N$14,2,0),VALUE(LEFT(G486,FIND(" ",G486)-1))))),"")</f>
        <v>49470</v>
      </c>
      <c r="M486" t="str">
        <f t="shared" si="236"/>
        <v xml:space="preserve">+7 (903) 789-01-23</v>
      </c>
      <c r="N486" t="str">
        <f t="shared" si="237"/>
        <v>kalmykova@yandex</v>
      </c>
      <c r="O486" t="str">
        <f t="shared" si="238"/>
        <v xml:space="preserve">Ошибка Email</v>
      </c>
      <c r="P486" t="str">
        <f>IFERROR(VLOOKUP(TRIM(SUBSTITUTE(SUBSTITUTE(" "&amp;F486," г "," "),"г.","")),Справочники!$J$3:$K$102,2,0),TRIM(SUBSTITUTE(SUBSTITUTE(" "&amp;F486," г "," "),"г.","")))</f>
        <v>Миасс</v>
      </c>
    </row>
    <row r="487">
      <c r="A487" s="3" t="s">
        <v>3006</v>
      </c>
      <c r="B487" s="3" t="s">
        <v>5979</v>
      </c>
      <c r="C487" s="3" t="s">
        <v>5980</v>
      </c>
      <c r="D487" s="3" t="s">
        <v>4150</v>
      </c>
      <c r="E487" s="3" t="s">
        <v>5981</v>
      </c>
      <c r="F487" s="3" t="s">
        <v>4325</v>
      </c>
      <c r="G487" s="3" t="s">
        <v>5982</v>
      </c>
      <c r="H487" t="str">
        <f t="shared" si="233"/>
        <v xml:space="preserve">Зуев Илья Викторович</v>
      </c>
      <c r="I487" s="5">
        <f>IFERROR(IF(ISNUMBER(FIND("-",C487)),DATE(VALUE(LEFT(C487,4)),VALUE(MID(C487,6,2)),VALUE(RIGHT(C487,2))),IF(ISNUMBER(FIND(".",C487)),DATE(VALUE(RIGHT(C487,4)),VALUE(MID(C487,4,2)),VALUE(LEFT(C487,2))),DATE(VALUE(RIGHT(C487,4)),VLOOKUP(TRIM(MID(C487,FIND(" ",C487)+1,LEN(C487)-FIND(" ",C487)-5)),Справочники!$M$3:$N$14,2,0),VALUE(LEFT(C487,FIND(" ",C487)-1))))),"")</f>
        <v>26481</v>
      </c>
      <c r="J487" s="6">
        <f t="shared" si="234"/>
        <v>54</v>
      </c>
      <c r="K487" t="str">
        <f t="shared" si="235"/>
        <v>ОК</v>
      </c>
      <c r="L487" s="5">
        <f>IFERROR(IF(ISNUMBER(FIND("-",G487)),DATE(VALUE(LEFT(G487,4)),VALUE(MID(G487,6,2)),VALUE(RIGHT(G487,2))),IF(ISNUMBER(FIND(".",G487)),DATE(VALUE(RIGHT(G487,4)),VALUE(MID(G487,4,2)),VALUE(LEFT(G487,2))),DATE(VALUE(RIGHT(G487,4)),VLOOKUP(TRIM(MID(G487,FIND(" ",G487)+1,LEN(G487)-FIND(" ",G487)-5)),Справочники!$M$3:$N$14,2,0),VALUE(LEFT(G487,FIND(" ",G487)-1))))),"")</f>
        <v>49470</v>
      </c>
      <c r="M487" t="str">
        <f t="shared" si="236"/>
        <v xml:space="preserve">+7 (903) 890-12-34</v>
      </c>
      <c r="N487" t="str">
        <f t="shared" si="237"/>
        <v>zuev@gmail</v>
      </c>
      <c r="O487" t="str">
        <f t="shared" si="238"/>
        <v xml:space="preserve">Ошибка Email</v>
      </c>
      <c r="P487" t="str">
        <f>IFERROR(VLOOKUP(TRIM(SUBSTITUTE(SUBSTITUTE(" "&amp;F487," г "," "),"г.","")),Справочники!$J$3:$K$102,2,0),TRIM(SUBSTITUTE(SUBSTITUTE(" "&amp;F487," г "," "),"г.","")))</f>
        <v>Кызыл</v>
      </c>
    </row>
    <row r="488">
      <c r="A488" s="3" t="s">
        <v>3009</v>
      </c>
      <c r="B488" s="3" t="s">
        <v>5983</v>
      </c>
      <c r="C488" s="3" t="s">
        <v>5984</v>
      </c>
      <c r="D488" s="3" t="s">
        <v>4007</v>
      </c>
      <c r="E488" s="3" t="s">
        <v>5985</v>
      </c>
      <c r="F488" s="3" t="s">
        <v>4330</v>
      </c>
      <c r="G488" s="3" t="s">
        <v>5986</v>
      </c>
      <c r="H488" t="str">
        <f t="shared" si="233"/>
        <v xml:space="preserve">Прокопьева Елена Сергеевна</v>
      </c>
      <c r="I488" s="5">
        <f>IFERROR(IF(ISNUMBER(FIND("-",C488)),DATE(VALUE(LEFT(C488,4)),VALUE(MID(C488,6,2)),VALUE(RIGHT(C488,2))),IF(ISNUMBER(FIND(".",C488)),DATE(VALUE(RIGHT(C488,4)),VALUE(MID(C488,4,2)),VALUE(LEFT(C488,2))),DATE(VALUE(RIGHT(C488,4)),VLOOKUP(TRIM(MID(C488,FIND(" ",C488)+1,LEN(C488)-FIND(" ",C488)-5)),Справочники!$M$3:$N$14,2,0),VALUE(LEFT(C488,FIND(" ",C488)-1))))),"")</f>
        <v>28781</v>
      </c>
      <c r="J488" s="6">
        <f t="shared" si="234"/>
        <v>48</v>
      </c>
      <c r="K488" t="str">
        <f t="shared" si="235"/>
        <v>ОК</v>
      </c>
      <c r="L488" s="5">
        <f>IFERROR(IF(ISNUMBER(FIND("-",G488)),DATE(VALUE(LEFT(G488,4)),VALUE(MID(G488,6,2)),VALUE(RIGHT(G488,2))),IF(ISNUMBER(FIND(".",G488)),DATE(VALUE(RIGHT(G488,4)),VALUE(MID(G488,4,2)),VALUE(LEFT(G488,2))),DATE(VALUE(RIGHT(G488,4)),VLOOKUP(TRIM(MID(G488,FIND(" ",G488)+1,LEN(G488)-FIND(" ",G488)-5)),Справочники!$M$3:$N$14,2,0),VALUE(LEFT(G488,FIND(" ",G488)-1))))),"")</f>
        <v>49491</v>
      </c>
      <c r="M488" t="str">
        <f t="shared" si="236"/>
        <v xml:space="preserve">+7 (903) 890-12-34</v>
      </c>
      <c r="N488" t="str">
        <f t="shared" si="237"/>
        <v>prokopyeva@mail</v>
      </c>
      <c r="O488" t="str">
        <f t="shared" si="238"/>
        <v xml:space="preserve">Ошибка Email</v>
      </c>
      <c r="P488" t="str">
        <f>IFERROR(VLOOKUP(TRIM(SUBSTITUTE(SUBSTITUTE(" "&amp;F488," г "," "),"г.","")),Справочники!$J$3:$K$102,2,0),TRIM(SUBSTITUTE(SUBSTITUTE(" "&amp;F488," г "," "),"г.","")))</f>
        <v>Калининград</v>
      </c>
    </row>
    <row r="489">
      <c r="A489" s="3" t="s">
        <v>3010</v>
      </c>
      <c r="B489" s="3" t="s">
        <v>5987</v>
      </c>
      <c r="C489" s="3" t="s">
        <v>5988</v>
      </c>
      <c r="D489" s="3" t="s">
        <v>1619</v>
      </c>
      <c r="E489" s="3" t="s">
        <v>5989</v>
      </c>
      <c r="F489" s="3" t="s">
        <v>4335</v>
      </c>
      <c r="G489" s="3" t="s">
        <v>5990</v>
      </c>
      <c r="H489" t="str">
        <f t="shared" si="233"/>
        <v xml:space="preserve">Сухарев Андрей Олегович</v>
      </c>
      <c r="I489" s="5">
        <f>IFERROR(IF(ISNUMBER(FIND("-",C489)),DATE(VALUE(LEFT(C489,4)),VALUE(MID(C489,6,2)),VALUE(RIGHT(C489,2))),IF(ISNUMBER(FIND(".",C489)),DATE(VALUE(RIGHT(C489,4)),VALUE(MID(C489,4,2)),VALUE(LEFT(C489,2))),DATE(VALUE(RIGHT(C489,4)),VLOOKUP(TRIM(MID(C489,FIND(" ",C489)+1,LEN(C489)-FIND(" ",C489)-5)),Справочники!$M$3:$N$14,2,0),VALUE(LEFT(C489,FIND(" ",C489)-1))))),"")</f>
        <v>31094</v>
      </c>
      <c r="J489" s="6">
        <f t="shared" si="234"/>
        <v>41</v>
      </c>
      <c r="K489" t="str">
        <f t="shared" si="235"/>
        <v>ОК</v>
      </c>
      <c r="L489" s="5">
        <f>IFERROR(IF(ISNUMBER(FIND("-",G489)),DATE(VALUE(LEFT(G489,4)),VALUE(MID(G489,6,2)),VALUE(RIGHT(G489,2))),IF(ISNUMBER(FIND(".",G489)),DATE(VALUE(RIGHT(G489,4)),VALUE(MID(G489,4,2)),VALUE(LEFT(G489,2))),DATE(VALUE(RIGHT(G489,4)),VLOOKUP(TRIM(MID(G489,FIND(" ",G489)+1,LEN(G489)-FIND(" ",G489)-5)),Справочники!$M$3:$N$14,2,0),VALUE(LEFT(G489,FIND(" ",G489)-1))))),"")</f>
        <v>49505</v>
      </c>
      <c r="M489" t="str">
        <f t="shared" si="236"/>
        <v xml:space="preserve">+7 (903) 890-12-34</v>
      </c>
      <c r="N489" t="str">
        <f t="shared" si="237"/>
        <v>suharev@yandex</v>
      </c>
      <c r="O489" t="str">
        <f t="shared" si="238"/>
        <v xml:space="preserve">Ошибка Email</v>
      </c>
      <c r="P489" t="str">
        <f>IFERROR(VLOOKUP(TRIM(SUBSTITUTE(SUBSTITUTE(" "&amp;F489," г "," "),"г.","")),Справочники!$J$3:$K$102,2,0),TRIM(SUBSTITUTE(SUBSTITUTE(" "&amp;F489," г "," "),"г.","")))</f>
        <v>Петрозаводск</v>
      </c>
    </row>
    <row r="490">
      <c r="A490" s="3" t="s">
        <v>3013</v>
      </c>
      <c r="B490" s="3" t="s">
        <v>5991</v>
      </c>
      <c r="C490" s="3" t="s">
        <v>5992</v>
      </c>
      <c r="D490" s="3" t="s">
        <v>4018</v>
      </c>
      <c r="E490" s="3" t="s">
        <v>5993</v>
      </c>
      <c r="F490" s="3" t="s">
        <v>4340</v>
      </c>
      <c r="G490" s="3" t="s">
        <v>5994</v>
      </c>
      <c r="H490" t="str">
        <f t="shared" si="233"/>
        <v xml:space="preserve">Меньшова Мария Владимировна</v>
      </c>
      <c r="I490" s="5">
        <f>IFERROR(IF(ISNUMBER(FIND("-",C490)),DATE(VALUE(LEFT(C490,4)),VALUE(MID(C490,6,2)),VALUE(RIGHT(C490,2))),IF(ISNUMBER(FIND(".",C490)),DATE(VALUE(RIGHT(C490,4)),VALUE(MID(C490,4,2)),VALUE(LEFT(C490,2))),DATE(VALUE(RIGHT(C490,4)),VLOOKUP(TRIM(MID(C490,FIND(" ",C490)+1,LEN(C490)-FIND(" ",C490)-5)),Справочники!$M$3:$N$14,2,0),VALUE(LEFT(C490,FIND(" ",C490)-1))))),"")</f>
        <v>33845</v>
      </c>
      <c r="J490" s="6">
        <f t="shared" si="234"/>
        <v>34</v>
      </c>
      <c r="K490" t="str">
        <f t="shared" si="235"/>
        <v>ОК</v>
      </c>
      <c r="L490" s="5">
        <f>IFERROR(IF(ISNUMBER(FIND("-",G490)),DATE(VALUE(LEFT(G490,4)),VALUE(MID(G490,6,2)),VALUE(RIGHT(G490,2))),IF(ISNUMBER(FIND(".",G490)),DATE(VALUE(RIGHT(G490,4)),VALUE(MID(G490,4,2)),VALUE(LEFT(G490,2))),DATE(VALUE(RIGHT(G490,4)),VLOOKUP(TRIM(MID(G490,FIND(" ",G490)+1,LEN(G490)-FIND(" ",G490)-5)),Справочники!$M$3:$N$14,2,0),VALUE(LEFT(G490,FIND(" ",G490)-1))))),"")</f>
        <v>49505</v>
      </c>
      <c r="M490" t="str">
        <f t="shared" si="236"/>
        <v xml:space="preserve">+7 (903) 901-23-45</v>
      </c>
      <c r="N490" t="str">
        <f t="shared" si="237"/>
        <v>menshova@gmail</v>
      </c>
      <c r="O490" t="str">
        <f t="shared" si="238"/>
        <v xml:space="preserve">Ошибка Email</v>
      </c>
      <c r="P490" t="str">
        <f>IFERROR(VLOOKUP(TRIM(SUBSTITUTE(SUBSTITUTE(" "&amp;F490," г "," "),"г.","")),Справочники!$J$3:$K$102,2,0),TRIM(SUBSTITUTE(SUBSTITUTE(" "&amp;F490," г "," "),"г.","")))</f>
        <v>Рубцовск</v>
      </c>
    </row>
    <row r="491">
      <c r="A491" s="3" t="s">
        <v>3014</v>
      </c>
      <c r="B491" s="3" t="s">
        <v>5995</v>
      </c>
      <c r="C491" s="3" t="s">
        <v>5996</v>
      </c>
      <c r="D491" s="3" t="s">
        <v>1626</v>
      </c>
      <c r="E491" s="3" t="s">
        <v>5997</v>
      </c>
      <c r="F491" s="3" t="s">
        <v>4345</v>
      </c>
      <c r="G491" s="3" t="s">
        <v>5998</v>
      </c>
      <c r="H491" t="str">
        <f t="shared" si="233"/>
        <v xml:space="preserve">Пискунов Денис Сергеевич</v>
      </c>
      <c r="I491" s="5">
        <f>IFERROR(IF(ISNUMBER(FIND("-",C491)),DATE(VALUE(LEFT(C491,4)),VALUE(MID(C491,6,2)),VALUE(RIGHT(C491,2))),IF(ISNUMBER(FIND(".",C491)),DATE(VALUE(RIGHT(C491,4)),VALUE(MID(C491,4,2)),VALUE(LEFT(C491,2))),DATE(VALUE(RIGHT(C491,4)),VLOOKUP(TRIM(MID(C491,FIND(" ",C491)+1,LEN(C491)-FIND(" ",C491)-5)),Справочники!$M$3:$N$14,2,0),VALUE(LEFT(C491,FIND(" ",C491)-1))))),"")</f>
        <v>28481</v>
      </c>
      <c r="J491" s="6">
        <f t="shared" si="234"/>
        <v>48</v>
      </c>
      <c r="K491" t="str">
        <f t="shared" si="235"/>
        <v>ОК</v>
      </c>
      <c r="L491" s="5">
        <f>IFERROR(IF(ISNUMBER(FIND("-",G491)),DATE(VALUE(LEFT(G491,4)),VALUE(MID(G491,6,2)),VALUE(RIGHT(G491,2))),IF(ISNUMBER(FIND(".",G491)),DATE(VALUE(RIGHT(G491,4)),VALUE(MID(G491,4,2)),VALUE(LEFT(G491,2))),DATE(VALUE(RIGHT(G491,4)),VLOOKUP(TRIM(MID(G491,FIND(" ",G491)+1,LEN(G491)-FIND(" ",G491)-5)),Справочники!$M$3:$N$14,2,0),VALUE(LEFT(G491,FIND(" ",G491)-1))))),"")</f>
        <v>49522</v>
      </c>
      <c r="M491" t="str">
        <f t="shared" si="236"/>
        <v xml:space="preserve">+7 (903) 901-23-45</v>
      </c>
      <c r="N491" t="str">
        <f t="shared" si="237"/>
        <v>piskunov@mail</v>
      </c>
      <c r="O491" t="str">
        <f t="shared" si="238"/>
        <v xml:space="preserve">Ошибка Email</v>
      </c>
      <c r="P491" t="str">
        <f>IFERROR(VLOOKUP(TRIM(SUBSTITUTE(SUBSTITUTE(" "&amp;F491," г "," "),"г.","")),Справочники!$J$3:$K$102,2,0),TRIM(SUBSTITUTE(SUBSTITUTE(" "&amp;F491," г "," "),"г.","")))</f>
        <v>Элиста</v>
      </c>
    </row>
    <row r="492">
      <c r="A492" s="3" t="s">
        <v>3016</v>
      </c>
      <c r="B492" s="3" t="s">
        <v>5999</v>
      </c>
      <c r="C492" s="3" t="s">
        <v>6000</v>
      </c>
      <c r="D492" s="3" t="s">
        <v>4176</v>
      </c>
      <c r="E492" s="3" t="s">
        <v>6001</v>
      </c>
      <c r="F492" s="3" t="s">
        <v>4350</v>
      </c>
      <c r="G492" s="3" t="s">
        <v>6002</v>
      </c>
      <c r="H492" t="str">
        <f t="shared" si="233"/>
        <v xml:space="preserve">Соболева Ольга Алексеевна</v>
      </c>
      <c r="I492" s="5">
        <f>IFERROR(IF(ISNUMBER(FIND("-",C492)),DATE(VALUE(LEFT(C492,4)),VALUE(MID(C492,6,2)),VALUE(RIGHT(C492,2))),IF(ISNUMBER(FIND(".",C492)),DATE(VALUE(RIGHT(C492,4)),VALUE(MID(C492,4,2)),VALUE(LEFT(C492,2))),DATE(VALUE(RIGHT(C492,4)),VLOOKUP(TRIM(MID(C492,FIND(" ",C492)+1,LEN(C492)-FIND(" ",C492)-5)),Справочники!$M$3:$N$14,2,0),VALUE(LEFT(C492,FIND(" ",C492)-1))))),"")</f>
        <v>29350</v>
      </c>
      <c r="J492" s="6">
        <f t="shared" si="234"/>
        <v>46</v>
      </c>
      <c r="K492" t="str">
        <f t="shared" si="235"/>
        <v>ОК</v>
      </c>
      <c r="L492" s="5">
        <f>IFERROR(IF(ISNUMBER(FIND("-",G492)),DATE(VALUE(LEFT(G492,4)),VALUE(MID(G492,6,2)),VALUE(RIGHT(G492,2))),IF(ISNUMBER(FIND(".",G492)),DATE(VALUE(RIGHT(G492,4)),VALUE(MID(G492,4,2)),VALUE(LEFT(G492,2))),DATE(VALUE(RIGHT(G492,4)),VLOOKUP(TRIM(MID(G492,FIND(" ",G492)+1,LEN(G492)-FIND(" ",G492)-5)),Справочники!$M$3:$N$14,2,0),VALUE(LEFT(G492,FIND(" ",G492)-1))))),"")</f>
        <v>49531</v>
      </c>
      <c r="M492" t="str">
        <f t="shared" si="236"/>
        <v xml:space="preserve">+7 (903) 901-23-45</v>
      </c>
      <c r="N492" t="str">
        <f t="shared" si="237"/>
        <v>soboleva@yandex</v>
      </c>
      <c r="O492" t="str">
        <f t="shared" si="238"/>
        <v xml:space="preserve">Ошибка Email</v>
      </c>
      <c r="P492" t="str">
        <f>IFERROR(VLOOKUP(TRIM(SUBSTITUTE(SUBSTITUTE(" "&amp;F492," г "," "),"г.","")),Справочники!$J$3:$K$102,2,0),TRIM(SUBSTITUTE(SUBSTITUTE(" "&amp;F492," г "," "),"г.","")))</f>
        <v>Орск</v>
      </c>
    </row>
    <row r="493">
      <c r="A493" s="3" t="s">
        <v>3017</v>
      </c>
      <c r="B493" s="3" t="s">
        <v>6003</v>
      </c>
      <c r="C493" s="3" t="s">
        <v>6004</v>
      </c>
      <c r="D493" s="3" t="s">
        <v>4182</v>
      </c>
      <c r="E493" s="3" t="s">
        <v>6005</v>
      </c>
      <c r="F493" s="3" t="s">
        <v>4355</v>
      </c>
      <c r="G493" s="3" t="s">
        <v>6006</v>
      </c>
      <c r="H493" t="str">
        <f t="shared" si="233"/>
        <v xml:space="preserve">Черкесов Илья Николаевич</v>
      </c>
      <c r="I493" s="5">
        <f>IFERROR(IF(ISNUMBER(FIND("-",C493)),DATE(VALUE(LEFT(C493,4)),VALUE(MID(C493,6,2)),VALUE(RIGHT(C493,2))),IF(ISNUMBER(FIND(".",C493)),DATE(VALUE(RIGHT(C493,4)),VALUE(MID(C493,4,2)),VALUE(LEFT(C493,2))),DATE(VALUE(RIGHT(C493,4)),VLOOKUP(TRIM(MID(C493,FIND(" ",C493)+1,LEN(C493)-FIND(" ",C493)-5)),Справочники!$M$3:$N$14,2,0),VALUE(LEFT(C493,FIND(" ",C493)-1))))),"")</f>
        <v>31231</v>
      </c>
      <c r="J493" s="6">
        <f t="shared" si="234"/>
        <v>41</v>
      </c>
      <c r="K493" t="str">
        <f t="shared" si="235"/>
        <v>ОК</v>
      </c>
      <c r="L493" s="5">
        <f>IFERROR(IF(ISNUMBER(FIND("-",G493)),DATE(VALUE(LEFT(G493,4)),VALUE(MID(G493,6,2)),VALUE(RIGHT(G493,2))),IF(ISNUMBER(FIND(".",G493)),DATE(VALUE(RIGHT(G493,4)),VALUE(MID(G493,4,2)),VALUE(LEFT(G493,2))),DATE(VALUE(RIGHT(G493,4)),VLOOKUP(TRIM(MID(G493,FIND(" ",G493)+1,LEN(G493)-FIND(" ",G493)-5)),Справочники!$M$3:$N$14,2,0),VALUE(LEFT(G493,FIND(" ",G493)-1))))),"")</f>
        <v>49531</v>
      </c>
      <c r="M493" t="str">
        <f t="shared" si="236"/>
        <v xml:space="preserve">+7 (903) 012-34-56</v>
      </c>
      <c r="N493" t="str">
        <f t="shared" si="237"/>
        <v>cherkesov@gmail</v>
      </c>
      <c r="O493" t="str">
        <f t="shared" si="238"/>
        <v xml:space="preserve">Ошибка Email</v>
      </c>
      <c r="P493" t="str">
        <f>IFERROR(VLOOKUP(TRIM(SUBSTITUTE(SUBSTITUTE(" "&amp;F493," г "," "),"г.","")),Справочники!$J$3:$K$102,2,0),TRIM(SUBSTITUTE(SUBSTITUTE(" "&amp;F493," г "," "),"г.","")))</f>
        <v>Нижневартовск</v>
      </c>
    </row>
    <row r="494">
      <c r="A494" s="3" t="s">
        <v>3019</v>
      </c>
      <c r="B494" s="3" t="s">
        <v>6007</v>
      </c>
      <c r="C494" s="3" t="s">
        <v>6008</v>
      </c>
      <c r="D494" s="3" t="s">
        <v>4188</v>
      </c>
      <c r="E494" s="3" t="s">
        <v>6009</v>
      </c>
      <c r="F494" s="3" t="s">
        <v>4360</v>
      </c>
      <c r="G494" s="3" t="s">
        <v>6010</v>
      </c>
      <c r="H494" t="str">
        <f t="shared" si="233"/>
        <v xml:space="preserve">Ракитина Екатерина Павловна</v>
      </c>
      <c r="I494" s="5">
        <f>IFERROR(IF(ISNUMBER(FIND("-",C494)),DATE(VALUE(LEFT(C494,4)),VALUE(MID(C494,6,2)),VALUE(RIGHT(C494,2))),IF(ISNUMBER(FIND(".",C494)),DATE(VALUE(RIGHT(C494,4)),VALUE(MID(C494,4,2)),VALUE(LEFT(C494,2))),DATE(VALUE(RIGHT(C494,4)),VLOOKUP(TRIM(MID(C494,FIND(" ",C494)+1,LEN(C494)-FIND(" ",C494)-5)),Справочники!$M$3:$N$14,2,0),VALUE(LEFT(C494,FIND(" ",C494)-1))))),"")</f>
        <v>32890</v>
      </c>
      <c r="J494" s="6">
        <f t="shared" si="234"/>
        <v>36</v>
      </c>
      <c r="K494" t="str">
        <f t="shared" si="235"/>
        <v>ОК</v>
      </c>
      <c r="L494" s="5">
        <f>IFERROR(IF(ISNUMBER(FIND("-",G494)),DATE(VALUE(LEFT(G494,4)),VALUE(MID(G494,6,2)),VALUE(RIGHT(G494,2))),IF(ISNUMBER(FIND(".",G494)),DATE(VALUE(RIGHT(G494,4)),VALUE(MID(G494,4,2)),VALUE(LEFT(G494,2))),DATE(VALUE(RIGHT(G494,4)),VLOOKUP(TRIM(MID(G494,FIND(" ",G494)+1,LEN(G494)-FIND(" ",G494)-5)),Справочники!$M$3:$N$14,2,0),VALUE(LEFT(G494,FIND(" ",G494)-1))))),"")</f>
        <v>49553</v>
      </c>
      <c r="M494" t="str">
        <f t="shared" si="236"/>
        <v xml:space="preserve">+7 (903) 012-34-56</v>
      </c>
      <c r="N494" t="str">
        <f t="shared" si="237"/>
        <v>rakitina@mail</v>
      </c>
      <c r="O494" t="str">
        <f t="shared" si="238"/>
        <v xml:space="preserve">Ошибка Email</v>
      </c>
      <c r="P494" t="str">
        <f>IFERROR(VLOOKUP(TRIM(SUBSTITUTE(SUBSTITUTE(" "&amp;F494," г "," "),"г.","")),Справочники!$J$3:$K$102,2,0),TRIM(SUBSTITUTE(SUBSTITUTE(" "&amp;F494," г "," "),"г.","")))</f>
        <v>Новороссийск</v>
      </c>
    </row>
    <row r="495">
      <c r="A495" s="3" t="s">
        <v>3021</v>
      </c>
      <c r="B495" s="3" t="s">
        <v>5495</v>
      </c>
      <c r="C495" s="3" t="s">
        <v>6011</v>
      </c>
      <c r="D495" s="3" t="s">
        <v>1633</v>
      </c>
      <c r="E495" s="3" t="s">
        <v>5497</v>
      </c>
      <c r="F495" s="3" t="s">
        <v>4365</v>
      </c>
      <c r="G495" s="3" t="s">
        <v>6012</v>
      </c>
      <c r="H495" t="str">
        <f t="shared" si="233"/>
        <v xml:space="preserve">Логунов Андрей Сергеевич</v>
      </c>
      <c r="I495" s="5">
        <f>IFERROR(IF(ISNUMBER(FIND("-",C495)),DATE(VALUE(LEFT(C495,4)),VALUE(MID(C495,6,2)),VALUE(RIGHT(C495,2))),IF(ISNUMBER(FIND(".",C495)),DATE(VALUE(RIGHT(C495,4)),VALUE(MID(C495,4,2)),VALUE(LEFT(C495,2))),DATE(VALUE(RIGHT(C495,4)),VLOOKUP(TRIM(MID(C495,FIND(" ",C495)+1,LEN(C495)-FIND(" ",C495)-5)),Справочники!$M$3:$N$14,2,0),VALUE(LEFT(C495,FIND(" ",C495)-1))))),"")</f>
        <v>30617</v>
      </c>
      <c r="J495" s="6">
        <f t="shared" si="234"/>
        <v>42</v>
      </c>
      <c r="K495" t="str">
        <f t="shared" si="235"/>
        <v>ОК</v>
      </c>
      <c r="L495" s="5">
        <f>IFERROR(IF(ISNUMBER(FIND("-",G495)),DATE(VALUE(LEFT(G495,4)),VALUE(MID(G495,6,2)),VALUE(RIGHT(G495,2))),IF(ISNUMBER(FIND(".",G495)),DATE(VALUE(RIGHT(G495,4)),VALUE(MID(G495,4,2)),VALUE(LEFT(G495,2))),DATE(VALUE(RIGHT(G495,4)),VLOOKUP(TRIM(MID(G495,FIND(" ",G495)+1,LEN(G495)-FIND(" ",G495)-5)),Справочники!$M$3:$N$14,2,0),VALUE(LEFT(G495,FIND(" ",G495)-1))))),"")</f>
        <v>49567</v>
      </c>
      <c r="M495" t="str">
        <f t="shared" si="236"/>
        <v xml:space="preserve">+7 (903) 012-34-56</v>
      </c>
      <c r="N495" t="str">
        <f t="shared" si="237"/>
        <v>logunov@yandex</v>
      </c>
      <c r="O495" t="str">
        <f t="shared" si="238"/>
        <v xml:space="preserve">Ошибка Email</v>
      </c>
      <c r="P495" t="str">
        <f>IFERROR(VLOOKUP(TRIM(SUBSTITUTE(SUBSTITUTE(" "&amp;F495," г "," "),"г.","")),Справочники!$J$3:$K$102,2,0),TRIM(SUBSTITUTE(SUBSTITUTE(" "&amp;F495," г "," "),"г.","")))</f>
        <v>Химки</v>
      </c>
    </row>
    <row r="496">
      <c r="A496" s="3" t="s">
        <v>3023</v>
      </c>
      <c r="B496" s="3" t="s">
        <v>6013</v>
      </c>
      <c r="C496" s="3" t="s">
        <v>6014</v>
      </c>
      <c r="D496" s="3" t="s">
        <v>4034</v>
      </c>
      <c r="E496" s="3" t="s">
        <v>6015</v>
      </c>
      <c r="F496" s="3" t="s">
        <v>4370</v>
      </c>
      <c r="G496" s="3" t="s">
        <v>6016</v>
      </c>
      <c r="H496" t="str">
        <f t="shared" si="233"/>
        <v xml:space="preserve">Боровкова Мария Олеговна</v>
      </c>
      <c r="I496" s="5">
        <f>IFERROR(IF(ISNUMBER(FIND("-",C496)),DATE(VALUE(LEFT(C496,4)),VALUE(MID(C496,6,2)),VALUE(RIGHT(C496,2))),IF(ISNUMBER(FIND(".",C496)),DATE(VALUE(RIGHT(C496,4)),VALUE(MID(C496,4,2)),VALUE(LEFT(C496,2))),DATE(VALUE(RIGHT(C496,4)),VLOOKUP(TRIM(MID(C496,FIND(" ",C496)+1,LEN(C496)-FIND(" ",C496)-5)),Справочники!$M$3:$N$14,2,0),VALUE(LEFT(C496,FIND(" ",C496)-1))))),"")</f>
        <v>27875</v>
      </c>
      <c r="J496" s="6">
        <f t="shared" si="234"/>
        <v>50</v>
      </c>
      <c r="K496" t="str">
        <f t="shared" si="235"/>
        <v>ОК</v>
      </c>
      <c r="L496" s="5">
        <f>IFERROR(IF(ISNUMBER(FIND("-",G496)),DATE(VALUE(LEFT(G496,4)),VALUE(MID(G496,6,2)),VALUE(RIGHT(G496,2))),IF(ISNUMBER(FIND(".",G496)),DATE(VALUE(RIGHT(G496,4)),VALUE(MID(G496,4,2)),VALUE(LEFT(G496,2))),DATE(VALUE(RIGHT(G496,4)),VLOOKUP(TRIM(MID(G496,FIND(" ",G496)+1,LEN(G496)-FIND(" ",G496)-5)),Справочники!$M$3:$N$14,2,0),VALUE(LEFT(G496,FIND(" ",G496)-1))))),"")</f>
        <v>49567</v>
      </c>
      <c r="M496" t="str">
        <f t="shared" si="236"/>
        <v xml:space="preserve">+7 (903) 123-45-67</v>
      </c>
      <c r="N496" t="str">
        <f t="shared" si="237"/>
        <v>borovkova@gmail</v>
      </c>
      <c r="O496" t="str">
        <f t="shared" si="238"/>
        <v xml:space="preserve">Ошибка Email</v>
      </c>
      <c r="P496" t="str">
        <f>IFERROR(VLOOKUP(TRIM(SUBSTITUTE(SUBSTITUTE(" "&amp;F496," г "," "),"г.","")),Справочники!$J$3:$K$102,2,0),TRIM(SUBSTITUTE(SUBSTITUTE(" "&amp;F496," г "," "),"г.","")))</f>
        <v>Подольск</v>
      </c>
    </row>
    <row r="497">
      <c r="A497" s="3" t="s">
        <v>3024</v>
      </c>
      <c r="B497" s="3" t="s">
        <v>6017</v>
      </c>
      <c r="C497" s="3" t="s">
        <v>6018</v>
      </c>
      <c r="D497" s="3" t="s">
        <v>4040</v>
      </c>
      <c r="E497" s="3" t="s">
        <v>6019</v>
      </c>
      <c r="F497" s="3" t="s">
        <v>4375</v>
      </c>
      <c r="G497" s="3" t="s">
        <v>6020</v>
      </c>
      <c r="H497" t="str">
        <f t="shared" si="233"/>
        <v xml:space="preserve">Терехов Денис Викторович</v>
      </c>
      <c r="I497" s="5">
        <f>IFERROR(IF(ISNUMBER(FIND("-",C497)),DATE(VALUE(LEFT(C497,4)),VALUE(MID(C497,6,2)),VALUE(RIGHT(C497,2))),IF(ISNUMBER(FIND(".",C497)),DATE(VALUE(RIGHT(C497,4)),VALUE(MID(C497,4,2)),VALUE(LEFT(C497,2))),DATE(VALUE(RIGHT(C497,4)),VLOOKUP(TRIM(MID(C497,FIND(" ",C497)+1,LEN(C497)-FIND(" ",C497)-5)),Справочники!$M$3:$N$14,2,0),VALUE(LEFT(C497,FIND(" ",C497)-1))))),"")</f>
        <v>29926</v>
      </c>
      <c r="J497" s="6">
        <f t="shared" si="234"/>
        <v>44</v>
      </c>
      <c r="K497" t="str">
        <f t="shared" si="235"/>
        <v>ОК</v>
      </c>
      <c r="L497" s="5">
        <f>IFERROR(IF(ISNUMBER(FIND("-",G497)),DATE(VALUE(LEFT(G497,4)),VALUE(MID(G497,6,2)),VALUE(RIGHT(G497,2))),IF(ISNUMBER(FIND(".",G497)),DATE(VALUE(RIGHT(G497,4)),VALUE(MID(G497,4,2)),VALUE(LEFT(G497,2))),DATE(VALUE(RIGHT(G497,4)),VLOOKUP(TRIM(MID(G497,FIND(" ",G497)+1,LEN(G497)-FIND(" ",G497)-5)),Справочники!$M$3:$N$14,2,0),VALUE(LEFT(G497,FIND(" ",G497)-1))))),"")</f>
        <v>49583</v>
      </c>
      <c r="M497" t="str">
        <f t="shared" si="236"/>
        <v xml:space="preserve">+7 (903) 123-45-67</v>
      </c>
      <c r="N497" t="str">
        <f t="shared" si="237"/>
        <v>terehov@mail</v>
      </c>
      <c r="O497" t="str">
        <f t="shared" si="238"/>
        <v xml:space="preserve">Ошибка Email</v>
      </c>
      <c r="P497" t="str">
        <f>IFERROR(VLOOKUP(TRIM(SUBSTITUTE(SUBSTITUTE(" "&amp;F497," г "," "),"г.","")),Справочники!$J$3:$K$102,2,0),TRIM(SUBSTITUTE(SUBSTITUTE(" "&amp;F497," г "," "),"г.","")))</f>
        <v>Балашиха</v>
      </c>
    </row>
    <row r="498">
      <c r="A498" s="3" t="s">
        <v>3026</v>
      </c>
      <c r="B498" s="3" t="s">
        <v>6021</v>
      </c>
      <c r="C498" s="3" t="s">
        <v>6022</v>
      </c>
      <c r="D498" s="3" t="s">
        <v>1570</v>
      </c>
      <c r="E498" s="3" t="s">
        <v>6023</v>
      </c>
      <c r="F498" s="3" t="s">
        <v>4380</v>
      </c>
      <c r="G498" s="3" t="s">
        <v>6024</v>
      </c>
      <c r="H498" t="str">
        <f t="shared" si="233"/>
        <v xml:space="preserve">Курагина Ольга Сергеевна</v>
      </c>
      <c r="I498" s="5">
        <f>IFERROR(IF(ISNUMBER(FIND("-",C498)),DATE(VALUE(LEFT(C498,4)),VALUE(MID(C498,6,2)),VALUE(RIGHT(C498,2))),IF(ISNUMBER(FIND(".",C498)),DATE(VALUE(RIGHT(C498,4)),VALUE(MID(C498,4,2)),VALUE(LEFT(C498,2))),DATE(VALUE(RIGHT(C498,4)),VLOOKUP(TRIM(MID(C498,FIND(" ",C498)+1,LEN(C498)-FIND(" ",C498)-5)),Справочники!$M$3:$N$14,2,0),VALUE(LEFT(C498,FIND(" ",C498)-1))))),"")</f>
        <v>31582</v>
      </c>
      <c r="J498" s="6">
        <f t="shared" si="234"/>
        <v>40</v>
      </c>
      <c r="K498" t="str">
        <f t="shared" si="235"/>
        <v>ОК</v>
      </c>
      <c r="L498" s="5">
        <f>IFERROR(IF(ISNUMBER(FIND("-",G498)),DATE(VALUE(LEFT(G498,4)),VALUE(MID(G498,6,2)),VALUE(RIGHT(G498,2))),IF(ISNUMBER(FIND(".",G498)),DATE(VALUE(RIGHT(G498,4)),VALUE(MID(G498,4,2)),VALUE(LEFT(G498,2))),DATE(VALUE(RIGHT(G498,4)),VLOOKUP(TRIM(MID(G498,FIND(" ",G498)+1,LEN(G498)-FIND(" ",G498)-5)),Справочники!$M$3:$N$14,2,0),VALUE(LEFT(G498,FIND(" ",G498)-1))))),"")</f>
        <v>49592</v>
      </c>
      <c r="M498" t="str">
        <f t="shared" si="236"/>
        <v xml:space="preserve">+7 (903) 123-45-67</v>
      </c>
      <c r="N498" t="str">
        <f t="shared" si="237"/>
        <v>kuragina@yandex</v>
      </c>
      <c r="O498" t="str">
        <f t="shared" si="238"/>
        <v xml:space="preserve">Ошибка Email</v>
      </c>
      <c r="P498" t="str">
        <f>IFERROR(VLOOKUP(TRIM(SUBSTITUTE(SUBSTITUTE(" "&amp;F498," г "," "),"г.","")),Справочники!$J$3:$K$102,2,0),TRIM(SUBSTITUTE(SUBSTITUTE(" "&amp;F498," г "," "),"г.","")))</f>
        <v>Сургут</v>
      </c>
    </row>
    <row r="499">
      <c r="A499" s="3" t="s">
        <v>3028</v>
      </c>
      <c r="B499" s="3" t="s">
        <v>6025</v>
      </c>
      <c r="C499" s="3" t="s">
        <v>6026</v>
      </c>
      <c r="D499" s="3" t="s">
        <v>4051</v>
      </c>
      <c r="E499" s="3" t="s">
        <v>6027</v>
      </c>
      <c r="F499" s="3" t="s">
        <v>4385</v>
      </c>
      <c r="G499" s="3" t="s">
        <v>6028</v>
      </c>
      <c r="H499" t="str">
        <f t="shared" si="233"/>
        <v xml:space="preserve">Горохов Илья Олегович</v>
      </c>
      <c r="I499" s="5">
        <f>IFERROR(IF(ISNUMBER(FIND("-",C499)),DATE(VALUE(LEFT(C499,4)),VALUE(MID(C499,6,2)),VALUE(RIGHT(C499,2))),IF(ISNUMBER(FIND(".",C499)),DATE(VALUE(RIGHT(C499,4)),VALUE(MID(C499,4,2)),VALUE(LEFT(C499,2))),DATE(VALUE(RIGHT(C499,4)),VLOOKUP(TRIM(MID(C499,FIND(" ",C499)+1,LEN(C499)-FIND(" ",C499)-5)),Справочники!$M$3:$N$14,2,0),VALUE(LEFT(C499,FIND(" ",C499)-1))))),"")</f>
        <v>28563</v>
      </c>
      <c r="J499" s="6">
        <f t="shared" si="234"/>
        <v>48</v>
      </c>
      <c r="K499" t="str">
        <f t="shared" si="235"/>
        <v>ОК</v>
      </c>
      <c r="L499" s="5">
        <f>IFERROR(IF(ISNUMBER(FIND("-",G499)),DATE(VALUE(LEFT(G499,4)),VALUE(MID(G499,6,2)),VALUE(RIGHT(G499,2))),IF(ISNUMBER(FIND(".",G499)),DATE(VALUE(RIGHT(G499,4)),VALUE(MID(G499,4,2)),VALUE(LEFT(G499,2))),DATE(VALUE(RIGHT(G499,4)),VLOOKUP(TRIM(MID(G499,FIND(" ",G499)+1,LEN(G499)-FIND(" ",G499)-5)),Справочники!$M$3:$N$14,2,0),VALUE(LEFT(G499,FIND(" ",G499)-1))))),"")</f>
        <v>49592</v>
      </c>
      <c r="M499" t="str">
        <f t="shared" si="236"/>
        <v xml:space="preserve">+7 (903) 234-56-78</v>
      </c>
      <c r="N499" t="str">
        <f t="shared" si="237"/>
        <v>gorohov@gmail</v>
      </c>
      <c r="O499" t="str">
        <f t="shared" si="238"/>
        <v xml:space="preserve">Ошибка Email</v>
      </c>
      <c r="P499" t="str">
        <f>IFERROR(VLOOKUP(TRIM(SUBSTITUTE(SUBSTITUTE(" "&amp;F499," г "," "),"г.","")),Справочники!$J$3:$K$102,2,0),TRIM(SUBSTITUTE(SUBSTITUTE(" "&amp;F499," г "," "),"г.","")))</f>
        <v>Армавир</v>
      </c>
    </row>
    <row r="500">
      <c r="A500" s="3" t="s">
        <v>3031</v>
      </c>
      <c r="B500" s="3" t="s">
        <v>6029</v>
      </c>
      <c r="C500" s="3" t="s">
        <v>6030</v>
      </c>
      <c r="D500" s="3" t="s">
        <v>4057</v>
      </c>
      <c r="E500" s="3" t="s">
        <v>6031</v>
      </c>
      <c r="F500" s="3" t="s">
        <v>4390</v>
      </c>
      <c r="G500" s="3" t="s">
        <v>6032</v>
      </c>
      <c r="H500" t="str">
        <f t="shared" si="233"/>
        <v xml:space="preserve">Маликова Екатерина Владимировна</v>
      </c>
      <c r="I500" s="5">
        <f>IFERROR(IF(ISNUMBER(FIND("-",C500)),DATE(VALUE(LEFT(C500,4)),VALUE(MID(C500,6,2)),VALUE(RIGHT(C500,2))),IF(ISNUMBER(FIND(".",C500)),DATE(VALUE(RIGHT(C500,4)),VALUE(MID(C500,4,2)),VALUE(LEFT(C500,2))),DATE(VALUE(RIGHT(C500,4)),VLOOKUP(TRIM(MID(C500,FIND(" ",C500)+1,LEN(C500)-FIND(" ",C500)-5)),Справочники!$M$3:$N$14,2,0),VALUE(LEFT(C500,FIND(" ",C500)-1))))),"")</f>
        <v>33849</v>
      </c>
      <c r="J500" s="6">
        <f t="shared" si="234"/>
        <v>34</v>
      </c>
      <c r="K500" t="str">
        <f t="shared" si="235"/>
        <v>ОК</v>
      </c>
      <c r="L500" s="5">
        <f>IFERROR(IF(ISNUMBER(FIND("-",G500)),DATE(VALUE(LEFT(G500,4)),VALUE(MID(G500,6,2)),VALUE(RIGHT(G500,2))),IF(ISNUMBER(FIND(".",G500)),DATE(VALUE(RIGHT(G500,4)),VALUE(MID(G500,4,2)),VALUE(LEFT(G500,2))),DATE(VALUE(RIGHT(G500,4)),VLOOKUP(TRIM(MID(G500,FIND(" ",G500)+1,LEN(G500)-FIND(" ",G500)-5)),Справочники!$M$3:$N$14,2,0),VALUE(LEFT(G500,FIND(" ",G500)-1))))),"")</f>
        <v>49614</v>
      </c>
      <c r="M500" t="str">
        <f t="shared" si="236"/>
        <v xml:space="preserve">+7 (903) 234-56-78</v>
      </c>
      <c r="N500" t="str">
        <f t="shared" si="237"/>
        <v>malikova@mail</v>
      </c>
      <c r="O500" t="str">
        <f t="shared" si="238"/>
        <v xml:space="preserve">Ошибка Email</v>
      </c>
      <c r="P500" t="str">
        <f>IFERROR(VLOOKUP(TRIM(SUBSTITUTE(SUBSTITUTE(" "&amp;F500," г "," "),"г.","")),Справочники!$J$3:$K$102,2,0),TRIM(SUBSTITUTE(SUBSTITUTE(" "&amp;F500," г "," "),"г.","")))</f>
        <v>Волжский</v>
      </c>
    </row>
    <row r="501">
      <c r="A501" s="3" t="s">
        <v>3032</v>
      </c>
      <c r="B501" s="3" t="s">
        <v>6033</v>
      </c>
      <c r="C501" s="3" t="s">
        <v>6034</v>
      </c>
      <c r="D501" s="3" t="s">
        <v>1712</v>
      </c>
      <c r="E501" s="3" t="s">
        <v>6035</v>
      </c>
      <c r="F501" s="3" t="s">
        <v>4395</v>
      </c>
      <c r="G501" s="3" t="s">
        <v>6036</v>
      </c>
      <c r="H501" t="str">
        <f t="shared" si="233"/>
        <v xml:space="preserve">Санников Андрей Павлович</v>
      </c>
      <c r="I501" s="5">
        <f>IFERROR(IF(ISNUMBER(FIND("-",C501)),DATE(VALUE(LEFT(C501,4)),VALUE(MID(C501,6,2)),VALUE(RIGHT(C501,2))),IF(ISNUMBER(FIND(".",C501)),DATE(VALUE(RIGHT(C501,4)),VALUE(MID(C501,4,2)),VALUE(LEFT(C501,2))),DATE(VALUE(RIGHT(C501,4)),VLOOKUP(TRIM(MID(C501,FIND(" ",C501)+1,LEN(C501)-FIND(" ",C501)-5)),Справочники!$M$3:$N$14,2,0),VALUE(LEFT(C501,FIND(" ",C501)-1))))),"")</f>
        <v>31040</v>
      </c>
      <c r="J501" s="6">
        <f t="shared" si="234"/>
        <v>41</v>
      </c>
      <c r="K501" t="str">
        <f t="shared" si="235"/>
        <v>ОК</v>
      </c>
      <c r="L501" s="5">
        <f>IFERROR(IF(ISNUMBER(FIND("-",G501)),DATE(VALUE(LEFT(G501,4)),VALUE(MID(G501,6,2)),VALUE(RIGHT(G501,2))),IF(ISNUMBER(FIND(".",G501)),DATE(VALUE(RIGHT(G501,4)),VALUE(MID(G501,4,2)),VALUE(LEFT(G501,2))),DATE(VALUE(RIGHT(G501,4)),VLOOKUP(TRIM(MID(G501,FIND(" ",G501)+1,LEN(G501)-FIND(" ",G501)-5)),Справочники!$M$3:$N$14,2,0),VALUE(LEFT(G501,FIND(" ",G501)-1))))),"")</f>
        <v>49628</v>
      </c>
      <c r="M501" t="str">
        <f t="shared" si="236"/>
        <v xml:space="preserve">+7 (903) 234-56-78</v>
      </c>
      <c r="N501" t="str">
        <f t="shared" si="237"/>
        <v>sannikov@yandex</v>
      </c>
      <c r="O501" t="str">
        <f t="shared" si="238"/>
        <v xml:space="preserve">Ошибка Email</v>
      </c>
      <c r="P501" t="str">
        <f>IFERROR(VLOOKUP(TRIM(SUBSTITUTE(SUBSTITUTE(" "&amp;F501," г "," "),"г.","")),Справочники!$J$3:$K$102,2,0),TRIM(SUBSTITUTE(SUBSTITUTE(" "&amp;F501," г "," "),"г.","")))</f>
        <v>Шахты</v>
      </c>
    </row>
    <row r="502">
      <c r="A502" s="3" t="s">
        <v>3035</v>
      </c>
      <c r="B502" s="3" t="s">
        <v>6037</v>
      </c>
      <c r="C502" s="3" t="s">
        <v>6038</v>
      </c>
      <c r="D502" s="3" t="s">
        <v>1584</v>
      </c>
      <c r="E502" s="3" t="s">
        <v>6039</v>
      </c>
      <c r="F502" s="3" t="s">
        <v>4400</v>
      </c>
      <c r="G502" s="3" t="s">
        <v>6040</v>
      </c>
      <c r="H502" t="str">
        <f t="shared" si="233"/>
        <v xml:space="preserve">Крутова Мария Сергеевна</v>
      </c>
      <c r="I502" s="5">
        <f>IFERROR(IF(ISNUMBER(FIND("-",C502)),DATE(VALUE(LEFT(C502,4)),VALUE(MID(C502,6,2)),VALUE(RIGHT(C502,2))),IF(ISNUMBER(FIND(".",C502)),DATE(VALUE(RIGHT(C502,4)),VALUE(MID(C502,4,2)),VALUE(LEFT(C502,2))),DATE(VALUE(RIGHT(C502,4)),VLOOKUP(TRIM(MID(C502,FIND(" ",C502)+1,LEN(C502)-FIND(" ",C502)-5)),Справочники!$M$3:$N$14,2,0),VALUE(LEFT(C502,FIND(" ",C502)-1))))),"")</f>
        <v>27586</v>
      </c>
      <c r="J502" s="6">
        <f t="shared" si="234"/>
        <v>51</v>
      </c>
      <c r="K502" t="str">
        <f t="shared" si="235"/>
        <v>ОК</v>
      </c>
      <c r="L502" s="5">
        <f>IFERROR(IF(ISNUMBER(FIND("-",G502)),DATE(VALUE(LEFT(G502,4)),VALUE(MID(G502,6,2)),VALUE(RIGHT(G502,2))),IF(ISNUMBER(FIND(".",G502)),DATE(VALUE(RIGHT(G502,4)),VALUE(MID(G502,4,2)),VALUE(LEFT(G502,2))),DATE(VALUE(RIGHT(G502,4)),VLOOKUP(TRIM(MID(G502,FIND(" ",G502)+1,LEN(G502)-FIND(" ",G502)-5)),Справочники!$M$3:$N$14,2,0),VALUE(LEFT(G502,FIND(" ",G502)-1))))),"")</f>
        <v>49628</v>
      </c>
      <c r="M502" t="str">
        <f t="shared" si="236"/>
        <v xml:space="preserve">+7 (903) 345-67-89</v>
      </c>
      <c r="N502" t="str">
        <f t="shared" si="237"/>
        <v>krutova@gmail</v>
      </c>
      <c r="O502" t="str">
        <f t="shared" si="238"/>
        <v xml:space="preserve">Ошибка Email</v>
      </c>
      <c r="P502" t="str">
        <f>IFERROR(VLOOKUP(TRIM(SUBSTITUTE(SUBSTITUTE(" "&amp;F502," г "," "),"г.","")),Справочники!$J$3:$K$102,2,0),TRIM(SUBSTITUTE(SUBSTITUTE(" "&amp;F502," г "," "),"г.","")))</f>
        <v>Златоуст</v>
      </c>
    </row>
    <row r="503">
      <c r="A503" s="3" t="s">
        <v>3036</v>
      </c>
      <c r="B503" s="3" t="s">
        <v>6041</v>
      </c>
      <c r="C503" s="3" t="s">
        <v>6011</v>
      </c>
      <c r="D503" s="3" t="s">
        <v>4073</v>
      </c>
      <c r="E503" s="3" t="s">
        <v>6042</v>
      </c>
      <c r="F503" s="3" t="s">
        <v>4405</v>
      </c>
      <c r="G503" s="3" t="s">
        <v>6043</v>
      </c>
      <c r="H503" t="str">
        <f t="shared" si="233"/>
        <v xml:space="preserve">Фадеев Денис Алексеевич</v>
      </c>
      <c r="I503" s="5">
        <f>IFERROR(IF(ISNUMBER(FIND("-",C503)),DATE(VALUE(LEFT(C503,4)),VALUE(MID(C503,6,2)),VALUE(RIGHT(C503,2))),IF(ISNUMBER(FIND(".",C503)),DATE(VALUE(RIGHT(C503,4)),VALUE(MID(C503,4,2)),VALUE(LEFT(C503,2))),DATE(VALUE(RIGHT(C503,4)),VLOOKUP(TRIM(MID(C503,FIND(" ",C503)+1,LEN(C503)-FIND(" ",C503)-5)),Справочники!$M$3:$N$14,2,0),VALUE(LEFT(C503,FIND(" ",C503)-1))))),"")</f>
        <v>30617</v>
      </c>
      <c r="J503" s="6">
        <f t="shared" si="234"/>
        <v>42</v>
      </c>
      <c r="K503" t="str">
        <f t="shared" si="235"/>
        <v>ОК</v>
      </c>
      <c r="L503" s="5">
        <f>IFERROR(IF(ISNUMBER(FIND("-",G503)),DATE(VALUE(LEFT(G503,4)),VALUE(MID(G503,6,2)),VALUE(RIGHT(G503,2))),IF(ISNUMBER(FIND(".",G503)),DATE(VALUE(RIGHT(G503,4)),VALUE(MID(G503,4,2)),VALUE(LEFT(G503,2))),DATE(VALUE(RIGHT(G503,4)),VLOOKUP(TRIM(MID(G503,FIND(" ",G503)+1,LEN(G503)-FIND(" ",G503)-5)),Справочники!$M$3:$N$14,2,0),VALUE(LEFT(G503,FIND(" ",G503)-1))))),"")</f>
        <v>49644</v>
      </c>
      <c r="M503" t="str">
        <f t="shared" si="236"/>
        <v xml:space="preserve">+7 (903) 345-67-89</v>
      </c>
      <c r="N503" t="str">
        <f t="shared" si="237"/>
        <v>fadeev@mail</v>
      </c>
      <c r="O503" t="str">
        <f t="shared" si="238"/>
        <v xml:space="preserve">Ошибка Email</v>
      </c>
      <c r="P503" t="str">
        <f>IFERROR(VLOOKUP(TRIM(SUBSTITUTE(SUBSTITUTE(" "&amp;F503," г "," "),"г.","")),Справочники!$J$3:$K$102,2,0),TRIM(SUBSTITUTE(SUBSTITUTE(" "&amp;F503," г "," "),"г.","")))</f>
        <v>Ангарск</v>
      </c>
    </row>
    <row r="504">
      <c r="A504" s="3" t="s">
        <v>3039</v>
      </c>
      <c r="B504" s="3" t="s">
        <v>6044</v>
      </c>
      <c r="C504" s="3" t="s">
        <v>6045</v>
      </c>
      <c r="D504" s="3" t="s">
        <v>4079</v>
      </c>
      <c r="E504" s="3" t="s">
        <v>6046</v>
      </c>
      <c r="F504" s="3" t="s">
        <v>4410</v>
      </c>
      <c r="G504" s="3" t="s">
        <v>6047</v>
      </c>
      <c r="H504" t="str">
        <f t="shared" si="233"/>
        <v xml:space="preserve">Русанова Ольга Павловна</v>
      </c>
      <c r="I504" s="5">
        <f>IFERROR(IF(ISNUMBER(FIND("-",C504)),DATE(VALUE(LEFT(C504,4)),VALUE(MID(C504,6,2)),VALUE(RIGHT(C504,2))),IF(ISNUMBER(FIND(".",C504)),DATE(VALUE(RIGHT(C504,4)),VALUE(MID(C504,4,2)),VALUE(LEFT(C504,2))),DATE(VALUE(RIGHT(C504,4)),VLOOKUP(TRIM(MID(C504,FIND(" ",C504)+1,LEN(C504)-FIND(" ",C504)-5)),Справочники!$M$3:$N$14,2,0),VALUE(LEFT(C504,FIND(" ",C504)-1))))),"")</f>
        <v>31933</v>
      </c>
      <c r="J504" s="6">
        <f t="shared" si="234"/>
        <v>39</v>
      </c>
      <c r="K504" t="str">
        <f t="shared" si="235"/>
        <v>ОК</v>
      </c>
      <c r="L504" s="5">
        <f>IFERROR(IF(ISNUMBER(FIND("-",G504)),DATE(VALUE(LEFT(G504,4)),VALUE(MID(G504,6,2)),VALUE(RIGHT(G504,2))),IF(ISNUMBER(FIND(".",G504)),DATE(VALUE(RIGHT(G504,4)),VALUE(MID(G504,4,2)),VALUE(LEFT(G504,2))),DATE(VALUE(RIGHT(G504,4)),VLOOKUP(TRIM(MID(G504,FIND(" ",G504)+1,LEN(G504)-FIND(" ",G504)-5)),Справочники!$M$3:$N$14,2,0),VALUE(LEFT(G504,FIND(" ",G504)-1))))),"")</f>
        <v>49653</v>
      </c>
      <c r="M504" t="str">
        <f t="shared" si="236"/>
        <v xml:space="preserve">+7 (903) 345-67-89</v>
      </c>
      <c r="N504" t="str">
        <f t="shared" si="237"/>
        <v>rusanova@yandex</v>
      </c>
      <c r="O504" t="str">
        <f t="shared" si="238"/>
        <v xml:space="preserve">Ошибка Email</v>
      </c>
      <c r="P504" t="str">
        <f>IFERROR(VLOOKUP(TRIM(SUBSTITUTE(SUBSTITUTE(" "&amp;F504," г "," "),"г.","")),Справочники!$J$3:$K$102,2,0),TRIM(SUBSTITUTE(SUBSTITUTE(" "&amp;F504," г "," "),"г.","")))</f>
        <v>Озёрск</v>
      </c>
    </row>
    <row r="505">
      <c r="A505" s="3" t="s">
        <v>3041</v>
      </c>
      <c r="B505" s="3" t="s">
        <v>6048</v>
      </c>
      <c r="C505" s="3" t="s">
        <v>6049</v>
      </c>
      <c r="D505" s="3" t="s">
        <v>4085</v>
      </c>
      <c r="E505" s="3" t="s">
        <v>6050</v>
      </c>
      <c r="F505" s="3" t="s">
        <v>4415</v>
      </c>
      <c r="G505" s="3" t="s">
        <v>6051</v>
      </c>
      <c r="H505" t="str">
        <f t="shared" si="233"/>
        <v xml:space="preserve">Букаев Илья Викторович</v>
      </c>
      <c r="I505" s="5">
        <f>IFERROR(IF(ISNUMBER(FIND("-",C505)),DATE(VALUE(LEFT(C505,4)),VALUE(MID(C505,6,2)),VALUE(RIGHT(C505,2))),IF(ISNUMBER(FIND(".",C505)),DATE(VALUE(RIGHT(C505,4)),VALUE(MID(C505,4,2)),VALUE(LEFT(C505,2))),DATE(VALUE(RIGHT(C505,4)),VLOOKUP(TRIM(MID(C505,FIND(" ",C505)+1,LEN(C505)-FIND(" ",C505)-5)),Справочники!$M$3:$N$14,2,0),VALUE(LEFT(C505,FIND(" ",C505)-1))))),"")</f>
        <v>25921</v>
      </c>
      <c r="J505" s="6">
        <f t="shared" si="234"/>
        <v>55</v>
      </c>
      <c r="K505" t="str">
        <f t="shared" si="235"/>
        <v>ОК</v>
      </c>
      <c r="L505" s="5">
        <f>IFERROR(IF(ISNUMBER(FIND("-",G505)),DATE(VALUE(LEFT(G505,4)),VALUE(MID(G505,6,2)),VALUE(RIGHT(G505,2))),IF(ISNUMBER(FIND(".",G505)),DATE(VALUE(RIGHT(G505,4)),VALUE(MID(G505,4,2)),VALUE(LEFT(G505,2))),DATE(VALUE(RIGHT(G505,4)),VLOOKUP(TRIM(MID(G505,FIND(" ",G505)+1,LEN(G505)-FIND(" ",G505)-5)),Справочники!$M$3:$N$14,2,0),VALUE(LEFT(G505,FIND(" ",G505)-1))))),"")</f>
        <v>49653</v>
      </c>
      <c r="M505" t="str">
        <f t="shared" si="236"/>
        <v xml:space="preserve">+7 (903) 456-78-90</v>
      </c>
      <c r="N505" t="str">
        <f t="shared" si="237"/>
        <v>bukaev@gmail</v>
      </c>
      <c r="O505" t="str">
        <f t="shared" si="238"/>
        <v xml:space="preserve">Ошибка Email</v>
      </c>
      <c r="P505" t="str">
        <f>IFERROR(VLOOKUP(TRIM(SUBSTITUTE(SUBSTITUTE(" "&amp;F505," г "," "),"г.","")),Справочники!$J$3:$K$102,2,0),TRIM(SUBSTITUTE(SUBSTITUTE(" "&amp;F505," г "," "),"г.","")))</f>
        <v>Орел</v>
      </c>
    </row>
    <row r="506">
      <c r="A506" s="3" t="s">
        <v>3043</v>
      </c>
      <c r="B506" s="3" t="s">
        <v>6052</v>
      </c>
      <c r="C506" s="3" t="s">
        <v>5566</v>
      </c>
      <c r="D506" s="3" t="s">
        <v>1591</v>
      </c>
      <c r="E506" s="3" t="s">
        <v>5162</v>
      </c>
      <c r="F506" s="3" t="s">
        <v>4205</v>
      </c>
      <c r="G506" s="3" t="s">
        <v>6053</v>
      </c>
      <c r="H506" t="str">
        <f t="shared" si="233"/>
        <v xml:space="preserve">Мухина Екатерина Игоревна</v>
      </c>
      <c r="I506" s="5">
        <f>IFERROR(IF(ISNUMBER(FIND("-",C506)),DATE(VALUE(LEFT(C506,4)),VALUE(MID(C506,6,2)),VALUE(RIGHT(C506,2))),IF(ISNUMBER(FIND(".",C506)),DATE(VALUE(RIGHT(C506,4)),VALUE(MID(C506,4,2)),VALUE(LEFT(C506,2))),DATE(VALUE(RIGHT(C506,4)),VLOOKUP(TRIM(MID(C506,FIND(" ",C506)+1,LEN(C506)-FIND(" ",C506)-5)),Справочники!$M$3:$N$14,2,0),VALUE(LEFT(C506,FIND(" ",C506)-1))))),"")</f>
        <v>31298</v>
      </c>
      <c r="J506" s="6">
        <f t="shared" si="234"/>
        <v>41</v>
      </c>
      <c r="K506" t="str">
        <f t="shared" si="235"/>
        <v>ОК</v>
      </c>
      <c r="L506" s="5">
        <f>IFERROR(IF(ISNUMBER(FIND("-",G506)),DATE(VALUE(LEFT(G506,4)),VALUE(MID(G506,6,2)),VALUE(RIGHT(G506,2))),IF(ISNUMBER(FIND(".",G506)),DATE(VALUE(RIGHT(G506,4)),VALUE(MID(G506,4,2)),VALUE(LEFT(G506,2))),DATE(VALUE(RIGHT(G506,4)),VLOOKUP(TRIM(MID(G506,FIND(" ",G506)+1,LEN(G506)-FIND(" ",G506)-5)),Справочники!$M$3:$N$14,2,0),VALUE(LEFT(G506,FIND(" ",G506)-1))))),"")</f>
        <v>49675</v>
      </c>
      <c r="M506" t="str">
        <f t="shared" si="236"/>
        <v xml:space="preserve">+7 (903) 456-78-90</v>
      </c>
      <c r="N506" t="str">
        <f t="shared" si="237"/>
        <v>muhina@mail</v>
      </c>
      <c r="O506" t="str">
        <f t="shared" si="238"/>
        <v xml:space="preserve">Ошибка Email</v>
      </c>
      <c r="P506" t="str">
        <f>IFERROR(VLOOKUP(TRIM(SUBSTITUTE(SUBSTITUTE(" "&amp;F506," г "," "),"г.","")),Справочники!$J$3:$K$102,2,0),TRIM(SUBSTITUTE(SUBSTITUTE(" "&amp;F506," г "," "),"г.","")))</f>
        <v>Якутск</v>
      </c>
    </row>
    <row r="507">
      <c r="A507" s="3" t="s">
        <v>3044</v>
      </c>
      <c r="B507" s="3" t="s">
        <v>6054</v>
      </c>
      <c r="C507" s="3" t="s">
        <v>6055</v>
      </c>
      <c r="D507" s="3" t="s">
        <v>1660</v>
      </c>
      <c r="E507" s="3" t="s">
        <v>6056</v>
      </c>
      <c r="F507" s="3" t="s">
        <v>4152</v>
      </c>
      <c r="G507" s="3" t="s">
        <v>6057</v>
      </c>
      <c r="H507" t="str">
        <f t="shared" si="233"/>
        <v xml:space="preserve">Зиновьев Андрей Олегович</v>
      </c>
      <c r="I507" s="5">
        <f>IFERROR(IF(ISNUMBER(FIND("-",C507)),DATE(VALUE(LEFT(C507,4)),VALUE(MID(C507,6,2)),VALUE(RIGHT(C507,2))),IF(ISNUMBER(FIND(".",C507)),DATE(VALUE(RIGHT(C507,4)),VALUE(MID(C507,4,2)),VALUE(LEFT(C507,2))),DATE(VALUE(RIGHT(C507,4)),VLOOKUP(TRIM(MID(C507,FIND(" ",C507)+1,LEN(C507)-FIND(" ",C507)-5)),Справочники!$M$3:$N$14,2,0),VALUE(LEFT(C507,FIND(" ",C507)-1))))),"")</f>
        <v>33350</v>
      </c>
      <c r="J507" s="6">
        <f t="shared" si="234"/>
        <v>35</v>
      </c>
      <c r="K507" t="str">
        <f t="shared" si="235"/>
        <v>ОК</v>
      </c>
      <c r="L507" s="5">
        <f>IFERROR(IF(ISNUMBER(FIND("-",G507)),DATE(VALUE(LEFT(G507,4)),VALUE(MID(G507,6,2)),VALUE(RIGHT(G507,2))),IF(ISNUMBER(FIND(".",G507)),DATE(VALUE(RIGHT(G507,4)),VALUE(MID(G507,4,2)),VALUE(LEFT(G507,2))),DATE(VALUE(RIGHT(G507,4)),VLOOKUP(TRIM(MID(G507,FIND(" ",G507)+1,LEN(G507)-FIND(" ",G507)-5)),Справочники!$M$3:$N$14,2,0),VALUE(LEFT(G507,FIND(" ",G507)-1))))),"")</f>
        <v>49689</v>
      </c>
      <c r="M507" t="str">
        <f t="shared" si="236"/>
        <v xml:space="preserve">+7 (903) 456-78-90</v>
      </c>
      <c r="N507" t="str">
        <f t="shared" si="237"/>
        <v>zinoviev@yandex</v>
      </c>
      <c r="O507" t="str">
        <f t="shared" si="238"/>
        <v xml:space="preserve">Ошибка Email</v>
      </c>
      <c r="P507" t="str">
        <f>IFERROR(VLOOKUP(TRIM(SUBSTITUTE(SUBSTITUTE(" "&amp;F507," г "," "),"г.","")),Справочники!$J$3:$K$102,2,0),TRIM(SUBSTITUTE(SUBSTITUTE(" "&amp;F507," г "," "),"г.","")))</f>
        <v>Чебоксары</v>
      </c>
    </row>
    <row r="508">
      <c r="A508" s="3" t="s">
        <v>3046</v>
      </c>
      <c r="B508" s="3" t="s">
        <v>6058</v>
      </c>
      <c r="C508" s="3" t="s">
        <v>6059</v>
      </c>
      <c r="D508" s="3" t="s">
        <v>3984</v>
      </c>
      <c r="E508" s="3" t="s">
        <v>4732</v>
      </c>
      <c r="F508" s="3" t="s">
        <v>4245</v>
      </c>
      <c r="G508" s="3" t="s">
        <v>6060</v>
      </c>
      <c r="H508" t="str">
        <f t="shared" si="233"/>
        <v xml:space="preserve">Рябова Мария Сергеевна</v>
      </c>
      <c r="I508" s="5">
        <f>IFERROR(IF(ISNUMBER(FIND("-",C508)),DATE(VALUE(LEFT(C508,4)),VALUE(MID(C508,6,2)),VALUE(RIGHT(C508,2))),IF(ISNUMBER(FIND(".",C508)),DATE(VALUE(RIGHT(C508,4)),VALUE(MID(C508,4,2)),VALUE(LEFT(C508,2))),DATE(VALUE(RIGHT(C508,4)),VLOOKUP(TRIM(MID(C508,FIND(" ",C508)+1,LEN(C508)-FIND(" ",C508)-5)),Справочники!$M$3:$N$14,2,0),VALUE(LEFT(C508,FIND(" ",C508)-1))))),"")</f>
        <v>28505</v>
      </c>
      <c r="J508" s="6">
        <f t="shared" si="234"/>
        <v>48</v>
      </c>
      <c r="K508" t="str">
        <f t="shared" si="235"/>
        <v>ОК</v>
      </c>
      <c r="L508" s="5">
        <f>IFERROR(IF(ISNUMBER(FIND("-",G508)),DATE(VALUE(LEFT(G508,4)),VALUE(MID(G508,6,2)),VALUE(RIGHT(G508,2))),IF(ISNUMBER(FIND(".",G508)),DATE(VALUE(RIGHT(G508,4)),VALUE(MID(G508,4,2)),VALUE(LEFT(G508,2))),DATE(VALUE(RIGHT(G508,4)),VLOOKUP(TRIM(MID(G508,FIND(" ",G508)+1,LEN(G508)-FIND(" ",G508)-5)),Справочники!$M$3:$N$14,2,0),VALUE(LEFT(G508,FIND(" ",G508)-1))))),"")</f>
        <v>49689</v>
      </c>
      <c r="M508" t="str">
        <f t="shared" si="236"/>
        <v xml:space="preserve">+7 (903) 567-89-01</v>
      </c>
      <c r="N508" t="str">
        <f t="shared" si="237"/>
        <v>ryabova@gmail</v>
      </c>
      <c r="O508" t="str">
        <f t="shared" si="238"/>
        <v xml:space="preserve">Ошибка Email</v>
      </c>
      <c r="P508" t="str">
        <f>IFERROR(VLOOKUP(TRIM(SUBSTITUTE(SUBSTITUTE(" "&amp;F508," г "," "),"г.","")),Справочники!$J$3:$K$102,2,0),TRIM(SUBSTITUTE(SUBSTITUTE(" "&amp;F508," г "," "),"г.","")))</f>
        <v>Мурманск</v>
      </c>
    </row>
    <row r="509">
      <c r="A509" s="3" t="s">
        <v>3047</v>
      </c>
      <c r="B509" s="3" t="s">
        <v>6061</v>
      </c>
      <c r="C509" s="3" t="s">
        <v>6062</v>
      </c>
      <c r="D509" s="3" t="s">
        <v>3990</v>
      </c>
      <c r="E509" s="3" t="s">
        <v>6063</v>
      </c>
      <c r="F509" s="3" t="s">
        <v>4235</v>
      </c>
      <c r="G509" s="3" t="s">
        <v>6064</v>
      </c>
      <c r="H509" t="str">
        <f t="shared" si="233"/>
        <v xml:space="preserve">Солнцев Денис Павлович</v>
      </c>
      <c r="I509" s="5">
        <f>IFERROR(IF(ISNUMBER(FIND("-",C509)),DATE(VALUE(LEFT(C509,4)),VALUE(MID(C509,6,2)),VALUE(RIGHT(C509,2))),IF(ISNUMBER(FIND(".",C509)),DATE(VALUE(RIGHT(C509,4)),VALUE(MID(C509,4,2)),VALUE(LEFT(C509,2))),DATE(VALUE(RIGHT(C509,4)),VLOOKUP(TRIM(MID(C509,FIND(" ",C509)+1,LEN(C509)-FIND(" ",C509)-5)),Справочники!$M$3:$N$14,2,0),VALUE(LEFT(C509,FIND(" ",C509)-1))))),"")</f>
        <v>30180</v>
      </c>
      <c r="J509" s="6">
        <f t="shared" si="234"/>
        <v>44</v>
      </c>
      <c r="K509" t="str">
        <f t="shared" si="235"/>
        <v>ОК</v>
      </c>
      <c r="L509" s="5">
        <f>IFERROR(IF(ISNUMBER(FIND("-",G509)),DATE(VALUE(LEFT(G509,4)),VALUE(MID(G509,6,2)),VALUE(RIGHT(G509,2))),IF(ISNUMBER(FIND(".",G509)),DATE(VALUE(RIGHT(G509,4)),VALUE(MID(G509,4,2)),VALUE(LEFT(G509,2))),DATE(VALUE(RIGHT(G509,4)),VLOOKUP(TRIM(MID(G509,FIND(" ",G509)+1,LEN(G509)-FIND(" ",G509)-5)),Справочники!$M$3:$N$14,2,0),VALUE(LEFT(G509,FIND(" ",G509)-1))))),"")</f>
        <v>49706</v>
      </c>
      <c r="M509" t="str">
        <f t="shared" si="236"/>
        <v xml:space="preserve">+7 (903) 567-89-01</v>
      </c>
      <c r="N509" t="str">
        <f t="shared" si="237"/>
        <v>solntsev@mail</v>
      </c>
      <c r="O509" t="str">
        <f t="shared" si="238"/>
        <v xml:space="preserve">Ошибка Email</v>
      </c>
      <c r="P509" t="str">
        <f>IFERROR(VLOOKUP(TRIM(SUBSTITUTE(SUBSTITUTE(" "&amp;F509," г "," "),"г.","")),Справочники!$J$3:$K$102,2,0),TRIM(SUBSTITUTE(SUBSTITUTE(" "&amp;F509," г "," "),"г.","")))</f>
        <v>Смоленск</v>
      </c>
    </row>
    <row r="510">
      <c r="A510" s="3" t="s">
        <v>3050</v>
      </c>
      <c r="B510" s="3" t="s">
        <v>6065</v>
      </c>
      <c r="C510" s="3" t="s">
        <v>6066</v>
      </c>
      <c r="D510" s="3" t="s">
        <v>1598</v>
      </c>
      <c r="E510" s="3" t="s">
        <v>6067</v>
      </c>
      <c r="F510" s="3" t="s">
        <v>4220</v>
      </c>
      <c r="G510" s="3" t="s">
        <v>6068</v>
      </c>
      <c r="H510" t="str">
        <f t="shared" si="233"/>
        <v xml:space="preserve">Ткачева Ольга Владимировна</v>
      </c>
      <c r="I510" s="5">
        <f>IFERROR(IF(ISNUMBER(FIND("-",C510)),DATE(VALUE(LEFT(C510,4)),VALUE(MID(C510,6,2)),VALUE(RIGHT(C510,2))),IF(ISNUMBER(FIND(".",C510)),DATE(VALUE(RIGHT(C510,4)),VALUE(MID(C510,4,2)),VALUE(LEFT(C510,2))),DATE(VALUE(RIGHT(C510,4)),VLOOKUP(TRIM(MID(C510,FIND(" ",C510)+1,LEN(C510)-FIND(" ",C510)-5)),Справочники!$M$3:$N$14,2,0),VALUE(LEFT(C510,FIND(" ",C510)-1))))),"")</f>
        <v>31746</v>
      </c>
      <c r="J510" s="6">
        <f t="shared" si="234"/>
        <v>39</v>
      </c>
      <c r="K510" t="str">
        <f t="shared" si="235"/>
        <v>ОК</v>
      </c>
      <c r="L510" s="5">
        <f>IFERROR(IF(ISNUMBER(FIND("-",G510)),DATE(VALUE(LEFT(G510,4)),VALUE(MID(G510,6,2)),VALUE(RIGHT(G510,2))),IF(ISNUMBER(FIND(".",G510)),DATE(VALUE(RIGHT(G510,4)),VALUE(MID(G510,4,2)),VALUE(LEFT(G510,2))),DATE(VALUE(RIGHT(G510,4)),VLOOKUP(TRIM(MID(G510,FIND(" ",G510)+1,LEN(G510)-FIND(" ",G510)-5)),Справочники!$M$3:$N$14,2,0),VALUE(LEFT(G510,FIND(" ",G510)-1))))),"")</f>
        <v>49715</v>
      </c>
      <c r="M510" t="str">
        <f t="shared" si="236"/>
        <v xml:space="preserve">+7 (903) 567-89-01</v>
      </c>
      <c r="N510" t="str">
        <f t="shared" si="237"/>
        <v>tkacheva@yandex</v>
      </c>
      <c r="O510" t="str">
        <f t="shared" si="238"/>
        <v xml:space="preserve">Ошибка Email</v>
      </c>
      <c r="P510" t="str">
        <f>IFERROR(VLOOKUP(TRIM(SUBSTITUTE(SUBSTITUTE(" "&amp;F510," г "," "),"г.","")),Справочники!$J$3:$K$102,2,0),TRIM(SUBSTITUTE(SUBSTITUTE(" "&amp;F510," г "," "),"г.","")))</f>
        <v>Тула</v>
      </c>
    </row>
    <row r="511">
      <c r="A511" s="3" t="s">
        <v>3051</v>
      </c>
      <c r="B511" s="3" t="s">
        <v>6069</v>
      </c>
      <c r="C511" s="3" t="s">
        <v>6070</v>
      </c>
      <c r="D511" s="3" t="s">
        <v>4116</v>
      </c>
      <c r="E511" s="3" t="s">
        <v>6071</v>
      </c>
      <c r="F511" s="3" t="s">
        <v>4225</v>
      </c>
      <c r="G511" s="3" t="s">
        <v>6072</v>
      </c>
      <c r="H511" t="str">
        <f t="shared" si="233"/>
        <v xml:space="preserve">Цветков Илья Александрович</v>
      </c>
      <c r="I511" s="5">
        <f>IFERROR(IF(ISNUMBER(FIND("-",C511)),DATE(VALUE(LEFT(C511,4)),VALUE(MID(C511,6,2)),VALUE(RIGHT(C511,2))),IF(ISNUMBER(FIND(".",C511)),DATE(VALUE(RIGHT(C511,4)),VALUE(MID(C511,4,2)),VALUE(LEFT(C511,2))),DATE(VALUE(RIGHT(C511,4)),VLOOKUP(TRIM(MID(C511,FIND(" ",C511)+1,LEN(C511)-FIND(" ",C511)-5)),Справочники!$M$3:$N$14,2,0),VALUE(LEFT(C511,FIND(" ",C511)-1))))),"")</f>
        <v>27193</v>
      </c>
      <c r="J511" s="6">
        <f t="shared" si="234"/>
        <v>52</v>
      </c>
      <c r="K511" t="str">
        <f t="shared" si="235"/>
        <v>ОК</v>
      </c>
      <c r="L511" s="5">
        <f>IFERROR(IF(ISNUMBER(FIND("-",G511)),DATE(VALUE(LEFT(G511,4)),VALUE(MID(G511,6,2)),VALUE(RIGHT(G511,2))),IF(ISNUMBER(FIND(".",G511)),DATE(VALUE(RIGHT(G511,4)),VALUE(MID(G511,4,2)),VALUE(LEFT(G511,2))),DATE(VALUE(RIGHT(G511,4)),VLOOKUP(TRIM(MID(G511,FIND(" ",G511)+1,LEN(G511)-FIND(" ",G511)-5)),Справочники!$M$3:$N$14,2,0),VALUE(LEFT(G511,FIND(" ",G511)-1))))),"")</f>
        <v>49715</v>
      </c>
      <c r="M511" t="str">
        <f t="shared" si="236"/>
        <v xml:space="preserve">+7 (903) 678-90-12</v>
      </c>
      <c r="N511" t="str">
        <f t="shared" si="237"/>
        <v>tsvetkov@gmail</v>
      </c>
      <c r="O511" t="str">
        <f t="shared" si="238"/>
        <v xml:space="preserve">Ошибка Email</v>
      </c>
      <c r="P511" t="str">
        <f>IFERROR(VLOOKUP(TRIM(SUBSTITUTE(SUBSTITUTE(" "&amp;F511," г "," "),"г.","")),Справочники!$J$3:$K$102,2,0),TRIM(SUBSTITUTE(SUBSTITUTE(" "&amp;F511," г "," "),"г.","")))</f>
        <v>Калуга</v>
      </c>
    </row>
    <row r="512">
      <c r="A512" s="3" t="s">
        <v>3054</v>
      </c>
      <c r="B512" s="3" t="s">
        <v>6073</v>
      </c>
      <c r="C512" s="3" t="s">
        <v>6074</v>
      </c>
      <c r="D512" s="3" t="s">
        <v>4122</v>
      </c>
      <c r="E512" s="3" t="s">
        <v>6075</v>
      </c>
      <c r="F512" s="3" t="s">
        <v>4230</v>
      </c>
      <c r="G512" s="3" t="s">
        <v>6076</v>
      </c>
      <c r="H512" t="str">
        <f t="shared" si="233"/>
        <v xml:space="preserve">Балашова Елена Сергеевна</v>
      </c>
      <c r="I512" s="5">
        <f>IFERROR(IF(ISNUMBER(FIND("-",C512)),DATE(VALUE(LEFT(C512,4)),VALUE(MID(C512,6,2)),VALUE(RIGHT(C512,2))),IF(ISNUMBER(FIND(".",C512)),DATE(VALUE(RIGHT(C512,4)),VALUE(MID(C512,4,2)),VALUE(LEFT(C512,2))),DATE(VALUE(RIGHT(C512,4)),VLOOKUP(TRIM(MID(C512,FIND(" ",C512)+1,LEN(C512)-FIND(" ",C512)-5)),Справочники!$M$3:$N$14,2,0),VALUE(LEFT(C512,FIND(" ",C512)-1))))),"")</f>
        <v>30378</v>
      </c>
      <c r="J512" s="6">
        <f t="shared" si="234"/>
        <v>43</v>
      </c>
      <c r="K512" t="str">
        <f t="shared" si="235"/>
        <v>ОК</v>
      </c>
      <c r="L512" s="5">
        <f>IFERROR(IF(ISNUMBER(FIND("-",G512)),DATE(VALUE(LEFT(G512,4)),VALUE(MID(G512,6,2)),VALUE(RIGHT(G512,2))),IF(ISNUMBER(FIND(".",G512)),DATE(VALUE(RIGHT(G512,4)),VALUE(MID(G512,4,2)),VALUE(LEFT(G512,2))),DATE(VALUE(RIGHT(G512,4)),VLOOKUP(TRIM(MID(G512,FIND(" ",G512)+1,LEN(G512)-FIND(" ",G512)-5)),Справочники!$M$3:$N$14,2,0),VALUE(LEFT(G512,FIND(" ",G512)-1))))),"")</f>
        <v>49735</v>
      </c>
      <c r="M512" t="str">
        <f t="shared" si="236"/>
        <v xml:space="preserve">+7 (903) 678-90-12</v>
      </c>
      <c r="N512" t="str">
        <f t="shared" si="237"/>
        <v>balashova@mail</v>
      </c>
      <c r="O512" t="str">
        <f t="shared" si="238"/>
        <v xml:space="preserve">Ошибка Email</v>
      </c>
      <c r="P512" t="str">
        <f>IFERROR(VLOOKUP(TRIM(SUBSTITUTE(SUBSTITUTE(" "&amp;F512," г "," "),"г.","")),Справочники!$J$3:$K$102,2,0),TRIM(SUBSTITUTE(SUBSTITUTE(" "&amp;F512," г "," "),"г.","")))</f>
        <v>Владикавказ</v>
      </c>
    </row>
    <row r="513">
      <c r="A513" s="3" t="s">
        <v>3055</v>
      </c>
      <c r="B513" s="3" t="s">
        <v>6077</v>
      </c>
      <c r="C513" s="3" t="s">
        <v>6078</v>
      </c>
      <c r="D513" s="3" t="s">
        <v>1605</v>
      </c>
      <c r="E513" s="3" t="s">
        <v>6079</v>
      </c>
      <c r="F513" s="3" t="s">
        <v>4235</v>
      </c>
      <c r="G513" s="3" t="s">
        <v>6080</v>
      </c>
      <c r="H513" t="str">
        <f t="shared" si="233"/>
        <v xml:space="preserve">Осипов Андрей Викторович</v>
      </c>
      <c r="I513" s="5">
        <f>IFERROR(IF(ISNUMBER(FIND("-",C513)),DATE(VALUE(LEFT(C513,4)),VALUE(MID(C513,6,2)),VALUE(RIGHT(C513,2))),IF(ISNUMBER(FIND(".",C513)),DATE(VALUE(RIGHT(C513,4)),VALUE(MID(C513,4,2)),VALUE(LEFT(C513,2))),DATE(VALUE(RIGHT(C513,4)),VLOOKUP(TRIM(MID(C513,FIND(" ",C513)+1,LEN(C513)-FIND(" ",C513)-5)),Справочники!$M$3:$N$14,2,0),VALUE(LEFT(C513,FIND(" ",C513)-1))))),"")</f>
        <v>33902</v>
      </c>
      <c r="J513" s="6">
        <f t="shared" si="234"/>
        <v>33</v>
      </c>
      <c r="K513" t="str">
        <f t="shared" si="235"/>
        <v>ОК</v>
      </c>
      <c r="L513" s="5">
        <f>IFERROR(IF(ISNUMBER(FIND("-",G513)),DATE(VALUE(LEFT(G513,4)),VALUE(MID(G513,6,2)),VALUE(RIGHT(G513,2))),IF(ISNUMBER(FIND(".",G513)),DATE(VALUE(RIGHT(G513,4)),VALUE(MID(G513,4,2)),VALUE(LEFT(G513,2))),DATE(VALUE(RIGHT(G513,4)),VLOOKUP(TRIM(MID(G513,FIND(" ",G513)+1,LEN(G513)-FIND(" ",G513)-5)),Справочники!$M$3:$N$14,2,0),VALUE(LEFT(G513,FIND(" ",G513)-1))))),"")</f>
        <v>49749</v>
      </c>
      <c r="M513" t="str">
        <f t="shared" si="236"/>
        <v xml:space="preserve">+7 (903) 678-90-12</v>
      </c>
      <c r="N513" t="str">
        <f t="shared" si="237"/>
        <v>osipov@yandex</v>
      </c>
      <c r="O513" t="str">
        <f t="shared" si="238"/>
        <v xml:space="preserve">Ошибка Email</v>
      </c>
      <c r="P513" t="str">
        <f>IFERROR(VLOOKUP(TRIM(SUBSTITUTE(SUBSTITUTE(" "&amp;F513," г "," "),"г.","")),Справочники!$J$3:$K$102,2,0),TRIM(SUBSTITUTE(SUBSTITUTE(" "&amp;F513," г "," "),"г.","")))</f>
        <v>Смоленск</v>
      </c>
    </row>
    <row r="514">
      <c r="A514" s="3" t="s">
        <v>3057</v>
      </c>
      <c r="B514" s="3" t="s">
        <v>6081</v>
      </c>
      <c r="C514" s="3" t="s">
        <v>6082</v>
      </c>
      <c r="D514" s="3" t="s">
        <v>4001</v>
      </c>
      <c r="E514" s="3" t="s">
        <v>6083</v>
      </c>
      <c r="F514" s="3" t="s">
        <v>4240</v>
      </c>
      <c r="G514" s="3" t="s">
        <v>6084</v>
      </c>
      <c r="H514" t="str">
        <f t="shared" si="233"/>
        <v xml:space="preserve">Краснова Мария Павловна</v>
      </c>
      <c r="I514" s="5">
        <f>IFERROR(IF(ISNUMBER(FIND("-",C514)),DATE(VALUE(LEFT(C514,4)),VALUE(MID(C514,6,2)),VALUE(RIGHT(C514,2))),IF(ISNUMBER(FIND(".",C514)),DATE(VALUE(RIGHT(C514,4)),VALUE(MID(C514,4,2)),VALUE(LEFT(C514,2))),DATE(VALUE(RIGHT(C514,4)),VLOOKUP(TRIM(MID(C514,FIND(" ",C514)+1,LEN(C514)-FIND(" ",C514)-5)),Справочники!$M$3:$N$14,2,0),VALUE(LEFT(C514,FIND(" ",C514)-1))))),"")</f>
        <v>27955</v>
      </c>
      <c r="J514" s="6">
        <f t="shared" si="234"/>
        <v>50</v>
      </c>
      <c r="K514" t="str">
        <f t="shared" si="235"/>
        <v>ОК</v>
      </c>
      <c r="L514" s="5">
        <f>IFERROR(IF(ISNUMBER(FIND("-",G514)),DATE(VALUE(LEFT(G514,4)),VALUE(MID(G514,6,2)),VALUE(RIGHT(G514,2))),IF(ISNUMBER(FIND(".",G514)),DATE(VALUE(RIGHT(G514,4)),VALUE(MID(G514,4,2)),VALUE(LEFT(G514,2))),DATE(VALUE(RIGHT(G514,4)),VLOOKUP(TRIM(MID(G514,FIND(" ",G514)+1,LEN(G514)-FIND(" ",G514)-5)),Справочники!$M$3:$N$14,2,0),VALUE(LEFT(G514,FIND(" ",G514)-1))))),"")</f>
        <v>49749</v>
      </c>
      <c r="M514" t="str">
        <f t="shared" si="236"/>
        <v xml:space="preserve">+7 (903) 789-01-23</v>
      </c>
      <c r="N514" t="str">
        <f t="shared" si="237"/>
        <v>krasnova@gmail</v>
      </c>
      <c r="O514" t="str">
        <f t="shared" si="238"/>
        <v xml:space="preserve">Ошибка Email</v>
      </c>
      <c r="P514" t="str">
        <f>IFERROR(VLOOKUP(TRIM(SUBSTITUTE(SUBSTITUTE(" "&amp;F514," г "," "),"г.","")),Справочники!$J$3:$K$102,2,0),TRIM(SUBSTITUTE(SUBSTITUTE(" "&amp;F514," г "," "),"г.","")))</f>
        <v>Белгород</v>
      </c>
    </row>
    <row r="515">
      <c r="A515" s="3" t="s">
        <v>3059</v>
      </c>
      <c r="B515" s="3" t="s">
        <v>6085</v>
      </c>
      <c r="C515" s="3" t="s">
        <v>4095</v>
      </c>
      <c r="D515" s="3" t="s">
        <v>4138</v>
      </c>
      <c r="E515" s="3" t="s">
        <v>6086</v>
      </c>
      <c r="F515" s="3" t="s">
        <v>4245</v>
      </c>
      <c r="G515" s="3" t="s">
        <v>6087</v>
      </c>
      <c r="H515" t="str">
        <f t="shared" si="233"/>
        <v xml:space="preserve">Мальков Денис Олегович</v>
      </c>
      <c r="I515" s="5">
        <f>IFERROR(IF(ISNUMBER(FIND("-",C515)),DATE(VALUE(LEFT(C515,4)),VALUE(MID(C515,6,2)),VALUE(RIGHT(C515,2))),IF(ISNUMBER(FIND(".",C515)),DATE(VALUE(RIGHT(C515,4)),VALUE(MID(C515,4,2)),VALUE(LEFT(C515,2))),DATE(VALUE(RIGHT(C515,4)),VLOOKUP(TRIM(MID(C515,FIND(" ",C515)+1,LEN(C515)-FIND(" ",C515)-5)),Справочники!$M$3:$N$14,2,0),VALUE(LEFT(C515,FIND(" ",C515)-1))))),"")</f>
        <v>29929</v>
      </c>
      <c r="J515" s="6">
        <f t="shared" si="234"/>
        <v>44</v>
      </c>
      <c r="K515" t="str">
        <f t="shared" si="235"/>
        <v>ОК</v>
      </c>
      <c r="L515" s="5">
        <f>IFERROR(IF(ISNUMBER(FIND("-",G515)),DATE(VALUE(LEFT(G515,4)),VALUE(MID(G515,6,2)),VALUE(RIGHT(G515,2))),IF(ISNUMBER(FIND(".",G515)),DATE(VALUE(RIGHT(G515,4)),VALUE(MID(G515,4,2)),VALUE(LEFT(G515,2))),DATE(VALUE(RIGHT(G515,4)),VLOOKUP(TRIM(MID(G515,FIND(" ",G515)+1,LEN(G515)-FIND(" ",G515)-5)),Справочники!$M$3:$N$14,2,0),VALUE(LEFT(G515,FIND(" ",G515)-1))))),"")</f>
        <v>49766</v>
      </c>
      <c r="M515" t="str">
        <f t="shared" si="236"/>
        <v xml:space="preserve">+7 (903) 789-01-23</v>
      </c>
      <c r="N515" t="str">
        <f t="shared" si="237"/>
        <v>malkov@mail</v>
      </c>
      <c r="O515" t="str">
        <f t="shared" si="238"/>
        <v xml:space="preserve">Ошибка Email</v>
      </c>
      <c r="P515" t="str">
        <f>IFERROR(VLOOKUP(TRIM(SUBSTITUTE(SUBSTITUTE(" "&amp;F515," г "," "),"г.","")),Справочники!$J$3:$K$102,2,0),TRIM(SUBSTITUTE(SUBSTITUTE(" "&amp;F515," г "," "),"г.","")))</f>
        <v>Мурманск</v>
      </c>
    </row>
    <row r="516">
      <c r="A516" s="3" t="s">
        <v>3061</v>
      </c>
      <c r="B516" s="3" t="s">
        <v>6088</v>
      </c>
      <c r="C516" s="3" t="s">
        <v>6089</v>
      </c>
      <c r="D516" s="3" t="s">
        <v>4144</v>
      </c>
      <c r="E516" s="3" t="s">
        <v>6090</v>
      </c>
      <c r="F516" s="3" t="s">
        <v>4250</v>
      </c>
      <c r="G516" s="3" t="s">
        <v>6091</v>
      </c>
      <c r="H516" t="str">
        <f t="shared" si="233"/>
        <v xml:space="preserve">Дьячкова Ольга Сергеевна</v>
      </c>
      <c r="I516" s="5">
        <f>IFERROR(IF(ISNUMBER(FIND("-",C516)),DATE(VALUE(LEFT(C516,4)),VALUE(MID(C516,6,2)),VALUE(RIGHT(C516,2))),IF(ISNUMBER(FIND(".",C516)),DATE(VALUE(RIGHT(C516,4)),VALUE(MID(C516,4,2)),VALUE(LEFT(C516,2))),DATE(VALUE(RIGHT(C516,4)),VLOOKUP(TRIM(MID(C516,FIND(" ",C516)+1,LEN(C516)-FIND(" ",C516)-5)),Справочники!$M$3:$N$14,2,0),VALUE(LEFT(C516,FIND(" ",C516)-1))))),"")</f>
        <v>32359</v>
      </c>
      <c r="J516" s="6">
        <f t="shared" si="234"/>
        <v>38</v>
      </c>
      <c r="K516" t="str">
        <f t="shared" si="235"/>
        <v>ОК</v>
      </c>
      <c r="L516" s="5">
        <f>IFERROR(IF(ISNUMBER(FIND("-",G516)),DATE(VALUE(LEFT(G516,4)),VALUE(MID(G516,6,2)),VALUE(RIGHT(G516,2))),IF(ISNUMBER(FIND(".",G516)),DATE(VALUE(RIGHT(G516,4)),VALUE(MID(G516,4,2)),VALUE(LEFT(G516,2))),DATE(VALUE(RIGHT(G516,4)),VLOOKUP(TRIM(MID(G516,FIND(" ",G516)+1,LEN(G516)-FIND(" ",G516)-5)),Справочники!$M$3:$N$14,2,0),VALUE(LEFT(G516,FIND(" ",G516)-1))))),"")</f>
        <v>49775</v>
      </c>
      <c r="M516" t="str">
        <f t="shared" si="236"/>
        <v xml:space="preserve">+7 (903) 789-01-23</v>
      </c>
      <c r="N516" t="str">
        <f t="shared" si="237"/>
        <v>dyachkova@yandex</v>
      </c>
      <c r="O516" t="str">
        <f t="shared" si="238"/>
        <v xml:space="preserve">Ошибка Email</v>
      </c>
      <c r="P516" t="str">
        <f>IFERROR(VLOOKUP(TRIM(SUBSTITUTE(SUBSTITUTE(" "&amp;F516," г "," "),"г.","")),Справочники!$J$3:$K$102,2,0),TRIM(SUBSTITUTE(SUBSTITUTE(" "&amp;F516," г "," "),"г.","")))</f>
        <v>Ставрополь</v>
      </c>
    </row>
    <row r="517">
      <c r="A517" s="3" t="s">
        <v>3063</v>
      </c>
      <c r="B517" s="3" t="s">
        <v>6092</v>
      </c>
      <c r="C517" s="3" t="s">
        <v>6093</v>
      </c>
      <c r="D517" s="3" t="s">
        <v>4150</v>
      </c>
      <c r="E517" s="3" t="s">
        <v>6094</v>
      </c>
      <c r="F517" s="3" t="s">
        <v>4255</v>
      </c>
      <c r="G517" s="3" t="s">
        <v>6095</v>
      </c>
      <c r="H517" t="str">
        <f t="shared" si="233"/>
        <v xml:space="preserve">Кулешов Илья Игоревич</v>
      </c>
      <c r="I517" s="5">
        <f>IFERROR(IF(ISNUMBER(FIND("-",C517)),DATE(VALUE(LEFT(C517,4)),VALUE(MID(C517,6,2)),VALUE(RIGHT(C517,2))),IF(ISNUMBER(FIND(".",C517)),DATE(VALUE(RIGHT(C517,4)),VALUE(MID(C517,4,2)),VALUE(LEFT(C517,2))),DATE(VALUE(RIGHT(C517,4)),VLOOKUP(TRIM(MID(C517,FIND(" ",C517)+1,LEN(C517)-FIND(" ",C517)-5)),Справочники!$M$3:$N$14,2,0),VALUE(LEFT(C517,FIND(" ",C517)-1))))),"")</f>
        <v>26435</v>
      </c>
      <c r="J517" s="6">
        <f t="shared" si="234"/>
        <v>54</v>
      </c>
      <c r="K517" t="str">
        <f t="shared" si="235"/>
        <v>ОК</v>
      </c>
      <c r="L517" s="5">
        <f>IFERROR(IF(ISNUMBER(FIND("-",G517)),DATE(VALUE(LEFT(G517,4)),VALUE(MID(G517,6,2)),VALUE(RIGHT(G517,2))),IF(ISNUMBER(FIND(".",G517)),DATE(VALUE(RIGHT(G517,4)),VALUE(MID(G517,4,2)),VALUE(LEFT(G517,2))),DATE(VALUE(RIGHT(G517,4)),VLOOKUP(TRIM(MID(G517,FIND(" ",G517)+1,LEN(G517)-FIND(" ",G517)-5)),Справочники!$M$3:$N$14,2,0),VALUE(LEFT(G517,FIND(" ",G517)-1))))),"")</f>
        <v>49775</v>
      </c>
      <c r="M517" t="str">
        <f t="shared" si="236"/>
        <v xml:space="preserve">+7 (903) 890-12-34</v>
      </c>
      <c r="N517" t="str">
        <f t="shared" si="237"/>
        <v>kuleshov@gmail</v>
      </c>
      <c r="O517" t="str">
        <f t="shared" si="238"/>
        <v xml:space="preserve">Ошибка Email</v>
      </c>
      <c r="P517" t="str">
        <f>IFERROR(VLOOKUP(TRIM(SUBSTITUTE(SUBSTITUTE(" "&amp;F517," г "," "),"г.","")),Справочники!$J$3:$K$102,2,0),TRIM(SUBSTITUTE(SUBSTITUTE(" "&amp;F517," г "," "),"г.","")))</f>
        <v>Севастополь</v>
      </c>
    </row>
    <row r="518">
      <c r="A518" s="3" t="s">
        <v>3066</v>
      </c>
      <c r="B518" s="3" t="s">
        <v>6096</v>
      </c>
      <c r="C518" s="3" t="s">
        <v>6097</v>
      </c>
      <c r="D518" s="3" t="s">
        <v>4007</v>
      </c>
      <c r="E518" s="3" t="s">
        <v>6098</v>
      </c>
      <c r="F518" s="3" t="s">
        <v>4260</v>
      </c>
      <c r="G518" s="3" t="s">
        <v>6099</v>
      </c>
      <c r="H518" t="str">
        <f t="shared" si="233"/>
        <v xml:space="preserve">Панкратова Екатерина Владимировна</v>
      </c>
      <c r="I518" s="5">
        <f>IFERROR(IF(ISNUMBER(FIND("-",C518)),DATE(VALUE(LEFT(C518,4)),VALUE(MID(C518,6,2)),VALUE(RIGHT(C518,2))),IF(ISNUMBER(FIND(".",C518)),DATE(VALUE(RIGHT(C518,4)),VALUE(MID(C518,4,2)),VALUE(LEFT(C518,2))),DATE(VALUE(RIGHT(C518,4)),VLOOKUP(TRIM(MID(C518,FIND(" ",C518)+1,LEN(C518)-FIND(" ",C518)-5)),Справочники!$M$3:$N$14,2,0),VALUE(LEFT(C518,FIND(" ",C518)-1))))),"")</f>
        <v>31317</v>
      </c>
      <c r="J518" s="6">
        <f t="shared" si="234"/>
        <v>41</v>
      </c>
      <c r="K518" t="str">
        <f t="shared" si="235"/>
        <v>ОК</v>
      </c>
      <c r="L518" s="5">
        <f>IFERROR(IF(ISNUMBER(FIND("-",G518)),DATE(VALUE(LEFT(G518,4)),VALUE(MID(G518,6,2)),VALUE(RIGHT(G518,2))),IF(ISNUMBER(FIND(".",G518)),DATE(VALUE(RIGHT(G518,4)),VALUE(MID(G518,4,2)),VALUE(LEFT(G518,2))),DATE(VALUE(RIGHT(G518,4)),VLOOKUP(TRIM(MID(G518,FIND(" ",G518)+1,LEN(G518)-FIND(" ",G518)-5)),Справочники!$M$3:$N$14,2,0),VALUE(LEFT(G518,FIND(" ",G518)-1))))),"")</f>
        <v>49796</v>
      </c>
      <c r="M518" t="str">
        <f t="shared" si="236"/>
        <v xml:space="preserve">+7 (903) 890-12-34</v>
      </c>
      <c r="N518" t="str">
        <f t="shared" si="237"/>
        <v>pankratova@mail</v>
      </c>
      <c r="O518" t="str">
        <f t="shared" si="238"/>
        <v xml:space="preserve">Ошибка Email</v>
      </c>
      <c r="P518" t="str">
        <f>IFERROR(VLOOKUP(TRIM(SUBSTITUTE(SUBSTITUTE(" "&amp;F518," г "," "),"г.","")),Справочники!$J$3:$K$102,2,0),TRIM(SUBSTITUTE(SUBSTITUTE(" "&amp;F518," г "," "),"г.","")))</f>
        <v>Сочи</v>
      </c>
    </row>
    <row r="519">
      <c r="A519" s="3" t="s">
        <v>3067</v>
      </c>
      <c r="B519" s="3" t="s">
        <v>6100</v>
      </c>
      <c r="C519" s="3" t="s">
        <v>6101</v>
      </c>
      <c r="D519" s="3" t="s">
        <v>1619</v>
      </c>
      <c r="E519" s="3" t="s">
        <v>6102</v>
      </c>
      <c r="F519" s="3" t="s">
        <v>4265</v>
      </c>
      <c r="G519" s="3" t="s">
        <v>6103</v>
      </c>
      <c r="H519" t="str">
        <f t="shared" si="233"/>
        <v xml:space="preserve">Доронин Андрей Павлович</v>
      </c>
      <c r="I519" s="5">
        <f>IFERROR(IF(ISNUMBER(FIND("-",C519)),DATE(VALUE(LEFT(C519,4)),VALUE(MID(C519,6,2)),VALUE(RIGHT(C519,2))),IF(ISNUMBER(FIND(".",C519)),DATE(VALUE(RIGHT(C519,4)),VALUE(MID(C519,4,2)),VALUE(LEFT(C519,2))),DATE(VALUE(RIGHT(C519,4)),VLOOKUP(TRIM(MID(C519,FIND(" ",C519)+1,LEN(C519)-FIND(" ",C519)-5)),Справочники!$M$3:$N$14,2,0),VALUE(LEFT(C519,FIND(" ",C519)-1))))),"")</f>
        <v>32925</v>
      </c>
      <c r="J519" s="6">
        <f t="shared" si="234"/>
        <v>36</v>
      </c>
      <c r="K519" t="str">
        <f t="shared" si="235"/>
        <v>ОК</v>
      </c>
      <c r="L519" s="5">
        <f>IFERROR(IF(ISNUMBER(FIND("-",G519)),DATE(VALUE(LEFT(G519,4)),VALUE(MID(G519,6,2)),VALUE(RIGHT(G519,2))),IF(ISNUMBER(FIND(".",G519)),DATE(VALUE(RIGHT(G519,4)),VALUE(MID(G519,4,2)),VALUE(LEFT(G519,2))),DATE(VALUE(RIGHT(G519,4)),VLOOKUP(TRIM(MID(G519,FIND(" ",G519)+1,LEN(G519)-FIND(" ",G519)-5)),Справочники!$M$3:$N$14,2,0),VALUE(LEFT(G519,FIND(" ",G519)-1))))),"")</f>
        <v>49810</v>
      </c>
      <c r="M519" t="str">
        <f t="shared" si="236"/>
        <v xml:space="preserve">+7 (903) 890-12-34</v>
      </c>
      <c r="N519" t="str">
        <f t="shared" si="237"/>
        <v>doronin@yandex</v>
      </c>
      <c r="O519" t="str">
        <f t="shared" si="238"/>
        <v xml:space="preserve">Ошибка Email</v>
      </c>
      <c r="P519" t="str">
        <f>IFERROR(VLOOKUP(TRIM(SUBSTITUTE(SUBSTITUTE(" "&amp;F519," г "," "),"г.","")),Справочники!$J$3:$K$102,2,0),TRIM(SUBSTITUTE(SUBSTITUTE(" "&amp;F519," г "," "),"г.","")))</f>
        <v>Симферополь</v>
      </c>
    </row>
    <row r="520">
      <c r="A520" s="3" t="s">
        <v>3069</v>
      </c>
      <c r="B520" s="3" t="s">
        <v>6104</v>
      </c>
      <c r="C520" s="3" t="s">
        <v>6105</v>
      </c>
      <c r="D520" s="3" t="s">
        <v>4018</v>
      </c>
      <c r="E520" s="3" t="s">
        <v>6106</v>
      </c>
      <c r="F520" s="3" t="s">
        <v>4270</v>
      </c>
      <c r="G520" s="3" t="s">
        <v>6107</v>
      </c>
      <c r="H520" t="str">
        <f t="shared" si="233"/>
        <v xml:space="preserve">Щукина Мария Олеговна</v>
      </c>
      <c r="I520" s="5">
        <f>IFERROR(IF(ISNUMBER(FIND("-",C520)),DATE(VALUE(LEFT(C520,4)),VALUE(MID(C520,6,2)),VALUE(RIGHT(C520,2))),IF(ISNUMBER(FIND(".",C520)),DATE(VALUE(RIGHT(C520,4)),VALUE(MID(C520,4,2)),VALUE(LEFT(C520,2))),DATE(VALUE(RIGHT(C520,4)),VLOOKUP(TRIM(MID(C520,FIND(" ",C520)+1,LEN(C520)-FIND(" ",C520)-5)),Справочники!$M$3:$N$14,2,0),VALUE(LEFT(C520,FIND(" ",C520)-1))))),"")</f>
        <v>29171</v>
      </c>
      <c r="J520" s="6">
        <f t="shared" si="234"/>
        <v>46</v>
      </c>
      <c r="K520" t="str">
        <f t="shared" si="235"/>
        <v>ОК</v>
      </c>
      <c r="L520" s="5">
        <f>IFERROR(IF(ISNUMBER(FIND("-",G520)),DATE(VALUE(LEFT(G520,4)),VALUE(MID(G520,6,2)),VALUE(RIGHT(G520,2))),IF(ISNUMBER(FIND(".",G520)),DATE(VALUE(RIGHT(G520,4)),VALUE(MID(G520,4,2)),VALUE(LEFT(G520,2))),DATE(VALUE(RIGHT(G520,4)),VLOOKUP(TRIM(MID(G520,FIND(" ",G520)+1,LEN(G520)-FIND(" ",G520)-5)),Справочники!$M$3:$N$14,2,0),VALUE(LEFT(G520,FIND(" ",G520)-1))))),"")</f>
        <v>49810</v>
      </c>
      <c r="M520" t="str">
        <f t="shared" si="236"/>
        <v xml:space="preserve">+7 (903) 901-23-45</v>
      </c>
      <c r="N520" t="str">
        <f t="shared" si="237"/>
        <v>schukina@gmail</v>
      </c>
      <c r="O520" t="str">
        <f t="shared" si="238"/>
        <v xml:space="preserve">Ошибка Email</v>
      </c>
      <c r="P520" t="str">
        <f>IFERROR(VLOOKUP(TRIM(SUBSTITUTE(SUBSTITUTE(" "&amp;F520," г "," "),"г.","")),Справочники!$J$3:$K$102,2,0),TRIM(SUBSTITUTE(SUBSTITUTE(" "&amp;F520," г "," "),"г.","")))</f>
        <v>Брянск</v>
      </c>
    </row>
    <row r="521">
      <c r="A521" s="3" t="s">
        <v>3070</v>
      </c>
      <c r="B521" s="3" t="s">
        <v>6108</v>
      </c>
      <c r="C521" s="3" t="s">
        <v>6109</v>
      </c>
      <c r="D521" s="3" t="s">
        <v>1626</v>
      </c>
      <c r="E521" s="3" t="s">
        <v>6110</v>
      </c>
      <c r="F521" s="3" t="s">
        <v>4275</v>
      </c>
      <c r="G521" s="3" t="s">
        <v>6111</v>
      </c>
      <c r="H521" t="str">
        <f t="shared" si="233"/>
        <v xml:space="preserve">Князев Денис Сергеевич</v>
      </c>
      <c r="I521" s="5">
        <f>IFERROR(IF(ISNUMBER(FIND("-",C521)),DATE(VALUE(LEFT(C521,4)),VALUE(MID(C521,6,2)),VALUE(RIGHT(C521,2))),IF(ISNUMBER(FIND(".",C521)),DATE(VALUE(RIGHT(C521,4)),VALUE(MID(C521,4,2)),VALUE(LEFT(C521,2))),DATE(VALUE(RIGHT(C521,4)),VLOOKUP(TRIM(MID(C521,FIND(" ",C521)+1,LEN(C521)-FIND(" ",C521)-5)),Справочники!$M$3:$N$14,2,0),VALUE(LEFT(C521,FIND(" ",C521)-1))))),"")</f>
        <v>30839</v>
      </c>
      <c r="J521" s="6">
        <f t="shared" si="234"/>
        <v>42</v>
      </c>
      <c r="K521" t="str">
        <f t="shared" si="235"/>
        <v>ОК</v>
      </c>
      <c r="L521" s="5">
        <f>IFERROR(IF(ISNUMBER(FIND("-",G521)),DATE(VALUE(LEFT(G521,4)),VALUE(MID(G521,6,2)),VALUE(RIGHT(G521,2))),IF(ISNUMBER(FIND(".",G521)),DATE(VALUE(RIGHT(G521,4)),VALUE(MID(G521,4,2)),VALUE(LEFT(G521,2))),DATE(VALUE(RIGHT(G521,4)),VLOOKUP(TRIM(MID(G521,FIND(" ",G521)+1,LEN(G521)-FIND(" ",G521)-5)),Справочники!$M$3:$N$14,2,0),VALUE(LEFT(G521,FIND(" ",G521)-1))))),"")</f>
        <v>49827</v>
      </c>
      <c r="M521" t="str">
        <f t="shared" si="236"/>
        <v xml:space="preserve">+7 (903) 901-23-45</v>
      </c>
      <c r="N521" t="str">
        <f t="shared" si="237"/>
        <v>knyazev@mail</v>
      </c>
      <c r="O521" t="str">
        <f t="shared" si="238"/>
        <v xml:space="preserve">Ошибка Email</v>
      </c>
      <c r="P521" t="str">
        <f>IFERROR(VLOOKUP(TRIM(SUBSTITUTE(SUBSTITUTE(" "&amp;F521," г "," "),"г.","")),Справочники!$J$3:$K$102,2,0),TRIM(SUBSTITUTE(SUBSTITUTE(" "&amp;F521," г "," "),"г.","")))</f>
        <v>Абакан</v>
      </c>
    </row>
    <row r="522">
      <c r="A522" s="3" t="s">
        <v>3072</v>
      </c>
      <c r="B522" s="3" t="s">
        <v>6112</v>
      </c>
      <c r="C522" s="3" t="s">
        <v>6113</v>
      </c>
      <c r="D522" s="3" t="s">
        <v>4176</v>
      </c>
      <c r="E522" s="3" t="s">
        <v>6114</v>
      </c>
      <c r="F522" s="3" t="s">
        <v>4280</v>
      </c>
      <c r="G522" s="3" t="s">
        <v>6115</v>
      </c>
      <c r="H522" t="str">
        <f t="shared" si="233"/>
        <v xml:space="preserve">Зинченко Ольга Павловна</v>
      </c>
      <c r="I522" s="5">
        <f>IFERROR(IF(ISNUMBER(FIND("-",C522)),DATE(VALUE(LEFT(C522,4)),VALUE(MID(C522,6,2)),VALUE(RIGHT(C522,2))),IF(ISNUMBER(FIND(".",C522)),DATE(VALUE(RIGHT(C522,4)),VALUE(MID(C522,4,2)),VALUE(LEFT(C522,2))),DATE(VALUE(RIGHT(C522,4)),VLOOKUP(TRIM(MID(C522,FIND(" ",C522)+1,LEN(C522)-FIND(" ",C522)-5)),Справочники!$M$3:$N$14,2,0),VALUE(LEFT(C522,FIND(" ",C522)-1))))),"")</f>
        <v>33530</v>
      </c>
      <c r="J522" s="6">
        <f t="shared" si="234"/>
        <v>35</v>
      </c>
      <c r="K522" t="str">
        <f t="shared" si="235"/>
        <v>ОК</v>
      </c>
      <c r="L522" s="5">
        <f>IFERROR(IF(ISNUMBER(FIND("-",G522)),DATE(VALUE(LEFT(G522,4)),VALUE(MID(G522,6,2)),VALUE(RIGHT(G522,2))),IF(ISNUMBER(FIND(".",G522)),DATE(VALUE(RIGHT(G522,4)),VALUE(MID(G522,4,2)),VALUE(LEFT(G522,2))),DATE(VALUE(RIGHT(G522,4)),VLOOKUP(TRIM(MID(G522,FIND(" ",G522)+1,LEN(G522)-FIND(" ",G522)-5)),Справочники!$M$3:$N$14,2,0),VALUE(LEFT(G522,FIND(" ",G522)-1))))),"")</f>
        <v>49836</v>
      </c>
      <c r="M522" t="str">
        <f t="shared" si="236"/>
        <v xml:space="preserve">+7 (903) 901-23-45</v>
      </c>
      <c r="N522" t="str">
        <f t="shared" si="237"/>
        <v>zinchenko@yandex</v>
      </c>
      <c r="O522" t="str">
        <f t="shared" si="238"/>
        <v xml:space="preserve">Ошибка Email</v>
      </c>
      <c r="P522" t="str">
        <f>IFERROR(VLOOKUP(TRIM(SUBSTITUTE(SUBSTITUTE(" "&amp;F522," г "," "),"г.","")),Справочники!$J$3:$K$102,2,0),TRIM(SUBSTITUTE(SUBSTITUTE(" "&amp;F522," г "," "),"г.","")))</f>
        <v>Грозный</v>
      </c>
    </row>
    <row r="523">
      <c r="A523" s="3" t="s">
        <v>3074</v>
      </c>
      <c r="B523" s="3" t="s">
        <v>6116</v>
      </c>
      <c r="C523" s="3" t="s">
        <v>6117</v>
      </c>
      <c r="D523" s="3" t="s">
        <v>4182</v>
      </c>
      <c r="E523" s="3" t="s">
        <v>6118</v>
      </c>
      <c r="F523" s="3" t="s">
        <v>4285</v>
      </c>
      <c r="G523" s="3" t="s">
        <v>6119</v>
      </c>
      <c r="H523" t="str">
        <f t="shared" si="233"/>
        <v xml:space="preserve">Столяров Илья Викторович</v>
      </c>
      <c r="I523" s="5">
        <f>IFERROR(IF(ISNUMBER(FIND("-",C523)),DATE(VALUE(LEFT(C523,4)),VALUE(MID(C523,6,2)),VALUE(RIGHT(C523,2))),IF(ISNUMBER(FIND(".",C523)),DATE(VALUE(RIGHT(C523,4)),VALUE(MID(C523,4,2)),VALUE(LEFT(C523,2))),DATE(VALUE(RIGHT(C523,4)),VLOOKUP(TRIM(MID(C523,FIND(" ",C523)+1,LEN(C523)-FIND(" ",C523)-5)),Справочники!$M$3:$N$14,2,0),VALUE(LEFT(C523,FIND(" ",C523)-1))))),"")</f>
        <v>26755</v>
      </c>
      <c r="J523" s="6">
        <f t="shared" si="234"/>
        <v>53</v>
      </c>
      <c r="K523" t="str">
        <f t="shared" si="235"/>
        <v>ОК</v>
      </c>
      <c r="L523" s="5">
        <f>IFERROR(IF(ISNUMBER(FIND("-",G523)),DATE(VALUE(LEFT(G523,4)),VALUE(MID(G523,6,2)),VALUE(RIGHT(G523,2))),IF(ISNUMBER(FIND(".",G523)),DATE(VALUE(RIGHT(G523,4)),VALUE(MID(G523,4,2)),VALUE(LEFT(G523,2))),DATE(VALUE(RIGHT(G523,4)),VLOOKUP(TRIM(MID(G523,FIND(" ",G523)+1,LEN(G523)-FIND(" ",G523)-5)),Справочники!$M$3:$N$14,2,0),VALUE(LEFT(G523,FIND(" ",G523)-1))))),"")</f>
        <v>49836</v>
      </c>
      <c r="M523" t="str">
        <f t="shared" si="236"/>
        <v xml:space="preserve">+7 (903) 012-34-56</v>
      </c>
      <c r="N523" t="str">
        <f t="shared" si="237"/>
        <v>stolyarov@gmail</v>
      </c>
      <c r="O523" t="str">
        <f t="shared" si="238"/>
        <v xml:space="preserve">Ошибка Email</v>
      </c>
      <c r="P523" t="str">
        <f>IFERROR(VLOOKUP(TRIM(SUBSTITUTE(SUBSTITUTE(" "&amp;F523," г "," "),"г.","")),Справочники!$J$3:$K$102,2,0),TRIM(SUBSTITUTE(SUBSTITUTE(" "&amp;F523," г "," "),"г.","")))</f>
        <v>Бийск</v>
      </c>
    </row>
    <row r="524">
      <c r="A524" s="3" t="s">
        <v>3077</v>
      </c>
      <c r="B524" s="3" t="s">
        <v>6120</v>
      </c>
      <c r="C524" s="3" t="s">
        <v>6121</v>
      </c>
      <c r="D524" s="3" t="s">
        <v>4188</v>
      </c>
      <c r="E524" s="3" t="s">
        <v>4880</v>
      </c>
      <c r="F524" s="3" t="s">
        <v>4290</v>
      </c>
      <c r="G524" s="3" t="s">
        <v>6122</v>
      </c>
      <c r="H524" t="str">
        <f t="shared" si="233"/>
        <v xml:space="preserve">Галкина Екатерина Сергеевна</v>
      </c>
      <c r="I524" s="5">
        <f>IFERROR(IF(ISNUMBER(FIND("-",C524)),DATE(VALUE(LEFT(C524,4)),VALUE(MID(C524,6,2)),VALUE(RIGHT(C524,2))),IF(ISNUMBER(FIND(".",C524)),DATE(VALUE(RIGHT(C524,4)),VALUE(MID(C524,4,2)),VALUE(LEFT(C524,2))),DATE(VALUE(RIGHT(C524,4)),VLOOKUP(TRIM(MID(C524,FIND(" ",C524)+1,LEN(C524)-FIND(" ",C524)-5)),Справочники!$M$3:$N$14,2,0),VALUE(LEFT(C524,FIND(" ",C524)-1))))),"")</f>
        <v>31607</v>
      </c>
      <c r="J524" s="6">
        <f t="shared" si="234"/>
        <v>40</v>
      </c>
      <c r="K524" t="str">
        <f t="shared" si="235"/>
        <v>ОК</v>
      </c>
      <c r="L524" s="5">
        <f>IFERROR(IF(ISNUMBER(FIND("-",G524)),DATE(VALUE(LEFT(G524,4)),VALUE(MID(G524,6,2)),VALUE(RIGHT(G524,2))),IF(ISNUMBER(FIND(".",G524)),DATE(VALUE(RIGHT(G524,4)),VALUE(MID(G524,4,2)),VALUE(LEFT(G524,2))),DATE(VALUE(RIGHT(G524,4)),VLOOKUP(TRIM(MID(G524,FIND(" ",G524)+1,LEN(G524)-FIND(" ",G524)-5)),Справочники!$M$3:$N$14,2,0),VALUE(LEFT(G524,FIND(" ",G524)-1))))),"")</f>
        <v>49857</v>
      </c>
      <c r="M524" t="str">
        <f t="shared" si="236"/>
        <v xml:space="preserve">+7 (903) 012-34-56</v>
      </c>
      <c r="N524" t="str">
        <f t="shared" si="237"/>
        <v>galkina@mail</v>
      </c>
      <c r="O524" t="str">
        <f t="shared" si="238"/>
        <v xml:space="preserve">Ошибка Email</v>
      </c>
      <c r="P524" t="str">
        <f>IFERROR(VLOOKUP(TRIM(SUBSTITUTE(SUBSTITUTE(" "&amp;F524," г "," "),"г.","")),Справочники!$J$3:$K$102,2,0),TRIM(SUBSTITUTE(SUBSTITUTE(" "&amp;F524," г "," "),"г.","")))</f>
        <v>Йошкар-Ола</v>
      </c>
    </row>
    <row r="525">
      <c r="A525" s="3" t="s">
        <v>3078</v>
      </c>
      <c r="B525" s="3" t="s">
        <v>6123</v>
      </c>
      <c r="C525" s="3" t="s">
        <v>6124</v>
      </c>
      <c r="D525" s="3" t="s">
        <v>1633</v>
      </c>
      <c r="E525" s="3" t="s">
        <v>6125</v>
      </c>
      <c r="F525" s="3" t="s">
        <v>4295</v>
      </c>
      <c r="G525" s="3" t="s">
        <v>6126</v>
      </c>
      <c r="H525" t="str">
        <f t="shared" si="233"/>
        <v xml:space="preserve">Коробов Андрей Олегович</v>
      </c>
      <c r="I525" s="5">
        <f>IFERROR(IF(ISNUMBER(FIND("-",C525)),DATE(VALUE(LEFT(C525,4)),VALUE(MID(C525,6,2)),VALUE(RIGHT(C525,2))),IF(ISNUMBER(FIND(".",C525)),DATE(VALUE(RIGHT(C525,4)),VALUE(MID(C525,4,2)),VALUE(LEFT(C525,2))),DATE(VALUE(RIGHT(C525,4)),VLOOKUP(TRIM(MID(C525,FIND(" ",C525)+1,LEN(C525)-FIND(" ",C525)-5)),Справочники!$M$3:$N$14,2,0),VALUE(LEFT(C525,FIND(" ",C525)-1))))),"")</f>
        <v>30307</v>
      </c>
      <c r="J525" s="6">
        <f t="shared" si="234"/>
        <v>43</v>
      </c>
      <c r="K525" t="str">
        <f t="shared" si="235"/>
        <v>ОК</v>
      </c>
      <c r="L525" s="5">
        <f>IFERROR(IF(ISNUMBER(FIND("-",G525)),DATE(VALUE(LEFT(G525,4)),VALUE(MID(G525,6,2)),VALUE(RIGHT(G525,2))),IF(ISNUMBER(FIND(".",G525)),DATE(VALUE(RIGHT(G525,4)),VALUE(MID(G525,4,2)),VALUE(LEFT(G525,2))),DATE(VALUE(RIGHT(G525,4)),VLOOKUP(TRIM(MID(G525,FIND(" ",G525)+1,LEN(G525)-FIND(" ",G525)-5)),Справочники!$M$3:$N$14,2,0),VALUE(LEFT(G525,FIND(" ",G525)-1))))),"")</f>
        <v>49871</v>
      </c>
      <c r="M525" t="str">
        <f t="shared" si="236"/>
        <v xml:space="preserve">+7 (903) 012-34-56</v>
      </c>
      <c r="N525" t="str">
        <f t="shared" si="237"/>
        <v>korobov@yandex</v>
      </c>
      <c r="O525" t="str">
        <f t="shared" si="238"/>
        <v xml:space="preserve">Ошибка Email</v>
      </c>
      <c r="P525" t="str">
        <f>IFERROR(VLOOKUP(TRIM(SUBSTITUTE(SUBSTITUTE(" "&amp;F525," г "," "),"г.","")),Справочники!$J$3:$K$102,2,0),TRIM(SUBSTITUTE(SUBSTITUTE(" "&amp;F525," г "," "),"г.","")))</f>
        <v>Курган</v>
      </c>
    </row>
    <row r="526">
      <c r="A526" s="3" t="s">
        <v>3080</v>
      </c>
      <c r="B526" s="3" t="s">
        <v>6127</v>
      </c>
      <c r="C526" s="3" t="s">
        <v>6128</v>
      </c>
      <c r="D526" s="3" t="s">
        <v>4034</v>
      </c>
      <c r="E526" s="3" t="s">
        <v>6129</v>
      </c>
      <c r="F526" s="3" t="s">
        <v>4300</v>
      </c>
      <c r="G526" s="3" t="s">
        <v>6130</v>
      </c>
      <c r="H526" t="str">
        <f t="shared" si="233"/>
        <v xml:space="preserve">Шапкина Мария Владимировна</v>
      </c>
      <c r="I526" s="5">
        <f>IFERROR(IF(ISNUMBER(FIND("-",C526)),DATE(VALUE(LEFT(C526,4)),VALUE(MID(C526,6,2)),VALUE(RIGHT(C526,2))),IF(ISNUMBER(FIND(".",C526)),DATE(VALUE(RIGHT(C526,4)),VALUE(MID(C526,4,2)),VALUE(LEFT(C526,2))),DATE(VALUE(RIGHT(C526,4)),VLOOKUP(TRIM(MID(C526,FIND(" ",C526)+1,LEN(C526)-FIND(" ",C526)-5)),Справочники!$M$3:$N$14,2,0),VALUE(LEFT(C526,FIND(" ",C526)-1))))),"")</f>
        <v>28386</v>
      </c>
      <c r="J526" s="6">
        <f t="shared" si="234"/>
        <v>49</v>
      </c>
      <c r="K526" t="str">
        <f t="shared" si="235"/>
        <v>ОК</v>
      </c>
      <c r="L526" s="5">
        <f>IFERROR(IF(ISNUMBER(FIND("-",G526)),DATE(VALUE(LEFT(G526,4)),VALUE(MID(G526,6,2)),VALUE(RIGHT(G526,2))),IF(ISNUMBER(FIND(".",G526)),DATE(VALUE(RIGHT(G526,4)),VALUE(MID(G526,4,2)),VALUE(LEFT(G526,2))),DATE(VALUE(RIGHT(G526,4)),VLOOKUP(TRIM(MID(G526,FIND(" ",G526)+1,LEN(G526)-FIND(" ",G526)-5)),Справочники!$M$3:$N$14,2,0),VALUE(LEFT(G526,FIND(" ",G526)-1))))),"")</f>
        <v>49871</v>
      </c>
      <c r="M526" t="str">
        <f t="shared" si="236"/>
        <v xml:space="preserve">+7 (903) 123-45-67</v>
      </c>
      <c r="N526" t="str">
        <f t="shared" si="237"/>
        <v>shapkina@gmail</v>
      </c>
      <c r="O526" t="str">
        <f t="shared" si="238"/>
        <v xml:space="preserve">Ошибка Email</v>
      </c>
      <c r="P526" t="str">
        <f>IFERROR(VLOOKUP(TRIM(SUBSTITUTE(SUBSTITUTE(" "&amp;F526," г "," "),"г.","")),Справочники!$J$3:$K$102,2,0),TRIM(SUBSTITUTE(SUBSTITUTE(" "&amp;F526," г "," "),"г.","")))</f>
        <v>Архангельск</v>
      </c>
    </row>
    <row r="527">
      <c r="A527" s="3" t="s">
        <v>3081</v>
      </c>
      <c r="B527" s="3" t="s">
        <v>6131</v>
      </c>
      <c r="C527" s="3" t="s">
        <v>6132</v>
      </c>
      <c r="D527" s="3" t="s">
        <v>4040</v>
      </c>
      <c r="E527" s="3" t="s">
        <v>6133</v>
      </c>
      <c r="F527" s="3" t="s">
        <v>4305</v>
      </c>
      <c r="G527" s="3" t="s">
        <v>6134</v>
      </c>
      <c r="H527" t="str">
        <f t="shared" si="233"/>
        <v xml:space="preserve">Винокуров Денис Алексеевич</v>
      </c>
      <c r="I527" s="5">
        <f>IFERROR(IF(ISNUMBER(FIND("-",C527)),DATE(VALUE(LEFT(C527,4)),VALUE(MID(C527,6,2)),VALUE(RIGHT(C527,2))),IF(ISNUMBER(FIND(".",C527)),DATE(VALUE(RIGHT(C527,4)),VALUE(MID(C527,4,2)),VALUE(LEFT(C527,2))),DATE(VALUE(RIGHT(C527,4)),VLOOKUP(TRIM(MID(C527,FIND(" ",C527)+1,LEN(C527)-FIND(" ",C527)-5)),Справочники!$M$3:$N$14,2,0),VALUE(LEFT(C527,FIND(" ",C527)-1))))),"")</f>
        <v>34119</v>
      </c>
      <c r="J527" s="6">
        <f t="shared" si="234"/>
        <v>33</v>
      </c>
      <c r="K527" t="str">
        <f t="shared" si="235"/>
        <v>ОК</v>
      </c>
      <c r="L527" s="5">
        <f>IFERROR(IF(ISNUMBER(FIND("-",G527)),DATE(VALUE(LEFT(G527,4)),VALUE(MID(G527,6,2)),VALUE(RIGHT(G527,2))),IF(ISNUMBER(FIND(".",G527)),DATE(VALUE(RIGHT(G527,4)),VALUE(MID(G527,4,2)),VALUE(LEFT(G527,2))),DATE(VALUE(RIGHT(G527,4)),VLOOKUP(TRIM(MID(G527,FIND(" ",G527)+1,LEN(G527)-FIND(" ",G527)-5)),Справочники!$M$3:$N$14,2,0),VALUE(LEFT(G527,FIND(" ",G527)-1))))),"")</f>
        <v>49888</v>
      </c>
      <c r="M527" t="str">
        <f t="shared" si="236"/>
        <v xml:space="preserve">+7 (903) 123-45-67</v>
      </c>
      <c r="N527" t="str">
        <f t="shared" si="237"/>
        <v>vinokurov@mail</v>
      </c>
      <c r="O527" t="str">
        <f t="shared" si="238"/>
        <v xml:space="preserve">Ошибка Email</v>
      </c>
      <c r="P527" t="str">
        <f>IFERROR(VLOOKUP(TRIM(SUBSTITUTE(SUBSTITUTE(" "&amp;F527," г "," "),"г.","")),Справочники!$J$3:$K$102,2,0),TRIM(SUBSTITUTE(SUBSTITUTE(" "&amp;F527," г "," "),"г.","")))</f>
        <v>Благовещенск</v>
      </c>
    </row>
    <row r="528">
      <c r="A528" s="3" t="s">
        <v>3083</v>
      </c>
      <c r="B528" s="3" t="s">
        <v>6135</v>
      </c>
      <c r="C528" s="3" t="s">
        <v>6136</v>
      </c>
      <c r="D528" s="3" t="s">
        <v>1570</v>
      </c>
      <c r="E528" s="3" t="s">
        <v>6137</v>
      </c>
      <c r="F528" s="3" t="s">
        <v>4310</v>
      </c>
      <c r="G528" s="3" t="s">
        <v>6138</v>
      </c>
      <c r="H528" t="str">
        <f t="shared" si="233"/>
        <v xml:space="preserve">Трифонова Ольга Павловна</v>
      </c>
      <c r="I528" s="5">
        <f>IFERROR(IF(ISNUMBER(FIND("-",C528)),DATE(VALUE(LEFT(C528,4)),VALUE(MID(C528,6,2)),VALUE(RIGHT(C528,2))),IF(ISNUMBER(FIND(".",C528)),DATE(VALUE(RIGHT(C528,4)),VALUE(MID(C528,4,2)),VALUE(LEFT(C528,2))),DATE(VALUE(RIGHT(C528,4)),VLOOKUP(TRIM(MID(C528,FIND(" ",C528)+1,LEN(C528)-FIND(" ",C528)-5)),Справочники!$M$3:$N$14,2,0),VALUE(LEFT(C528,FIND(" ",C528)-1))))),"")</f>
        <v>29548</v>
      </c>
      <c r="J528" s="6">
        <f t="shared" si="234"/>
        <v>45</v>
      </c>
      <c r="K528" t="str">
        <f t="shared" si="235"/>
        <v>ОК</v>
      </c>
      <c r="L528" s="5">
        <f>IFERROR(IF(ISNUMBER(FIND("-",G528)),DATE(VALUE(LEFT(G528,4)),VALUE(MID(G528,6,2)),VALUE(RIGHT(G528,2))),IF(ISNUMBER(FIND(".",G528)),DATE(VALUE(RIGHT(G528,4)),VALUE(MID(G528,4,2)),VALUE(LEFT(G528,2))),DATE(VALUE(RIGHT(G528,4)),VLOOKUP(TRIM(MID(G528,FIND(" ",G528)+1,LEN(G528)-FIND(" ",G528)-5)),Справочники!$M$3:$N$14,2,0),VALUE(LEFT(G528,FIND(" ",G528)-1))))),"")</f>
        <v>49897</v>
      </c>
      <c r="M528" t="str">
        <f t="shared" si="236"/>
        <v xml:space="preserve">+7 (903) 123-45-67</v>
      </c>
      <c r="N528" t="str">
        <f t="shared" si="237"/>
        <v>trifonova@yandex</v>
      </c>
      <c r="O528" t="str">
        <f t="shared" si="238"/>
        <v xml:space="preserve">Ошибка Email</v>
      </c>
      <c r="P528" t="str">
        <f>IFERROR(VLOOKUP(TRIM(SUBSTITUTE(SUBSTITUTE(" "&amp;F528," г "," "),"г.","")),Справочники!$J$3:$K$102,2,0),TRIM(SUBSTITUTE(SUBSTITUTE(" "&amp;F528," г "," "),"г.","")))</f>
        <v>Майкоп</v>
      </c>
    </row>
    <row r="529">
      <c r="A529" s="3" t="s">
        <v>3085</v>
      </c>
      <c r="B529" s="3" t="s">
        <v>6139</v>
      </c>
      <c r="C529" s="3" t="s">
        <v>6140</v>
      </c>
      <c r="D529" s="3" t="s">
        <v>4051</v>
      </c>
      <c r="E529" s="3" t="s">
        <v>6141</v>
      </c>
      <c r="F529" s="3" t="s">
        <v>4315</v>
      </c>
      <c r="G529" s="3" t="s">
        <v>6142</v>
      </c>
      <c r="H529" t="str">
        <f t="shared" si="233"/>
        <v xml:space="preserve">Червяков Илья Александрович</v>
      </c>
      <c r="I529" s="5">
        <f>IFERROR(IF(ISNUMBER(FIND("-",C529)),DATE(VALUE(LEFT(C529,4)),VALUE(MID(C529,6,2)),VALUE(RIGHT(C529,2))),IF(ISNUMBER(FIND(".",C529)),DATE(VALUE(RIGHT(C529,4)),VALUE(MID(C529,4,2)),VALUE(LEFT(C529,2))),DATE(VALUE(RIGHT(C529,4)),VLOOKUP(TRIM(MID(C529,FIND(" ",C529)+1,LEN(C529)-FIND(" ",C529)-5)),Справочники!$M$3:$N$14,2,0),VALUE(LEFT(C529,FIND(" ",C529)-1))))),"")</f>
        <v>31266</v>
      </c>
      <c r="J529" s="6">
        <f t="shared" si="234"/>
        <v>41</v>
      </c>
      <c r="K529" t="str">
        <f t="shared" si="235"/>
        <v>ОК</v>
      </c>
      <c r="L529" s="5">
        <f>IFERROR(IF(ISNUMBER(FIND("-",G529)),DATE(VALUE(LEFT(G529,4)),VALUE(MID(G529,6,2)),VALUE(RIGHT(G529,2))),IF(ISNUMBER(FIND(".",G529)),DATE(VALUE(RIGHT(G529,4)),VALUE(MID(G529,4,2)),VALUE(LEFT(G529,2))),DATE(VALUE(RIGHT(G529,4)),VLOOKUP(TRIM(MID(G529,FIND(" ",G529)+1,LEN(G529)-FIND(" ",G529)-5)),Справочники!$M$3:$N$14,2,0),VALUE(LEFT(G529,FIND(" ",G529)-1))))),"")</f>
        <v>49897</v>
      </c>
      <c r="M529" t="str">
        <f t="shared" si="236"/>
        <v xml:space="preserve">+7 (903) 234-56-78</v>
      </c>
      <c r="N529" t="str">
        <f t="shared" si="237"/>
        <v>chervyakov@gmail</v>
      </c>
      <c r="O529" t="str">
        <f t="shared" si="238"/>
        <v xml:space="preserve">Ошибка Email</v>
      </c>
      <c r="P529" t="str">
        <f>IFERROR(VLOOKUP(TRIM(SUBSTITUTE(SUBSTITUTE(" "&amp;F529," г "," "),"г.","")),Справочники!$J$3:$K$102,2,0),TRIM(SUBSTITUTE(SUBSTITUTE(" "&amp;F529," г "," "),"г.","")))</f>
        <v>Уссурийск</v>
      </c>
    </row>
    <row r="530">
      <c r="A530" s="3" t="s">
        <v>3087</v>
      </c>
      <c r="B530" s="3" t="s">
        <v>6143</v>
      </c>
      <c r="C530" s="3" t="s">
        <v>6144</v>
      </c>
      <c r="D530" s="3" t="s">
        <v>4057</v>
      </c>
      <c r="E530" s="3" t="s">
        <v>6145</v>
      </c>
      <c r="F530" s="3" t="s">
        <v>4320</v>
      </c>
      <c r="G530" s="3" t="s">
        <v>6146</v>
      </c>
      <c r="H530" t="str">
        <f t="shared" si="233"/>
        <v xml:space="preserve">Потапова Екатерина Сергеевна</v>
      </c>
      <c r="I530" s="5">
        <f>IFERROR(IF(ISNUMBER(FIND("-",C530)),DATE(VALUE(LEFT(C530,4)),VALUE(MID(C530,6,2)),VALUE(RIGHT(C530,2))),IF(ISNUMBER(FIND(".",C530)),DATE(VALUE(RIGHT(C530,4)),VALUE(MID(C530,4,2)),VALUE(LEFT(C530,2))),DATE(VALUE(RIGHT(C530,4)),VLOOKUP(TRIM(MID(C530,FIND(" ",C530)+1,LEN(C530)-FIND(" ",C530)-5)),Справочники!$M$3:$N$14,2,0),VALUE(LEFT(C530,FIND(" ",C530)-1))))),"")</f>
        <v>28600</v>
      </c>
      <c r="J530" s="6">
        <f t="shared" si="234"/>
        <v>48</v>
      </c>
      <c r="K530" t="str">
        <f t="shared" si="235"/>
        <v>ОК</v>
      </c>
      <c r="L530" s="5">
        <f>IFERROR(IF(ISNUMBER(FIND("-",G530)),DATE(VALUE(LEFT(G530,4)),VALUE(MID(G530,6,2)),VALUE(RIGHT(G530,2))),IF(ISNUMBER(FIND(".",G530)),DATE(VALUE(RIGHT(G530,4)),VALUE(MID(G530,4,2)),VALUE(LEFT(G530,2))),DATE(VALUE(RIGHT(G530,4)),VLOOKUP(TRIM(MID(G530,FIND(" ",G530)+1,LEN(G530)-FIND(" ",G530)-5)),Справочники!$M$3:$N$14,2,0),VALUE(LEFT(G530,FIND(" ",G530)-1))))),"")</f>
        <v>49919</v>
      </c>
      <c r="M530" t="str">
        <f t="shared" si="236"/>
        <v xml:space="preserve">+7 (903) 234-56-78</v>
      </c>
      <c r="N530" t="str">
        <f t="shared" si="237"/>
        <v>potapova@mail</v>
      </c>
      <c r="O530" t="str">
        <f t="shared" si="238"/>
        <v xml:space="preserve">Ошибка Email</v>
      </c>
      <c r="P530" t="str">
        <f>IFERROR(VLOOKUP(TRIM(SUBSTITUTE(SUBSTITUTE(" "&amp;F530," г "," "),"г.","")),Справочники!$J$3:$K$102,2,0),TRIM(SUBSTITUTE(SUBSTITUTE(" "&amp;F530," г "," "),"г.","")))</f>
        <v>Миасс</v>
      </c>
    </row>
    <row r="531">
      <c r="A531" s="3" t="s">
        <v>3089</v>
      </c>
      <c r="B531" s="3" t="s">
        <v>6147</v>
      </c>
      <c r="C531" s="3" t="s">
        <v>6148</v>
      </c>
      <c r="D531" s="3" t="s">
        <v>1712</v>
      </c>
      <c r="E531" s="3" t="s">
        <v>6149</v>
      </c>
      <c r="F531" s="3" t="s">
        <v>4325</v>
      </c>
      <c r="G531" s="3" t="s">
        <v>6150</v>
      </c>
      <c r="H531" t="str">
        <f t="shared" si="233"/>
        <v xml:space="preserve">Рогов Андрей Викторович</v>
      </c>
      <c r="I531" s="5">
        <f>IFERROR(IF(ISNUMBER(FIND("-",C531)),DATE(VALUE(LEFT(C531,4)),VALUE(MID(C531,6,2)),VALUE(RIGHT(C531,2))),IF(ISNUMBER(FIND(".",C531)),DATE(VALUE(RIGHT(C531,4)),VALUE(MID(C531,4,2)),VALUE(LEFT(C531,2))),DATE(VALUE(RIGHT(C531,4)),VLOOKUP(TRIM(MID(C531,FIND(" ",C531)+1,LEN(C531)-FIND(" ",C531)-5)),Справочники!$M$3:$N$14,2,0),VALUE(LEFT(C531,FIND(" ",C531)-1))))),"")</f>
        <v>31031</v>
      </c>
      <c r="J531" s="6">
        <f t="shared" si="234"/>
        <v>41</v>
      </c>
      <c r="K531" t="str">
        <f t="shared" si="235"/>
        <v>ОК</v>
      </c>
      <c r="L531" s="5">
        <f>IFERROR(IF(ISNUMBER(FIND("-",G531)),DATE(VALUE(LEFT(G531,4)),VALUE(MID(G531,6,2)),VALUE(RIGHT(G531,2))),IF(ISNUMBER(FIND(".",G531)),DATE(VALUE(RIGHT(G531,4)),VALUE(MID(G531,4,2)),VALUE(LEFT(G531,2))),DATE(VALUE(RIGHT(G531,4)),VLOOKUP(TRIM(MID(G531,FIND(" ",G531)+1,LEN(G531)-FIND(" ",G531)-5)),Справочники!$M$3:$N$14,2,0),VALUE(LEFT(G531,FIND(" ",G531)-1))))),"")</f>
        <v>49933</v>
      </c>
      <c r="M531" t="str">
        <f t="shared" si="236"/>
        <v xml:space="preserve">+7 (903) 234-56-78</v>
      </c>
      <c r="N531" t="str">
        <f t="shared" si="237"/>
        <v>rogov@yandex</v>
      </c>
      <c r="O531" t="str">
        <f t="shared" si="238"/>
        <v xml:space="preserve">Ошибка Email</v>
      </c>
      <c r="P531" t="str">
        <f>IFERROR(VLOOKUP(TRIM(SUBSTITUTE(SUBSTITUTE(" "&amp;F531," г "," "),"г.","")),Справочники!$J$3:$K$102,2,0),TRIM(SUBSTITUTE(SUBSTITUTE(" "&amp;F531," г "," "),"г.","")))</f>
        <v>Кызыл</v>
      </c>
    </row>
    <row r="532">
      <c r="A532" s="3" t="s">
        <v>3092</v>
      </c>
      <c r="B532" s="3" t="s">
        <v>6151</v>
      </c>
      <c r="C532" s="3" t="s">
        <v>6152</v>
      </c>
      <c r="D532" s="3" t="s">
        <v>1584</v>
      </c>
      <c r="E532" s="3" t="s">
        <v>6153</v>
      </c>
      <c r="F532" s="3" t="s">
        <v>4330</v>
      </c>
      <c r="G532" s="3" t="s">
        <v>6154</v>
      </c>
      <c r="H532" t="str">
        <f t="shared" si="233"/>
        <v xml:space="preserve">Беспалова Мария Олеговна</v>
      </c>
      <c r="I532" s="5">
        <f>IFERROR(IF(ISNUMBER(FIND("-",C532)),DATE(VALUE(LEFT(C532,4)),VALUE(MID(C532,6,2)),VALUE(RIGHT(C532,2))),IF(ISNUMBER(FIND(".",C532)),DATE(VALUE(RIGHT(C532,4)),VALUE(MID(C532,4,2)),VALUE(LEFT(C532,2))),DATE(VALUE(RIGHT(C532,4)),VLOOKUP(TRIM(MID(C532,FIND(" ",C532)+1,LEN(C532)-FIND(" ",C532)-5)),Справочники!$M$3:$N$14,2,0),VALUE(LEFT(C532,FIND(" ",C532)-1))))),"")</f>
        <v>32762</v>
      </c>
      <c r="J532" s="6">
        <f t="shared" si="234"/>
        <v>37</v>
      </c>
      <c r="K532" t="str">
        <f t="shared" si="235"/>
        <v>ОК</v>
      </c>
      <c r="L532" s="5">
        <f>IFERROR(IF(ISNUMBER(FIND("-",G532)),DATE(VALUE(LEFT(G532,4)),VALUE(MID(G532,6,2)),VALUE(RIGHT(G532,2))),IF(ISNUMBER(FIND(".",G532)),DATE(VALUE(RIGHT(G532,4)),VALUE(MID(G532,4,2)),VALUE(LEFT(G532,2))),DATE(VALUE(RIGHT(G532,4)),VLOOKUP(TRIM(MID(G532,FIND(" ",G532)+1,LEN(G532)-FIND(" ",G532)-5)),Справочники!$M$3:$N$14,2,0),VALUE(LEFT(G532,FIND(" ",G532)-1))))),"")</f>
        <v>49933</v>
      </c>
      <c r="M532" t="str">
        <f t="shared" si="236"/>
        <v xml:space="preserve">+7 (903) 345-67-89</v>
      </c>
      <c r="N532" t="str">
        <f t="shared" si="237"/>
        <v>bespalova@gmail</v>
      </c>
      <c r="O532" t="str">
        <f t="shared" si="238"/>
        <v xml:space="preserve">Ошибка Email</v>
      </c>
      <c r="P532" t="str">
        <f>IFERROR(VLOOKUP(TRIM(SUBSTITUTE(SUBSTITUTE(" "&amp;F532," г "," "),"г.","")),Справочники!$J$3:$K$102,2,0),TRIM(SUBSTITUTE(SUBSTITUTE(" "&amp;F532," г "," "),"г.","")))</f>
        <v>Калининград</v>
      </c>
    </row>
    <row r="533">
      <c r="A533" s="3" t="s">
        <v>3094</v>
      </c>
      <c r="B533" s="3" t="s">
        <v>6155</v>
      </c>
      <c r="C533" s="3" t="s">
        <v>6156</v>
      </c>
      <c r="D533" s="3" t="s">
        <v>4073</v>
      </c>
      <c r="E533" s="3" t="s">
        <v>6157</v>
      </c>
      <c r="F533" s="3" t="s">
        <v>4335</v>
      </c>
      <c r="G533" s="3" t="s">
        <v>6158</v>
      </c>
      <c r="H533" t="str">
        <f t="shared" si="233"/>
        <v xml:space="preserve">Окунев Денис Павлович</v>
      </c>
      <c r="I533" s="5">
        <f>IFERROR(IF(ISNUMBER(FIND("-",C533)),DATE(VALUE(LEFT(C533,4)),VALUE(MID(C533,6,2)),VALUE(RIGHT(C533,2))),IF(ISNUMBER(FIND(".",C533)),DATE(VALUE(RIGHT(C533,4)),VALUE(MID(C533,4,2)),VALUE(LEFT(C533,2))),DATE(VALUE(RIGHT(C533,4)),VLOOKUP(TRIM(MID(C533,FIND(" ",C533)+1,LEN(C533)-FIND(" ",C533)-5)),Справочники!$M$3:$N$14,2,0),VALUE(LEFT(C533,FIND(" ",C533)-1))))),"")</f>
        <v>27428</v>
      </c>
      <c r="J533" s="6">
        <f t="shared" si="234"/>
        <v>51</v>
      </c>
      <c r="K533" t="str">
        <f t="shared" si="235"/>
        <v>ОК</v>
      </c>
      <c r="L533" s="5">
        <f>IFERROR(IF(ISNUMBER(FIND("-",G533)),DATE(VALUE(LEFT(G533,4)),VALUE(MID(G533,6,2)),VALUE(RIGHT(G533,2))),IF(ISNUMBER(FIND(".",G533)),DATE(VALUE(RIGHT(G533,4)),VALUE(MID(G533,4,2)),VALUE(LEFT(G533,2))),DATE(VALUE(RIGHT(G533,4)),VLOOKUP(TRIM(MID(G533,FIND(" ",G533)+1,LEN(G533)-FIND(" ",G533)-5)),Справочники!$M$3:$N$14,2,0),VALUE(LEFT(G533,FIND(" ",G533)-1))))),"")</f>
        <v>49949</v>
      </c>
      <c r="M533" t="str">
        <f t="shared" si="236"/>
        <v xml:space="preserve">+7 (903) 345-67-89</v>
      </c>
      <c r="N533" t="str">
        <f t="shared" si="237"/>
        <v>okunev@mail</v>
      </c>
      <c r="O533" t="str">
        <f t="shared" si="238"/>
        <v xml:space="preserve">Ошибка Email</v>
      </c>
      <c r="P533" t="str">
        <f>IFERROR(VLOOKUP(TRIM(SUBSTITUTE(SUBSTITUTE(" "&amp;F533," г "," "),"г.","")),Справочники!$J$3:$K$102,2,0),TRIM(SUBSTITUTE(SUBSTITUTE(" "&amp;F533," г "," "),"г.","")))</f>
        <v>Петрозаводск</v>
      </c>
    </row>
    <row r="534">
      <c r="A534" s="3" t="s">
        <v>3096</v>
      </c>
      <c r="B534" s="3" t="s">
        <v>6159</v>
      </c>
      <c r="C534" s="3" t="s">
        <v>6160</v>
      </c>
      <c r="D534" s="3" t="s">
        <v>4079</v>
      </c>
      <c r="E534" s="3" t="s">
        <v>4491</v>
      </c>
      <c r="F534" s="3" t="s">
        <v>4340</v>
      </c>
      <c r="G534" s="3" t="s">
        <v>6161</v>
      </c>
      <c r="H534" t="str">
        <f t="shared" si="233"/>
        <v xml:space="preserve">Панова Ольга Владимировна</v>
      </c>
      <c r="I534" s="5">
        <f>IFERROR(IF(ISNUMBER(FIND("-",C534)),DATE(VALUE(LEFT(C534,4)),VALUE(MID(C534,6,2)),VALUE(RIGHT(C534,2))),IF(ISNUMBER(FIND(".",C534)),DATE(VALUE(RIGHT(C534,4)),VALUE(MID(C534,4,2)),VALUE(LEFT(C534,2))),DATE(VALUE(RIGHT(C534,4)),VLOOKUP(TRIM(MID(C534,FIND(" ",C534)+1,LEN(C534)-FIND(" ",C534)-5)),Справочники!$M$3:$N$14,2,0),VALUE(LEFT(C534,FIND(" ",C534)-1))))),"")</f>
        <v>30615</v>
      </c>
      <c r="J534" s="6">
        <f t="shared" si="234"/>
        <v>42</v>
      </c>
      <c r="K534" t="str">
        <f t="shared" si="235"/>
        <v>ОК</v>
      </c>
      <c r="L534" s="5">
        <f>IFERROR(IF(ISNUMBER(FIND("-",G534)),DATE(VALUE(LEFT(G534,4)),VALUE(MID(G534,6,2)),VALUE(RIGHT(G534,2))),IF(ISNUMBER(FIND(".",G534)),DATE(VALUE(RIGHT(G534,4)),VALUE(MID(G534,4,2)),VALUE(LEFT(G534,2))),DATE(VALUE(RIGHT(G534,4)),VLOOKUP(TRIM(MID(G534,FIND(" ",G534)+1,LEN(G534)-FIND(" ",G534)-5)),Справочники!$M$3:$N$14,2,0),VALUE(LEFT(G534,FIND(" ",G534)-1))))),"")</f>
        <v>49958</v>
      </c>
      <c r="M534" t="str">
        <f t="shared" si="236"/>
        <v xml:space="preserve">+7 (903) 345-67-89</v>
      </c>
      <c r="N534" t="str">
        <f t="shared" si="237"/>
        <v>panova@yandex</v>
      </c>
      <c r="O534" t="str">
        <f t="shared" si="238"/>
        <v xml:space="preserve">Ошибка Email</v>
      </c>
      <c r="P534" t="str">
        <f>IFERROR(VLOOKUP(TRIM(SUBSTITUTE(SUBSTITUTE(" "&amp;F534," г "," "),"г.","")),Справочники!$J$3:$K$102,2,0),TRIM(SUBSTITUTE(SUBSTITUTE(" "&amp;F534," г "," "),"г.","")))</f>
        <v>Рубцовск</v>
      </c>
    </row>
    <row r="535">
      <c r="A535" s="3" t="s">
        <v>3097</v>
      </c>
      <c r="B535" s="3" t="s">
        <v>6162</v>
      </c>
      <c r="C535" s="3" t="s">
        <v>6163</v>
      </c>
      <c r="D535" s="3" t="s">
        <v>4085</v>
      </c>
      <c r="E535" s="3" t="s">
        <v>6164</v>
      </c>
      <c r="F535" s="3" t="s">
        <v>4345</v>
      </c>
      <c r="G535" s="3" t="s">
        <v>6165</v>
      </c>
      <c r="H535" t="str">
        <f t="shared" si="233"/>
        <v xml:space="preserve">Житков Илья Сергеевич</v>
      </c>
      <c r="I535" s="5">
        <f>IFERROR(IF(ISNUMBER(FIND("-",C535)),DATE(VALUE(LEFT(C535,4)),VALUE(MID(C535,6,2)),VALUE(RIGHT(C535,2))),IF(ISNUMBER(FIND(".",C535)),DATE(VALUE(RIGHT(C535,4)),VALUE(MID(C535,4,2)),VALUE(LEFT(C535,2))),DATE(VALUE(RIGHT(C535,4)),VLOOKUP(TRIM(MID(C535,FIND(" ",C535)+1,LEN(C535)-FIND(" ",C535)-5)),Справочники!$M$3:$N$14,2,0),VALUE(LEFT(C535,FIND(" ",C535)-1))))),"")</f>
        <v>33406</v>
      </c>
      <c r="J535" s="6">
        <f t="shared" si="234"/>
        <v>35</v>
      </c>
      <c r="K535" t="str">
        <f t="shared" si="235"/>
        <v>ОК</v>
      </c>
      <c r="L535" s="5">
        <f>IFERROR(IF(ISNUMBER(FIND("-",G535)),DATE(VALUE(LEFT(G535,4)),VALUE(MID(G535,6,2)),VALUE(RIGHT(G535,2))),IF(ISNUMBER(FIND(".",G535)),DATE(VALUE(RIGHT(G535,4)),VALUE(MID(G535,4,2)),VALUE(LEFT(G535,2))),DATE(VALUE(RIGHT(G535,4)),VLOOKUP(TRIM(MID(G535,FIND(" ",G535)+1,LEN(G535)-FIND(" ",G535)-5)),Справочники!$M$3:$N$14,2,0),VALUE(LEFT(G535,FIND(" ",G535)-1))))),"")</f>
        <v>49958</v>
      </c>
      <c r="M535" t="str">
        <f t="shared" si="236"/>
        <v xml:space="preserve">+7 (903) 456-78-90</v>
      </c>
      <c r="N535" t="str">
        <f t="shared" si="237"/>
        <v>zhitkov@gmail</v>
      </c>
      <c r="O535" t="str">
        <f t="shared" si="238"/>
        <v xml:space="preserve">Ошибка Email</v>
      </c>
      <c r="P535" t="str">
        <f>IFERROR(VLOOKUP(TRIM(SUBSTITUTE(SUBSTITUTE(" "&amp;F535," г "," "),"г.","")),Справочники!$J$3:$K$102,2,0),TRIM(SUBSTITUTE(SUBSTITUTE(" "&amp;F535," г "," "),"г.","")))</f>
        <v>Элиста</v>
      </c>
    </row>
    <row r="536">
      <c r="A536" s="3" t="s">
        <v>3099</v>
      </c>
      <c r="B536" s="3" t="s">
        <v>6166</v>
      </c>
      <c r="C536" s="3" t="s">
        <v>6167</v>
      </c>
      <c r="D536" s="3" t="s">
        <v>1591</v>
      </c>
      <c r="E536" s="3" t="s">
        <v>6168</v>
      </c>
      <c r="F536" s="3" t="s">
        <v>4350</v>
      </c>
      <c r="G536" s="3" t="s">
        <v>6169</v>
      </c>
      <c r="H536" t="str">
        <f t="shared" si="233"/>
        <v xml:space="preserve">Кузьмичева Екатерина Алексеевна</v>
      </c>
      <c r="I536" s="5">
        <f>IFERROR(IF(ISNUMBER(FIND("-",C536)),DATE(VALUE(LEFT(C536,4)),VALUE(MID(C536,6,2)),VALUE(RIGHT(C536,2))),IF(ISNUMBER(FIND(".",C536)),DATE(VALUE(RIGHT(C536,4)),VALUE(MID(C536,4,2)),VALUE(LEFT(C536,2))),DATE(VALUE(RIGHT(C536,4)),VLOOKUP(TRIM(MID(C536,FIND(" ",C536)+1,LEN(C536)-FIND(" ",C536)-5)),Справочники!$M$3:$N$14,2,0),VALUE(LEFT(C536,FIND(" ",C536)-1))))),"")</f>
        <v>28922</v>
      </c>
      <c r="J536" s="6">
        <f t="shared" si="234"/>
        <v>47</v>
      </c>
      <c r="K536" t="str">
        <f t="shared" si="235"/>
        <v>ОК</v>
      </c>
      <c r="L536" s="5">
        <f>IFERROR(IF(ISNUMBER(FIND("-",G536)),DATE(VALUE(LEFT(G536,4)),VALUE(MID(G536,6,2)),VALUE(RIGHT(G536,2))),IF(ISNUMBER(FIND(".",G536)),DATE(VALUE(RIGHT(G536,4)),VALUE(MID(G536,4,2)),VALUE(LEFT(G536,2))),DATE(VALUE(RIGHT(G536,4)),VLOOKUP(TRIM(MID(G536,FIND(" ",G536)+1,LEN(G536)-FIND(" ",G536)-5)),Справочники!$M$3:$N$14,2,0),VALUE(LEFT(G536,FIND(" ",G536)-1))))),"")</f>
        <v>49980</v>
      </c>
      <c r="M536" t="str">
        <f t="shared" si="236"/>
        <v xml:space="preserve">+7 (903) 456-78-90</v>
      </c>
      <c r="N536" t="str">
        <f t="shared" si="237"/>
        <v>kuzmicheva@mail</v>
      </c>
      <c r="O536" t="str">
        <f t="shared" si="238"/>
        <v xml:space="preserve">Ошибка Email</v>
      </c>
      <c r="P536" t="str">
        <f>IFERROR(VLOOKUP(TRIM(SUBSTITUTE(SUBSTITUTE(" "&amp;F536," г "," "),"г.","")),Справочники!$J$3:$K$102,2,0),TRIM(SUBSTITUTE(SUBSTITUTE(" "&amp;F536," г "," "),"г.","")))</f>
        <v>Орск</v>
      </c>
    </row>
    <row r="537">
      <c r="A537" s="3" t="s">
        <v>3100</v>
      </c>
      <c r="B537" s="3" t="s">
        <v>6170</v>
      </c>
      <c r="C537" s="3" t="s">
        <v>6171</v>
      </c>
      <c r="D537" s="3" t="s">
        <v>1660</v>
      </c>
      <c r="E537" s="3" t="s">
        <v>6172</v>
      </c>
      <c r="F537" s="3" t="s">
        <v>4355</v>
      </c>
      <c r="G537" s="3" t="s">
        <v>6173</v>
      </c>
      <c r="H537" t="str">
        <f t="shared" si="233"/>
        <v xml:space="preserve">Филимонов Андрей Олегович</v>
      </c>
      <c r="I537" s="5">
        <f>IFERROR(IF(ISNUMBER(FIND("-",C537)),DATE(VALUE(LEFT(C537,4)),VALUE(MID(C537,6,2)),VALUE(RIGHT(C537,2))),IF(ISNUMBER(FIND(".",C537)),DATE(VALUE(RIGHT(C537,4)),VALUE(MID(C537,4,2)),VALUE(LEFT(C537,2))),DATE(VALUE(RIGHT(C537,4)),VLOOKUP(TRIM(MID(C537,FIND(" ",C537)+1,LEN(C537)-FIND(" ",C537)-5)),Справочники!$M$3:$N$14,2,0),VALUE(LEFT(C537,FIND(" ",C537)-1))))),"")</f>
        <v>31649</v>
      </c>
      <c r="J537" s="6">
        <f t="shared" si="234"/>
        <v>40</v>
      </c>
      <c r="K537" t="str">
        <f t="shared" si="235"/>
        <v>ОК</v>
      </c>
      <c r="L537" s="5">
        <f>IFERROR(IF(ISNUMBER(FIND("-",G537)),DATE(VALUE(LEFT(G537,4)),VALUE(MID(G537,6,2)),VALUE(RIGHT(G537,2))),IF(ISNUMBER(FIND(".",G537)),DATE(VALUE(RIGHT(G537,4)),VALUE(MID(G537,4,2)),VALUE(LEFT(G537,2))),DATE(VALUE(RIGHT(G537,4)),VLOOKUP(TRIM(MID(G537,FIND(" ",G537)+1,LEN(G537)-FIND(" ",G537)-5)),Справочники!$M$3:$N$14,2,0),VALUE(LEFT(G537,FIND(" ",G537)-1))))),"")</f>
        <v>49994</v>
      </c>
      <c r="M537" t="str">
        <f t="shared" si="236"/>
        <v xml:space="preserve">+7 (903) 456-78-90</v>
      </c>
      <c r="N537" t="str">
        <f t="shared" si="237"/>
        <v>filimonov@yandex</v>
      </c>
      <c r="O537" t="str">
        <f t="shared" si="238"/>
        <v xml:space="preserve">Ошибка Email</v>
      </c>
      <c r="P537" t="str">
        <f>IFERROR(VLOOKUP(TRIM(SUBSTITUTE(SUBSTITUTE(" "&amp;F537," г "," "),"г.","")),Справочники!$J$3:$K$102,2,0),TRIM(SUBSTITUTE(SUBSTITUTE(" "&amp;F537," г "," "),"г.","")))</f>
        <v>Нижневартовск</v>
      </c>
    </row>
    <row r="538">
      <c r="A538" s="3" t="s">
        <v>3103</v>
      </c>
      <c r="B538" s="3" t="s">
        <v>6174</v>
      </c>
      <c r="C538" s="3" t="s">
        <v>6175</v>
      </c>
      <c r="D538" s="3" t="s">
        <v>3984</v>
      </c>
      <c r="E538" s="3" t="s">
        <v>6176</v>
      </c>
      <c r="F538" s="3" t="s">
        <v>4360</v>
      </c>
      <c r="G538" s="3" t="s">
        <v>6177</v>
      </c>
      <c r="H538" t="str">
        <f t="shared" si="233"/>
        <v xml:space="preserve">Шестакова Мария Павловна</v>
      </c>
      <c r="I538" s="5">
        <f>IFERROR(IF(ISNUMBER(FIND("-",C538)),DATE(VALUE(LEFT(C538,4)),VALUE(MID(C538,6,2)),VALUE(RIGHT(C538,2))),IF(ISNUMBER(FIND(".",C538)),DATE(VALUE(RIGHT(C538,4)),VALUE(MID(C538,4,2)),VALUE(LEFT(C538,2))),DATE(VALUE(RIGHT(C538,4)),VLOOKUP(TRIM(MID(C538,FIND(" ",C538)+1,LEN(C538)-FIND(" ",C538)-5)),Справочники!$M$3:$N$14,2,0),VALUE(LEFT(C538,FIND(" ",C538)-1))))),"")</f>
        <v>26286</v>
      </c>
      <c r="J538" s="6">
        <f t="shared" si="234"/>
        <v>54</v>
      </c>
      <c r="K538" t="str">
        <f t="shared" si="235"/>
        <v>ОК</v>
      </c>
      <c r="L538" s="5">
        <f>IFERROR(IF(ISNUMBER(FIND("-",G538)),DATE(VALUE(LEFT(G538,4)),VALUE(MID(G538,6,2)),VALUE(RIGHT(G538,2))),IF(ISNUMBER(FIND(".",G538)),DATE(VALUE(RIGHT(G538,4)),VALUE(MID(G538,4,2)),VALUE(LEFT(G538,2))),DATE(VALUE(RIGHT(G538,4)),VLOOKUP(TRIM(MID(G538,FIND(" ",G538)+1,LEN(G538)-FIND(" ",G538)-5)),Справочники!$M$3:$N$14,2,0),VALUE(LEFT(G538,FIND(" ",G538)-1))))),"")</f>
        <v>49994</v>
      </c>
      <c r="M538" t="str">
        <f t="shared" si="236"/>
        <v xml:space="preserve">+7 (903) 567-89-01</v>
      </c>
      <c r="N538" t="str">
        <f t="shared" si="237"/>
        <v>shestakova@gmail</v>
      </c>
      <c r="O538" t="str">
        <f t="shared" si="238"/>
        <v xml:space="preserve">Ошибка Email</v>
      </c>
      <c r="P538" t="str">
        <f>IFERROR(VLOOKUP(TRIM(SUBSTITUTE(SUBSTITUTE(" "&amp;F538," г "," "),"г.","")),Справочники!$J$3:$K$102,2,0),TRIM(SUBSTITUTE(SUBSTITUTE(" "&amp;F538," г "," "),"г.","")))</f>
        <v>Новороссийск</v>
      </c>
    </row>
    <row r="539">
      <c r="A539" s="3" t="s">
        <v>3105</v>
      </c>
      <c r="B539" s="3" t="s">
        <v>6178</v>
      </c>
      <c r="C539" s="3" t="s">
        <v>6179</v>
      </c>
      <c r="D539" s="3" t="s">
        <v>3990</v>
      </c>
      <c r="E539" s="3" t="s">
        <v>6180</v>
      </c>
      <c r="F539" s="3" t="s">
        <v>4365</v>
      </c>
      <c r="G539" s="3" t="s">
        <v>6181</v>
      </c>
      <c r="H539" t="str">
        <f t="shared" si="233"/>
        <v xml:space="preserve">Барышников Денис Викторович</v>
      </c>
      <c r="I539" s="5">
        <f>IFERROR(IF(ISNUMBER(FIND("-",C539)),DATE(VALUE(LEFT(C539,4)),VALUE(MID(C539,6,2)),VALUE(RIGHT(C539,2))),IF(ISNUMBER(FIND(".",C539)),DATE(VALUE(RIGHT(C539,4)),VALUE(MID(C539,4,2)),VALUE(LEFT(C539,2))),DATE(VALUE(RIGHT(C539,4)),VLOOKUP(TRIM(MID(C539,FIND(" ",C539)+1,LEN(C539)-FIND(" ",C539)-5)),Справочники!$M$3:$N$14,2,0),VALUE(LEFT(C539,FIND(" ",C539)-1))))),"")</f>
        <v>30083</v>
      </c>
      <c r="J539" s="6">
        <f t="shared" si="234"/>
        <v>44</v>
      </c>
      <c r="K539" t="str">
        <f t="shared" si="235"/>
        <v>ОК</v>
      </c>
      <c r="L539" s="5">
        <f>IFERROR(IF(ISNUMBER(FIND("-",G539)),DATE(VALUE(LEFT(G539,4)),VALUE(MID(G539,6,2)),VALUE(RIGHT(G539,2))),IF(ISNUMBER(FIND(".",G539)),DATE(VALUE(RIGHT(G539,4)),VALUE(MID(G539,4,2)),VALUE(LEFT(G539,2))),DATE(VALUE(RIGHT(G539,4)),VLOOKUP(TRIM(MID(G539,FIND(" ",G539)+1,LEN(G539)-FIND(" ",G539)-5)),Справочники!$M$3:$N$14,2,0),VALUE(LEFT(G539,FIND(" ",G539)-1))))),"")</f>
        <v>50010</v>
      </c>
      <c r="M539" t="str">
        <f t="shared" si="236"/>
        <v xml:space="preserve">+7 (903) 567-89-01</v>
      </c>
      <c r="N539" t="str">
        <f t="shared" si="237"/>
        <v>baryshnikov@mail</v>
      </c>
      <c r="O539" t="str">
        <f t="shared" si="238"/>
        <v xml:space="preserve">Ошибка Email</v>
      </c>
      <c r="P539" t="str">
        <f>IFERROR(VLOOKUP(TRIM(SUBSTITUTE(SUBSTITUTE(" "&amp;F539," г "," "),"г.","")),Справочники!$J$3:$K$102,2,0),TRIM(SUBSTITUTE(SUBSTITUTE(" "&amp;F539," г "," "),"г.","")))</f>
        <v>Химки</v>
      </c>
    </row>
    <row r="540">
      <c r="A540" s="3" t="s">
        <v>3107</v>
      </c>
      <c r="B540" s="3" t="s">
        <v>6182</v>
      </c>
      <c r="C540" s="3" t="s">
        <v>6183</v>
      </c>
      <c r="D540" s="3" t="s">
        <v>1598</v>
      </c>
      <c r="E540" s="3" t="s">
        <v>6184</v>
      </c>
      <c r="F540" s="3" t="s">
        <v>4370</v>
      </c>
      <c r="G540" s="3" t="s">
        <v>6185</v>
      </c>
      <c r="H540" t="str">
        <f t="shared" si="233"/>
        <v xml:space="preserve">Лапшина Ольга Сергеевна</v>
      </c>
      <c r="I540" s="5">
        <f>IFERROR(IF(ISNUMBER(FIND("-",C540)),DATE(VALUE(LEFT(C540,4)),VALUE(MID(C540,6,2)),VALUE(RIGHT(C540,2))),IF(ISNUMBER(FIND(".",C540)),DATE(VALUE(RIGHT(C540,4)),VALUE(MID(C540,4,2)),VALUE(LEFT(C540,2))),DATE(VALUE(RIGHT(C540,4)),VLOOKUP(TRIM(MID(C540,FIND(" ",C540)+1,LEN(C540)-FIND(" ",C540)-5)),Справочники!$M$3:$N$14,2,0),VALUE(LEFT(C540,FIND(" ",C540)-1))))),"")</f>
        <v>32352</v>
      </c>
      <c r="J540" s="6">
        <f t="shared" si="234"/>
        <v>38</v>
      </c>
      <c r="K540" t="str">
        <f t="shared" si="235"/>
        <v>ОК</v>
      </c>
      <c r="L540" s="5">
        <f>IFERROR(IF(ISNUMBER(FIND("-",G540)),DATE(VALUE(LEFT(G540,4)),VALUE(MID(G540,6,2)),VALUE(RIGHT(G540,2))),IF(ISNUMBER(FIND(".",G540)),DATE(VALUE(RIGHT(G540,4)),VALUE(MID(G540,4,2)),VALUE(LEFT(G540,2))),DATE(VALUE(RIGHT(G540,4)),VLOOKUP(TRIM(MID(G540,FIND(" ",G540)+1,LEN(G540)-FIND(" ",G540)-5)),Справочники!$M$3:$N$14,2,0),VALUE(LEFT(G540,FIND(" ",G540)-1))))),"")</f>
        <v>50019</v>
      </c>
      <c r="M540" t="str">
        <f t="shared" si="236"/>
        <v xml:space="preserve">+7 (903) 567-89-01</v>
      </c>
      <c r="N540" t="str">
        <f t="shared" si="237"/>
        <v>lapshina@yandex</v>
      </c>
      <c r="O540" t="str">
        <f t="shared" si="238"/>
        <v xml:space="preserve">Ошибка Email</v>
      </c>
      <c r="P540" t="str">
        <f>IFERROR(VLOOKUP(TRIM(SUBSTITUTE(SUBSTITUTE(" "&amp;F540," г "," "),"г.","")),Справочники!$J$3:$K$102,2,0),TRIM(SUBSTITUTE(SUBSTITUTE(" "&amp;F540," г "," "),"г.","")))</f>
        <v>Подольск</v>
      </c>
    </row>
    <row r="541">
      <c r="A541" s="3" t="s">
        <v>3109</v>
      </c>
      <c r="B541" s="3" t="s">
        <v>6186</v>
      </c>
      <c r="C541" s="3" t="s">
        <v>6187</v>
      </c>
      <c r="D541" s="3" t="s">
        <v>4116</v>
      </c>
      <c r="E541" s="3" t="s">
        <v>6188</v>
      </c>
      <c r="F541" s="3" t="s">
        <v>4375</v>
      </c>
      <c r="G541" s="3" t="s">
        <v>6189</v>
      </c>
      <c r="H541" t="str">
        <f t="shared" si="233"/>
        <v xml:space="preserve">Сергеев Илья Николаевич</v>
      </c>
      <c r="I541" s="5">
        <f>IFERROR(IF(ISNUMBER(FIND("-",C541)),DATE(VALUE(LEFT(C541,4)),VALUE(MID(C541,6,2)),VALUE(RIGHT(C541,2))),IF(ISNUMBER(FIND(".",C541)),DATE(VALUE(RIGHT(C541,4)),VALUE(MID(C541,4,2)),VALUE(LEFT(C541,2))),DATE(VALUE(RIGHT(C541,4)),VLOOKUP(TRIM(MID(C541,FIND(" ",C541)+1,LEN(C541)-FIND(" ",C541)-5)),Справочники!$M$3:$N$14,2,0),VALUE(LEFT(C541,FIND(" ",C541)-1))))),"")</f>
        <v>28037</v>
      </c>
      <c r="J541" s="6">
        <f t="shared" si="234"/>
        <v>50</v>
      </c>
      <c r="K541" t="str">
        <f t="shared" si="235"/>
        <v>ОК</v>
      </c>
      <c r="L541" s="5">
        <f>IFERROR(IF(ISNUMBER(FIND("-",G541)),DATE(VALUE(LEFT(G541,4)),VALUE(MID(G541,6,2)),VALUE(RIGHT(G541,2))),IF(ISNUMBER(FIND(".",G541)),DATE(VALUE(RIGHT(G541,4)),VALUE(MID(G541,4,2)),VALUE(LEFT(G541,2))),DATE(VALUE(RIGHT(G541,4)),VLOOKUP(TRIM(MID(G541,FIND(" ",G541)+1,LEN(G541)-FIND(" ",G541)-5)),Справочники!$M$3:$N$14,2,0),VALUE(LEFT(G541,FIND(" ",G541)-1))))),"")</f>
        <v>50019</v>
      </c>
      <c r="M541" t="str">
        <f t="shared" si="236"/>
        <v xml:space="preserve">+7 (903) 678-90-12</v>
      </c>
      <c r="N541" t="str">
        <f t="shared" si="237"/>
        <v>sergeev@gmail</v>
      </c>
      <c r="O541" t="str">
        <f t="shared" si="238"/>
        <v xml:space="preserve">Ошибка Email</v>
      </c>
      <c r="P541" t="str">
        <f>IFERROR(VLOOKUP(TRIM(SUBSTITUTE(SUBSTITUTE(" "&amp;F541," г "," "),"г.","")),Справочники!$J$3:$K$102,2,0),TRIM(SUBSTITUTE(SUBSTITUTE(" "&amp;F541," г "," "),"г.","")))</f>
        <v>Балашиха</v>
      </c>
    </row>
    <row r="542">
      <c r="A542" s="3" t="s">
        <v>3111</v>
      </c>
      <c r="B542" s="3" t="s">
        <v>6190</v>
      </c>
      <c r="C542" s="3" t="s">
        <v>6191</v>
      </c>
      <c r="D542" s="3" t="s">
        <v>4122</v>
      </c>
      <c r="E542" s="3" t="s">
        <v>6192</v>
      </c>
      <c r="F542" s="3" t="s">
        <v>4380</v>
      </c>
      <c r="G542" s="3" t="s">
        <v>6193</v>
      </c>
      <c r="H542" t="str">
        <f t="shared" si="233"/>
        <v xml:space="preserve">Аникина Екатерина Владимировна</v>
      </c>
      <c r="I542" s="5">
        <f>IFERROR(IF(ISNUMBER(FIND("-",C542)),DATE(VALUE(LEFT(C542,4)),VALUE(MID(C542,6,2)),VALUE(RIGHT(C542,2))),IF(ISNUMBER(FIND(".",C542)),DATE(VALUE(RIGHT(C542,4)),VALUE(MID(C542,4,2)),VALUE(LEFT(C542,2))),DATE(VALUE(RIGHT(C542,4)),VLOOKUP(TRIM(MID(C542,FIND(" ",C542)+1,LEN(C542)-FIND(" ",C542)-5)),Справочники!$M$3:$N$14,2,0),VALUE(LEFT(C542,FIND(" ",C542)-1))))),"")</f>
        <v>30704</v>
      </c>
      <c r="J542" s="6">
        <f t="shared" si="234"/>
        <v>42</v>
      </c>
      <c r="K542" t="str">
        <f t="shared" si="235"/>
        <v>ОК</v>
      </c>
      <c r="L542" s="5">
        <f>IFERROR(IF(ISNUMBER(FIND("-",G542)),DATE(VALUE(LEFT(G542,4)),VALUE(MID(G542,6,2)),VALUE(RIGHT(G542,2))),IF(ISNUMBER(FIND(".",G542)),DATE(VALUE(RIGHT(G542,4)),VALUE(MID(G542,4,2)),VALUE(LEFT(G542,2))),DATE(VALUE(RIGHT(G542,4)),VLOOKUP(TRIM(MID(G542,FIND(" ",G542)+1,LEN(G542)-FIND(" ",G542)-5)),Справочники!$M$3:$N$14,2,0),VALUE(LEFT(G542,FIND(" ",G542)-1))))),"")</f>
        <v>50041</v>
      </c>
      <c r="M542" t="str">
        <f t="shared" si="236"/>
        <v xml:space="preserve">+7 (903) 678-90-12</v>
      </c>
      <c r="N542" t="str">
        <f t="shared" si="237"/>
        <v>anikina@mail</v>
      </c>
      <c r="O542" t="str">
        <f t="shared" si="238"/>
        <v xml:space="preserve">Ошибка Email</v>
      </c>
      <c r="P542" t="str">
        <f>IFERROR(VLOOKUP(TRIM(SUBSTITUTE(SUBSTITUTE(" "&amp;F542," г "," "),"г.","")),Справочники!$J$3:$K$102,2,0),TRIM(SUBSTITUTE(SUBSTITUTE(" "&amp;F542," г "," "),"г.","")))</f>
        <v>Сургут</v>
      </c>
    </row>
    <row r="543">
      <c r="A543" s="3" t="s">
        <v>3112</v>
      </c>
      <c r="B543" s="3" t="s">
        <v>6194</v>
      </c>
      <c r="C543" s="3" t="s">
        <v>6195</v>
      </c>
      <c r="D543" s="3" t="s">
        <v>1605</v>
      </c>
      <c r="E543" s="3" t="s">
        <v>6196</v>
      </c>
      <c r="F543" s="3" t="s">
        <v>4385</v>
      </c>
      <c r="G543" s="3" t="s">
        <v>6197</v>
      </c>
      <c r="H543" t="str">
        <f t="shared" si="233"/>
        <v xml:space="preserve">Гуляев Андрей Олегович</v>
      </c>
      <c r="I543" s="5">
        <f>IFERROR(IF(ISNUMBER(FIND("-",C543)),DATE(VALUE(LEFT(C543,4)),VALUE(MID(C543,6,2)),VALUE(RIGHT(C543,2))),IF(ISNUMBER(FIND(".",C543)),DATE(VALUE(RIGHT(C543,4)),VALUE(MID(C543,4,2)),VALUE(LEFT(C543,2))),DATE(VALUE(RIGHT(C543,4)),VLOOKUP(TRIM(MID(C543,FIND(" ",C543)+1,LEN(C543)-FIND(" ",C543)-5)),Справочники!$M$3:$N$14,2,0),VALUE(LEFT(C543,FIND(" ",C543)-1))))),"")</f>
        <v>33039</v>
      </c>
      <c r="J543" s="6">
        <f t="shared" si="234"/>
        <v>36</v>
      </c>
      <c r="K543" t="str">
        <f t="shared" si="235"/>
        <v>ОК</v>
      </c>
      <c r="L543" s="5">
        <f>IFERROR(IF(ISNUMBER(FIND("-",G543)),DATE(VALUE(LEFT(G543,4)),VALUE(MID(G543,6,2)),VALUE(RIGHT(G543,2))),IF(ISNUMBER(FIND(".",G543)),DATE(VALUE(RIGHT(G543,4)),VALUE(MID(G543,4,2)),VALUE(LEFT(G543,2))),DATE(VALUE(RIGHT(G543,4)),VLOOKUP(TRIM(MID(G543,FIND(" ",G543)+1,LEN(G543)-FIND(" ",G543)-5)),Справочники!$M$3:$N$14,2,0),VALUE(LEFT(G543,FIND(" ",G543)-1))))),"")</f>
        <v>50055</v>
      </c>
      <c r="M543" t="str">
        <f t="shared" si="236"/>
        <v xml:space="preserve">+7 (903) 678-90-12</v>
      </c>
      <c r="N543" t="str">
        <f t="shared" si="237"/>
        <v>gulyaev@yandex</v>
      </c>
      <c r="O543" t="str">
        <f t="shared" si="238"/>
        <v xml:space="preserve">Ошибка Email</v>
      </c>
      <c r="P543" t="str">
        <f>IFERROR(VLOOKUP(TRIM(SUBSTITUTE(SUBSTITUTE(" "&amp;F543," г "," "),"г.","")),Справочники!$J$3:$K$102,2,0),TRIM(SUBSTITUTE(SUBSTITUTE(" "&amp;F543," г "," "),"г.","")))</f>
        <v>Армавир</v>
      </c>
    </row>
    <row r="544">
      <c r="A544" s="3" t="s">
        <v>3114</v>
      </c>
      <c r="B544" s="3" t="s">
        <v>6198</v>
      </c>
      <c r="C544" s="3" t="s">
        <v>6199</v>
      </c>
      <c r="D544" s="3" t="s">
        <v>4001</v>
      </c>
      <c r="E544" s="3" t="s">
        <v>6200</v>
      </c>
      <c r="F544" s="3" t="s">
        <v>4390</v>
      </c>
      <c r="G544" s="3" t="s">
        <v>6201</v>
      </c>
      <c r="H544" t="str">
        <f t="shared" si="233"/>
        <v xml:space="preserve">Малышева Мария Сергеевна</v>
      </c>
      <c r="I544" s="5">
        <f>IFERROR(IF(ISNUMBER(FIND("-",C544)),DATE(VALUE(LEFT(C544,4)),VALUE(MID(C544,6,2)),VALUE(RIGHT(C544,2))),IF(ISNUMBER(FIND(".",C544)),DATE(VALUE(RIGHT(C544,4)),VALUE(MID(C544,4,2)),VALUE(LEFT(C544,2))),DATE(VALUE(RIGHT(C544,4)),VLOOKUP(TRIM(MID(C544,FIND(" ",C544)+1,LEN(C544)-FIND(" ",C544)-5)),Справочники!$M$3:$N$14,2,0),VALUE(LEFT(C544,FIND(" ",C544)-1))))),"")</f>
        <v>28438</v>
      </c>
      <c r="J544" s="6">
        <f t="shared" si="234"/>
        <v>48</v>
      </c>
      <c r="K544" t="str">
        <f t="shared" si="235"/>
        <v>ОК</v>
      </c>
      <c r="L544" s="5">
        <f>IFERROR(IF(ISNUMBER(FIND("-",G544)),DATE(VALUE(LEFT(G544,4)),VALUE(MID(G544,6,2)),VALUE(RIGHT(G544,2))),IF(ISNUMBER(FIND(".",G544)),DATE(VALUE(RIGHT(G544,4)),VALUE(MID(G544,4,2)),VALUE(LEFT(G544,2))),DATE(VALUE(RIGHT(G544,4)),VLOOKUP(TRIM(MID(G544,FIND(" ",G544)+1,LEN(G544)-FIND(" ",G544)-5)),Справочники!$M$3:$N$14,2,0),VALUE(LEFT(G544,FIND(" ",G544)-1))))),"")</f>
        <v>50055</v>
      </c>
      <c r="M544" t="str">
        <f t="shared" si="236"/>
        <v xml:space="preserve">+7 (903) 789-01-23</v>
      </c>
      <c r="N544" t="str">
        <f t="shared" si="237"/>
        <v>malysheva@gmail</v>
      </c>
      <c r="O544" t="str">
        <f t="shared" si="238"/>
        <v xml:space="preserve">Ошибка Email</v>
      </c>
      <c r="P544" t="str">
        <f>IFERROR(VLOOKUP(TRIM(SUBSTITUTE(SUBSTITUTE(" "&amp;F544," г "," "),"г.","")),Справочники!$J$3:$K$102,2,0),TRIM(SUBSTITUTE(SUBSTITUTE(" "&amp;F544," г "," "),"г.","")))</f>
        <v>Волжский</v>
      </c>
    </row>
    <row r="545">
      <c r="A545" s="3" t="s">
        <v>3115</v>
      </c>
      <c r="B545" s="3" t="s">
        <v>6202</v>
      </c>
      <c r="C545" s="3" t="s">
        <v>6203</v>
      </c>
      <c r="D545" s="3" t="s">
        <v>4138</v>
      </c>
      <c r="E545" s="3" t="s">
        <v>6204</v>
      </c>
      <c r="F545" s="3" t="s">
        <v>4395</v>
      </c>
      <c r="G545" s="3" t="s">
        <v>6205</v>
      </c>
      <c r="H545" t="str">
        <f t="shared" si="233"/>
        <v xml:space="preserve">Снегирев Денис Павлович</v>
      </c>
      <c r="I545" s="5">
        <f>IFERROR(IF(ISNUMBER(FIND("-",C545)),DATE(VALUE(LEFT(C545,4)),VALUE(MID(C545,6,2)),VALUE(RIGHT(C545,2))),IF(ISNUMBER(FIND(".",C545)),DATE(VALUE(RIGHT(C545,4)),VALUE(MID(C545,4,2)),VALUE(LEFT(C545,2))),DATE(VALUE(RIGHT(C545,4)),VLOOKUP(TRIM(MID(C545,FIND(" ",C545)+1,LEN(C545)-FIND(" ",C545)-5)),Справочники!$M$3:$N$14,2,0),VALUE(LEFT(C545,FIND(" ",C545)-1))))),"")</f>
        <v>31139</v>
      </c>
      <c r="J545" s="6">
        <f t="shared" si="234"/>
        <v>41</v>
      </c>
      <c r="K545" t="str">
        <f t="shared" si="235"/>
        <v>ОК</v>
      </c>
      <c r="L545" s="5">
        <f>IFERROR(IF(ISNUMBER(FIND("-",G545)),DATE(VALUE(LEFT(G545,4)),VALUE(MID(G545,6,2)),VALUE(RIGHT(G545,2))),IF(ISNUMBER(FIND(".",G545)),DATE(VALUE(RIGHT(G545,4)),VALUE(MID(G545,4,2)),VALUE(LEFT(G545,2))),DATE(VALUE(RIGHT(G545,4)),VLOOKUP(TRIM(MID(G545,FIND(" ",G545)+1,LEN(G545)-FIND(" ",G545)-5)),Справочники!$M$3:$N$14,2,0),VALUE(LEFT(G545,FIND(" ",G545)-1))))),"")</f>
        <v>50072</v>
      </c>
      <c r="M545" t="str">
        <f t="shared" si="236"/>
        <v xml:space="preserve">+7 (903) 789-01-23</v>
      </c>
      <c r="N545" t="str">
        <f t="shared" si="237"/>
        <v>snegirev@mail</v>
      </c>
      <c r="O545" t="str">
        <f t="shared" si="238"/>
        <v xml:space="preserve">Ошибка Email</v>
      </c>
      <c r="P545" t="str">
        <f>IFERROR(VLOOKUP(TRIM(SUBSTITUTE(SUBSTITUTE(" "&amp;F545," г "," "),"г.","")),Справочники!$J$3:$K$102,2,0),TRIM(SUBSTITUTE(SUBSTITUTE(" "&amp;F545," г "," "),"г.","")))</f>
        <v>Шахты</v>
      </c>
    </row>
    <row r="546">
      <c r="A546" s="3" t="s">
        <v>3117</v>
      </c>
      <c r="B546" s="3" t="s">
        <v>6206</v>
      </c>
      <c r="C546" s="3" t="s">
        <v>6207</v>
      </c>
      <c r="D546" s="3" t="s">
        <v>4144</v>
      </c>
      <c r="E546" s="3" t="s">
        <v>6208</v>
      </c>
      <c r="F546" s="3" t="s">
        <v>4400</v>
      </c>
      <c r="G546" s="3" t="s">
        <v>6209</v>
      </c>
      <c r="H546" t="str">
        <f t="shared" si="233"/>
        <v xml:space="preserve">Блохина Ольга Игоревна</v>
      </c>
      <c r="I546" s="5">
        <f>IFERROR(IF(ISNUMBER(FIND("-",C546)),DATE(VALUE(LEFT(C546,4)),VALUE(MID(C546,6,2)),VALUE(RIGHT(C546,2))),IF(ISNUMBER(FIND(".",C546)),DATE(VALUE(RIGHT(C546,4)),VALUE(MID(C546,4,2)),VALUE(LEFT(C546,2))),DATE(VALUE(RIGHT(C546,4)),VLOOKUP(TRIM(MID(C546,FIND(" ",C546)+1,LEN(C546)-FIND(" ",C546)-5)),Справочники!$M$3:$N$14,2,0),VALUE(LEFT(C546,FIND(" ",C546)-1))))),"")</f>
        <v>33865</v>
      </c>
      <c r="J546" s="6">
        <f t="shared" si="234"/>
        <v>34</v>
      </c>
      <c r="K546" t="str">
        <f t="shared" si="235"/>
        <v>ОК</v>
      </c>
      <c r="L546" s="5">
        <f>IFERROR(IF(ISNUMBER(FIND("-",G546)),DATE(VALUE(LEFT(G546,4)),VALUE(MID(G546,6,2)),VALUE(RIGHT(G546,2))),IF(ISNUMBER(FIND(".",G546)),DATE(VALUE(RIGHT(G546,4)),VALUE(MID(G546,4,2)),VALUE(LEFT(G546,2))),DATE(VALUE(RIGHT(G546,4)),VLOOKUP(TRIM(MID(G546,FIND(" ",G546)+1,LEN(G546)-FIND(" ",G546)-5)),Справочники!$M$3:$N$14,2,0),VALUE(LEFT(G546,FIND(" ",G546)-1))))),"")</f>
        <v>50081</v>
      </c>
      <c r="M546" t="str">
        <f t="shared" si="236"/>
        <v xml:space="preserve">+7 (903) 789-01-23</v>
      </c>
      <c r="N546" t="str">
        <f t="shared" si="237"/>
        <v>blohina@yandex</v>
      </c>
      <c r="O546" t="str">
        <f t="shared" si="238"/>
        <v xml:space="preserve">Ошибка Email</v>
      </c>
      <c r="P546" t="str">
        <f>IFERROR(VLOOKUP(TRIM(SUBSTITUTE(SUBSTITUTE(" "&amp;F546," г "," "),"г.","")),Справочники!$J$3:$K$102,2,0),TRIM(SUBSTITUTE(SUBSTITUTE(" "&amp;F546," г "," "),"г.","")))</f>
        <v>Златоуст</v>
      </c>
    </row>
    <row r="547">
      <c r="A547" s="3" t="s">
        <v>3119</v>
      </c>
      <c r="B547" s="3" t="s">
        <v>6210</v>
      </c>
      <c r="C547" s="3" t="s">
        <v>6211</v>
      </c>
      <c r="D547" s="3" t="s">
        <v>4150</v>
      </c>
      <c r="E547" s="3" t="s">
        <v>6212</v>
      </c>
      <c r="F547" s="3" t="s">
        <v>4405</v>
      </c>
      <c r="G547" s="3" t="s">
        <v>6213</v>
      </c>
      <c r="H547" t="str">
        <f t="shared" si="233"/>
        <v xml:space="preserve">Таранов Илья Александрович</v>
      </c>
      <c r="I547" s="5">
        <f>IFERROR(IF(ISNUMBER(FIND("-",C547)),DATE(VALUE(LEFT(C547,4)),VALUE(MID(C547,6,2)),VALUE(RIGHT(C547,2))),IF(ISNUMBER(FIND(".",C547)),DATE(VALUE(RIGHT(C547,4)),VALUE(MID(C547,4,2)),VALUE(LEFT(C547,2))),DATE(VALUE(RIGHT(C547,4)),VLOOKUP(TRIM(MID(C547,FIND(" ",C547)+1,LEN(C547)-FIND(" ",C547)-5)),Справочники!$M$3:$N$14,2,0),VALUE(LEFT(C547,FIND(" ",C547)-1))))),"")</f>
        <v>27020</v>
      </c>
      <c r="J547" s="6">
        <f t="shared" si="234"/>
        <v>52</v>
      </c>
      <c r="K547" t="str">
        <f t="shared" si="235"/>
        <v>ОК</v>
      </c>
      <c r="L547" s="5">
        <f>IFERROR(IF(ISNUMBER(FIND("-",G547)),DATE(VALUE(LEFT(G547,4)),VALUE(MID(G547,6,2)),VALUE(RIGHT(G547,2))),IF(ISNUMBER(FIND(".",G547)),DATE(VALUE(RIGHT(G547,4)),VALUE(MID(G547,4,2)),VALUE(LEFT(G547,2))),DATE(VALUE(RIGHT(G547,4)),VLOOKUP(TRIM(MID(G547,FIND(" ",G547)+1,LEN(G547)-FIND(" ",G547)-5)),Справочники!$M$3:$N$14,2,0),VALUE(LEFT(G547,FIND(" ",G547)-1))))),"")</f>
        <v>50081</v>
      </c>
      <c r="M547" t="str">
        <f t="shared" si="236"/>
        <v xml:space="preserve">+7 (903) 890-12-34</v>
      </c>
      <c r="N547" t="str">
        <f t="shared" si="237"/>
        <v>taranov@gmail</v>
      </c>
      <c r="O547" t="str">
        <f t="shared" si="238"/>
        <v xml:space="preserve">Ошибка Email</v>
      </c>
      <c r="P547" t="str">
        <f>IFERROR(VLOOKUP(TRIM(SUBSTITUTE(SUBSTITUTE(" "&amp;F547," г "," "),"г.","")),Справочники!$J$3:$K$102,2,0),TRIM(SUBSTITUTE(SUBSTITUTE(" "&amp;F547," г "," "),"г.","")))</f>
        <v>Ангарск</v>
      </c>
    </row>
    <row r="548">
      <c r="A548" s="3" t="s">
        <v>3121</v>
      </c>
      <c r="B548" s="3" t="s">
        <v>6214</v>
      </c>
      <c r="C548" s="3" t="s">
        <v>5913</v>
      </c>
      <c r="D548" s="3" t="s">
        <v>4007</v>
      </c>
      <c r="E548" s="3" t="s">
        <v>6215</v>
      </c>
      <c r="F548" s="3" t="s">
        <v>4410</v>
      </c>
      <c r="G548" s="3" t="s">
        <v>6216</v>
      </c>
      <c r="H548" t="str">
        <f t="shared" ref="H548:H611" si="239">PROPER(TRIM(B548))</f>
        <v xml:space="preserve">Бобылева Екатерина Сергеевна</v>
      </c>
      <c r="I548" s="5">
        <f>IFERROR(IF(ISNUMBER(FIND("-",C548)),DATE(VALUE(LEFT(C548,4)),VALUE(MID(C548,6,2)),VALUE(RIGHT(C548,2))),IF(ISNUMBER(FIND(".",C548)),DATE(VALUE(RIGHT(C548,4)),VALUE(MID(C548,4,2)),VALUE(LEFT(C548,2))),DATE(VALUE(RIGHT(C548,4)),VLOOKUP(TRIM(MID(C548,FIND(" ",C548)+1,LEN(C548)-FIND(" ",C548)-5)),Справочники!$M$3:$N$14,2,0),VALUE(LEFT(C548,FIND(" ",C548)-1))))),"")</f>
        <v>29409</v>
      </c>
      <c r="J548" s="6">
        <f t="shared" ref="J548:J611" si="240">IF(I548="","",DATEDIF(I548,TODAY(),"Y"))</f>
        <v>46</v>
      </c>
      <c r="K548" t="str">
        <f t="shared" ref="K548:K611" si="241">IF(OR(I548="",J548&lt;18,J548&gt;120),"Ошибка даты рождения","ОК")</f>
        <v>ОК</v>
      </c>
      <c r="L548" s="5">
        <f>IFERROR(IF(ISNUMBER(FIND("-",G548)),DATE(VALUE(LEFT(G548,4)),VALUE(MID(G548,6,2)),VALUE(RIGHT(G548,2))),IF(ISNUMBER(FIND(".",G548)),DATE(VALUE(RIGHT(G548,4)),VALUE(MID(G548,4,2)),VALUE(LEFT(G548,2))),DATE(VALUE(RIGHT(G548,4)),VLOOKUP(TRIM(MID(G548,FIND(" ",G548)+1,LEN(G548)-FIND(" ",G548)-5)),Справочники!$M$3:$N$14,2,0),VALUE(LEFT(G548,FIND(" ",G548)-1))))),"")</f>
        <v>50100</v>
      </c>
      <c r="M548" t="str">
        <f t="shared" ref="M548:M611" si="242">IF(LEN(SUBSTITUTE(SUBSTITUTE(SUBSTITUTE(SUBSTITUTE(SUBSTITUTE(D548,"+",""),"-","")," ",""),"(",""),")",""))&lt;10,"Ошибка телефона","+7 ("&amp;MID(RIGHT(SUBSTITUTE(SUBSTITUTE(SUBSTITUTE(SUBSTITUTE(SUBSTITUTE(D548,"+",""),"-","")," ",""),"(",""),")",""),10),1,3)&amp;") "&amp;MID(RIGHT(SUBSTITUTE(SUBSTITUTE(SUBSTITUTE(SUBSTITUTE(SUBSTITUTE(D548,"+",""),"-","")," ",""),"(",""),")",""),10),4,3)&amp;"-"&amp;MID(RIGHT(SUBSTITUTE(SUBSTITUTE(SUBSTITUTE(SUBSTITUTE(SUBSTITUTE(D548,"+",""),"-","")," ",""),"(",""),")",""),10),7,2)&amp;"-"&amp;RIGHT(SUBSTITUTE(SUBSTITUTE(SUBSTITUTE(SUBSTITUTE(SUBSTITUTE(D548,"+",""),"-","")," ",""),"(",""),")",""),2))</f>
        <v xml:space="preserve">+7 (903) 890-12-34</v>
      </c>
      <c r="N548" t="str">
        <f t="shared" ref="N548:N611" si="243">LOWER(SUBSTITUTE(TRIM(E548)," ",""))</f>
        <v>bobyleva@mail</v>
      </c>
      <c r="O548" t="str">
        <f t="shared" ref="O548:O611" si="244">IF(AND(ISNUMBER(FIND("@",N548)),ISNUMBER(FIND(".",N548,FIND("@",N548)+2))),"ОК","Ошибка Email")</f>
        <v xml:space="preserve">Ошибка Email</v>
      </c>
      <c r="P548" t="str">
        <f>IFERROR(VLOOKUP(TRIM(SUBSTITUTE(SUBSTITUTE(" "&amp;F548," г "," "),"г.","")),Справочники!$J$3:$K$102,2,0),TRIM(SUBSTITUTE(SUBSTITUTE(" "&amp;F548," г "," "),"г.","")))</f>
        <v>Озёрск</v>
      </c>
    </row>
    <row r="549">
      <c r="A549" s="3" t="s">
        <v>3122</v>
      </c>
      <c r="B549" s="3" t="s">
        <v>6217</v>
      </c>
      <c r="C549" s="3" t="s">
        <v>6218</v>
      </c>
      <c r="D549" s="3" t="s">
        <v>1619</v>
      </c>
      <c r="E549" s="3" t="s">
        <v>6219</v>
      </c>
      <c r="F549" s="3" t="s">
        <v>4415</v>
      </c>
      <c r="G549" s="3" t="s">
        <v>6220</v>
      </c>
      <c r="H549" t="str">
        <f t="shared" si="239"/>
        <v xml:space="preserve">Мочалов Андрей Павлович</v>
      </c>
      <c r="I549" s="5">
        <f>IFERROR(IF(ISNUMBER(FIND("-",C549)),DATE(VALUE(LEFT(C549,4)),VALUE(MID(C549,6,2)),VALUE(RIGHT(C549,2))),IF(ISNUMBER(FIND(".",C549)),DATE(VALUE(RIGHT(C549,4)),VALUE(MID(C549,4,2)),VALUE(LEFT(C549,2))),DATE(VALUE(RIGHT(C549,4)),VLOOKUP(TRIM(MID(C549,FIND(" ",C549)+1,LEN(C549)-FIND(" ",C549)-5)),Справочники!$M$3:$N$14,2,0),VALUE(LEFT(C549,FIND(" ",C549)-1))))),"")</f>
        <v>32290</v>
      </c>
      <c r="J549" s="6">
        <f t="shared" si="240"/>
        <v>38</v>
      </c>
      <c r="K549" t="str">
        <f t="shared" si="241"/>
        <v>ОК</v>
      </c>
      <c r="L549" s="5">
        <f>IFERROR(IF(ISNUMBER(FIND("-",G549)),DATE(VALUE(LEFT(G549,4)),VALUE(MID(G549,6,2)),VALUE(RIGHT(G549,2))),IF(ISNUMBER(FIND(".",G549)),DATE(VALUE(RIGHT(G549,4)),VALUE(MID(G549,4,2)),VALUE(LEFT(G549,2))),DATE(VALUE(RIGHT(G549,4)),VLOOKUP(TRIM(MID(G549,FIND(" ",G549)+1,LEN(G549)-FIND(" ",G549)-5)),Справочники!$M$3:$N$14,2,0),VALUE(LEFT(G549,FIND(" ",G549)-1))))),"")</f>
        <v>50114</v>
      </c>
      <c r="M549" t="str">
        <f t="shared" si="242"/>
        <v xml:space="preserve">+7 (903) 890-12-34</v>
      </c>
      <c r="N549" t="str">
        <f t="shared" si="243"/>
        <v>mochalov@yandex</v>
      </c>
      <c r="O549" t="str">
        <f t="shared" si="244"/>
        <v xml:space="preserve">Ошибка Email</v>
      </c>
      <c r="P549" t="str">
        <f>IFERROR(VLOOKUP(TRIM(SUBSTITUTE(SUBSTITUTE(" "&amp;F549," г "," "),"г.","")),Справочники!$J$3:$K$102,2,0),TRIM(SUBSTITUTE(SUBSTITUTE(" "&amp;F549," г "," "),"г.","")))</f>
        <v>Орел</v>
      </c>
    </row>
    <row r="550">
      <c r="A550" s="3" t="s">
        <v>3125</v>
      </c>
      <c r="B550" s="3" t="s">
        <v>6221</v>
      </c>
      <c r="C550" s="3" t="s">
        <v>6222</v>
      </c>
      <c r="D550" s="3" t="s">
        <v>4018</v>
      </c>
      <c r="E550" s="3" t="s">
        <v>6223</v>
      </c>
      <c r="F550" s="3" t="s">
        <v>4184</v>
      </c>
      <c r="G550" s="3" t="s">
        <v>6224</v>
      </c>
      <c r="H550" t="str">
        <f t="shared" si="239"/>
        <v xml:space="preserve">Курина Мария Владимировна</v>
      </c>
      <c r="I550" s="5">
        <f>IFERROR(IF(ISNUMBER(FIND("-",C550)),DATE(VALUE(LEFT(C550,4)),VALUE(MID(C550,6,2)),VALUE(RIGHT(C550,2))),IF(ISNUMBER(FIND(".",C550)),DATE(VALUE(RIGHT(C550,4)),VALUE(MID(C550,4,2)),VALUE(LEFT(C550,2))),DATE(VALUE(RIGHT(C550,4)),VLOOKUP(TRIM(MID(C550,FIND(" ",C550)+1,LEN(C550)-FIND(" ",C550)-5)),Справочники!$M$3:$N$14,2,0),VALUE(LEFT(C550,FIND(" ",C550)-1))))),"")</f>
        <v>27315</v>
      </c>
      <c r="J550" s="6">
        <f t="shared" si="240"/>
        <v>52</v>
      </c>
      <c r="K550" t="str">
        <f t="shared" si="241"/>
        <v>ОК</v>
      </c>
      <c r="L550" s="5">
        <f>IFERROR(IF(ISNUMBER(FIND("-",G550)),DATE(VALUE(LEFT(G550,4)),VALUE(MID(G550,6,2)),VALUE(RIGHT(G550,2))),IF(ISNUMBER(FIND(".",G550)),DATE(VALUE(RIGHT(G550,4)),VALUE(MID(G550,4,2)),VALUE(LEFT(G550,2))),DATE(VALUE(RIGHT(G550,4)),VLOOKUP(TRIM(MID(G550,FIND(" ",G550)+1,LEN(G550)-FIND(" ",G550)-5)),Справочники!$M$3:$N$14,2,0),VALUE(LEFT(G550,FIND(" ",G550)-1))))),"")</f>
        <v>50114</v>
      </c>
      <c r="M550" t="str">
        <f t="shared" si="242"/>
        <v xml:space="preserve">+7 (903) 901-23-45</v>
      </c>
      <c r="N550" t="str">
        <f t="shared" si="243"/>
        <v>kurina@gmail</v>
      </c>
      <c r="O550" t="str">
        <f t="shared" si="244"/>
        <v xml:space="preserve">Ошибка Email</v>
      </c>
      <c r="P550" t="str">
        <f>IFERROR(VLOOKUP(TRIM(SUBSTITUTE(SUBSTITUTE(" "&amp;F550," г "," "),"г.","")),Справочники!$J$3:$K$102,2,0),TRIM(SUBSTITUTE(SUBSTITUTE(" "&amp;F550," г "," "),"г.","")))</f>
        <v>Магнитогорск</v>
      </c>
    </row>
    <row r="551">
      <c r="A551" s="3" t="s">
        <v>3127</v>
      </c>
      <c r="B551" s="3" t="s">
        <v>6225</v>
      </c>
      <c r="C551" s="3" t="s">
        <v>6226</v>
      </c>
      <c r="D551" s="3" t="s">
        <v>1626</v>
      </c>
      <c r="E551" s="3" t="s">
        <v>6227</v>
      </c>
      <c r="F551" s="3" t="s">
        <v>4205</v>
      </c>
      <c r="G551" s="3" t="s">
        <v>6228</v>
      </c>
      <c r="H551" t="str">
        <f t="shared" si="239"/>
        <v xml:space="preserve">Клементьев Денис Олегович</v>
      </c>
      <c r="I551" s="5">
        <f>IFERROR(IF(ISNUMBER(FIND("-",C551)),DATE(VALUE(LEFT(C551,4)),VALUE(MID(C551,6,2)),VALUE(RIGHT(C551,2))),IF(ISNUMBER(FIND(".",C551)),DATE(VALUE(RIGHT(C551,4)),VALUE(MID(C551,4,2)),VALUE(LEFT(C551,2))),DATE(VALUE(RIGHT(C551,4)),VLOOKUP(TRIM(MID(C551,FIND(" ",C551)+1,LEN(C551)-FIND(" ",C551)-5)),Справочники!$M$3:$N$14,2,0),VALUE(LEFT(C551,FIND(" ",C551)-1))))),"")</f>
        <v>30371</v>
      </c>
      <c r="J551" s="6">
        <f t="shared" si="240"/>
        <v>43</v>
      </c>
      <c r="K551" t="str">
        <f t="shared" si="241"/>
        <v>ОК</v>
      </c>
      <c r="L551" s="5">
        <f>IFERROR(IF(ISNUMBER(FIND("-",G551)),DATE(VALUE(LEFT(G551,4)),VALUE(MID(G551,6,2)),VALUE(RIGHT(G551,2))),IF(ISNUMBER(FIND(".",G551)),DATE(VALUE(RIGHT(G551,4)),VALUE(MID(G551,4,2)),VALUE(LEFT(G551,2))),DATE(VALUE(RIGHT(G551,4)),VLOOKUP(TRIM(MID(G551,FIND(" ",G551)+1,LEN(G551)-FIND(" ",G551)-5)),Справочники!$M$3:$N$14,2,0),VALUE(LEFT(G551,FIND(" ",G551)-1))))),"")</f>
        <v>50131</v>
      </c>
      <c r="M551" t="str">
        <f t="shared" si="242"/>
        <v xml:space="preserve">+7 (903) 901-23-45</v>
      </c>
      <c r="N551" t="str">
        <f t="shared" si="243"/>
        <v>klementev@mail</v>
      </c>
      <c r="O551" t="str">
        <f t="shared" si="244"/>
        <v xml:space="preserve">Ошибка Email</v>
      </c>
      <c r="P551" t="str">
        <f>IFERROR(VLOOKUP(TRIM(SUBSTITUTE(SUBSTITUTE(" "&amp;F551," г "," "),"г.","")),Справочники!$J$3:$K$102,2,0),TRIM(SUBSTITUTE(SUBSTITUTE(" "&amp;F551," г "," "),"г.","")))</f>
        <v>Якутск</v>
      </c>
    </row>
    <row r="552">
      <c r="A552" s="3" t="s">
        <v>3130</v>
      </c>
      <c r="B552" s="3" t="s">
        <v>6229</v>
      </c>
      <c r="C552" s="3" t="s">
        <v>6230</v>
      </c>
      <c r="D552" s="3" t="s">
        <v>4176</v>
      </c>
      <c r="E552" s="3" t="s">
        <v>6231</v>
      </c>
      <c r="F552" s="3" t="s">
        <v>4152</v>
      </c>
      <c r="G552" s="3" t="s">
        <v>6232</v>
      </c>
      <c r="H552" t="str">
        <f t="shared" si="239"/>
        <v xml:space="preserve">Носова Ольга Павловна</v>
      </c>
      <c r="I552" s="5">
        <f>IFERROR(IF(ISNUMBER(FIND("-",C552)),DATE(VALUE(LEFT(C552,4)),VALUE(MID(C552,6,2)),VALUE(RIGHT(C552,2))),IF(ISNUMBER(FIND(".",C552)),DATE(VALUE(RIGHT(C552,4)),VALUE(MID(C552,4,2)),VALUE(LEFT(C552,2))),DATE(VALUE(RIGHT(C552,4)),VLOOKUP(TRIM(MID(C552,FIND(" ",C552)+1,LEN(C552)-FIND(" ",C552)-5)),Справочники!$M$3:$N$14,2,0),VALUE(LEFT(C552,FIND(" ",C552)-1))))),"")</f>
        <v>32757</v>
      </c>
      <c r="J552" s="6">
        <f t="shared" si="240"/>
        <v>37</v>
      </c>
      <c r="K552" t="str">
        <f t="shared" si="241"/>
        <v>ОК</v>
      </c>
      <c r="L552" s="5">
        <f>IFERROR(IF(ISNUMBER(FIND("-",G552)),DATE(VALUE(LEFT(G552,4)),VALUE(MID(G552,6,2)),VALUE(RIGHT(G552,2))),IF(ISNUMBER(FIND(".",G552)),DATE(VALUE(RIGHT(G552,4)),VALUE(MID(G552,4,2)),VALUE(LEFT(G552,2))),DATE(VALUE(RIGHT(G552,4)),VLOOKUP(TRIM(MID(G552,FIND(" ",G552)+1,LEN(G552)-FIND(" ",G552)-5)),Справочники!$M$3:$N$14,2,0),VALUE(LEFT(G552,FIND(" ",G552)-1))))),"")</f>
        <v>50140</v>
      </c>
      <c r="M552" t="str">
        <f t="shared" si="242"/>
        <v xml:space="preserve">+7 (903) 901-23-45</v>
      </c>
      <c r="N552" t="str">
        <f t="shared" si="243"/>
        <v>nosova@yandex</v>
      </c>
      <c r="O552" t="str">
        <f t="shared" si="244"/>
        <v xml:space="preserve">Ошибка Email</v>
      </c>
      <c r="P552" t="str">
        <f>IFERROR(VLOOKUP(TRIM(SUBSTITUTE(SUBSTITUTE(" "&amp;F552," г "," "),"г.","")),Справочники!$J$3:$K$102,2,0),TRIM(SUBSTITUTE(SUBSTITUTE(" "&amp;F552," г "," "),"г.","")))</f>
        <v>Чебоксары</v>
      </c>
    </row>
    <row r="553">
      <c r="A553" s="3" t="s">
        <v>3131</v>
      </c>
      <c r="B553" s="3" t="s">
        <v>6233</v>
      </c>
      <c r="C553" s="3" t="s">
        <v>5269</v>
      </c>
      <c r="D553" s="3" t="s">
        <v>4182</v>
      </c>
      <c r="E553" s="3" t="s">
        <v>6234</v>
      </c>
      <c r="F553" s="3" t="s">
        <v>4245</v>
      </c>
      <c r="G553" s="3" t="s">
        <v>6235</v>
      </c>
      <c r="H553" t="str">
        <f t="shared" si="239"/>
        <v xml:space="preserve">Ромашин Илья Викторович</v>
      </c>
      <c r="I553" s="5">
        <f>IFERROR(IF(ISNUMBER(FIND("-",C553)),DATE(VALUE(LEFT(C553,4)),VALUE(MID(C553,6,2)),VALUE(RIGHT(C553,2))),IF(ISNUMBER(FIND(".",C553)),DATE(VALUE(RIGHT(C553,4)),VALUE(MID(C553,4,2)),VALUE(LEFT(C553,2))),DATE(VALUE(RIGHT(C553,4)),VLOOKUP(TRIM(MID(C553,FIND(" ",C553)+1,LEN(C553)-FIND(" ",C553)-5)),Справочники!$M$3:$N$14,2,0),VALUE(LEFT(C553,FIND(" ",C553)-1))))),"")</f>
        <v>28083</v>
      </c>
      <c r="J553" s="6">
        <f t="shared" si="240"/>
        <v>49</v>
      </c>
      <c r="K553" t="str">
        <f t="shared" si="241"/>
        <v>ОК</v>
      </c>
      <c r="L553" s="5">
        <f>IFERROR(IF(ISNUMBER(FIND("-",G553)),DATE(VALUE(LEFT(G553,4)),VALUE(MID(G553,6,2)),VALUE(RIGHT(G553,2))),IF(ISNUMBER(FIND(".",G553)),DATE(VALUE(RIGHT(G553,4)),VALUE(MID(G553,4,2)),VALUE(LEFT(G553,2))),DATE(VALUE(RIGHT(G553,4)),VLOOKUP(TRIM(MID(G553,FIND(" ",G553)+1,LEN(G553)-FIND(" ",G553)-5)),Справочники!$M$3:$N$14,2,0),VALUE(LEFT(G553,FIND(" ",G553)-1))))),"")</f>
        <v>50140</v>
      </c>
      <c r="M553" t="str">
        <f t="shared" si="242"/>
        <v xml:space="preserve">+7 (903) 012-34-56</v>
      </c>
      <c r="N553" t="str">
        <f t="shared" si="243"/>
        <v>romashin@gmail</v>
      </c>
      <c r="O553" t="str">
        <f t="shared" si="244"/>
        <v xml:space="preserve">Ошибка Email</v>
      </c>
      <c r="P553" t="str">
        <f>IFERROR(VLOOKUP(TRIM(SUBSTITUTE(SUBSTITUTE(" "&amp;F553," г "," "),"г.","")),Справочники!$J$3:$K$102,2,0),TRIM(SUBSTITUTE(SUBSTITUTE(" "&amp;F553," г "," "),"г.","")))</f>
        <v>Мурманск</v>
      </c>
    </row>
    <row r="554">
      <c r="A554" s="3" t="s">
        <v>3133</v>
      </c>
      <c r="B554" s="3" t="s">
        <v>6236</v>
      </c>
      <c r="C554" s="3" t="s">
        <v>6237</v>
      </c>
      <c r="D554" s="3" t="s">
        <v>4188</v>
      </c>
      <c r="E554" s="3" t="s">
        <v>6238</v>
      </c>
      <c r="F554" s="3" t="s">
        <v>4235</v>
      </c>
      <c r="G554" s="3" t="s">
        <v>6239</v>
      </c>
      <c r="H554" t="str">
        <f t="shared" si="239"/>
        <v xml:space="preserve">Авдеева Екатерина Сергеевна</v>
      </c>
      <c r="I554" s="5">
        <f>IFERROR(IF(ISNUMBER(FIND("-",C554)),DATE(VALUE(LEFT(C554,4)),VALUE(MID(C554,6,2)),VALUE(RIGHT(C554,2))),IF(ISNUMBER(FIND(".",C554)),DATE(VALUE(RIGHT(C554,4)),VALUE(MID(C554,4,2)),VALUE(LEFT(C554,2))),DATE(VALUE(RIGHT(C554,4)),VLOOKUP(TRIM(MID(C554,FIND(" ",C554)+1,LEN(C554)-FIND(" ",C554)-5)),Справочники!$M$3:$N$14,2,0),VALUE(LEFT(C554,FIND(" ",C554)-1))))),"")</f>
        <v>29688</v>
      </c>
      <c r="J554" s="6">
        <f t="shared" si="240"/>
        <v>45</v>
      </c>
      <c r="K554" t="str">
        <f t="shared" si="241"/>
        <v>ОК</v>
      </c>
      <c r="L554" s="5">
        <f>IFERROR(IF(ISNUMBER(FIND("-",G554)),DATE(VALUE(LEFT(G554,4)),VALUE(MID(G554,6,2)),VALUE(RIGHT(G554,2))),IF(ISNUMBER(FIND(".",G554)),DATE(VALUE(RIGHT(G554,4)),VALUE(MID(G554,4,2)),VALUE(LEFT(G554,2))),DATE(VALUE(RIGHT(G554,4)),VLOOKUP(TRIM(MID(G554,FIND(" ",G554)+1,LEN(G554)-FIND(" ",G554)-5)),Справочники!$M$3:$N$14,2,0),VALUE(LEFT(G554,FIND(" ",G554)-1))))),"")</f>
        <v>50161</v>
      </c>
      <c r="M554" t="str">
        <f t="shared" si="242"/>
        <v xml:space="preserve">+7 (903) 012-34-56</v>
      </c>
      <c r="N554" t="str">
        <f t="shared" si="243"/>
        <v>avdeeva@mail</v>
      </c>
      <c r="O554" t="str">
        <f t="shared" si="244"/>
        <v xml:space="preserve">Ошибка Email</v>
      </c>
      <c r="P554" t="str">
        <f>IFERROR(VLOOKUP(TRIM(SUBSTITUTE(SUBSTITUTE(" "&amp;F554," г "," "),"г.","")),Справочники!$J$3:$K$102,2,0),TRIM(SUBSTITUTE(SUBSTITUTE(" "&amp;F554," г "," "),"г.","")))</f>
        <v>Смоленск</v>
      </c>
    </row>
    <row r="555">
      <c r="A555" s="3" t="s">
        <v>3134</v>
      </c>
      <c r="B555" s="3" t="s">
        <v>6240</v>
      </c>
      <c r="C555" s="3" t="s">
        <v>6241</v>
      </c>
      <c r="D555" s="3" t="s">
        <v>1633</v>
      </c>
      <c r="E555" s="3" t="s">
        <v>6242</v>
      </c>
      <c r="F555" s="3" t="s">
        <v>4220</v>
      </c>
      <c r="G555" s="3" t="s">
        <v>6243</v>
      </c>
      <c r="H555" t="str">
        <f t="shared" si="239"/>
        <v xml:space="preserve">Ларин Андрей Олегович</v>
      </c>
      <c r="I555" s="5">
        <f>IFERROR(IF(ISNUMBER(FIND("-",C555)),DATE(VALUE(LEFT(C555,4)),VALUE(MID(C555,6,2)),VALUE(RIGHT(C555,2))),IF(ISNUMBER(FIND(".",C555)),DATE(VALUE(RIGHT(C555,4)),VALUE(MID(C555,4,2)),VALUE(LEFT(C555,2))),DATE(VALUE(RIGHT(C555,4)),VLOOKUP(TRIM(MID(C555,FIND(" ",C555)+1,LEN(C555)-FIND(" ",C555)-5)),Справочники!$M$3:$N$14,2,0),VALUE(LEFT(C555,FIND(" ",C555)-1))))),"")</f>
        <v>33082</v>
      </c>
      <c r="J555" s="6">
        <f t="shared" si="240"/>
        <v>36</v>
      </c>
      <c r="K555" t="str">
        <f t="shared" si="241"/>
        <v>ОК</v>
      </c>
      <c r="L555" s="5">
        <f>IFERROR(IF(ISNUMBER(FIND("-",G555)),DATE(VALUE(LEFT(G555,4)),VALUE(MID(G555,6,2)),VALUE(RIGHT(G555,2))),IF(ISNUMBER(FIND(".",G555)),DATE(VALUE(RIGHT(G555,4)),VALUE(MID(G555,4,2)),VALUE(LEFT(G555,2))),DATE(VALUE(RIGHT(G555,4)),VLOOKUP(TRIM(MID(G555,FIND(" ",G555)+1,LEN(G555)-FIND(" ",G555)-5)),Справочники!$M$3:$N$14,2,0),VALUE(LEFT(G555,FIND(" ",G555)-1))))),"")</f>
        <v>50175</v>
      </c>
      <c r="M555" t="str">
        <f t="shared" si="242"/>
        <v xml:space="preserve">+7 (903) 012-34-56</v>
      </c>
      <c r="N555" t="str">
        <f t="shared" si="243"/>
        <v>larin@yandex</v>
      </c>
      <c r="O555" t="str">
        <f t="shared" si="244"/>
        <v xml:space="preserve">Ошибка Email</v>
      </c>
      <c r="P555" t="str">
        <f>IFERROR(VLOOKUP(TRIM(SUBSTITUTE(SUBSTITUTE(" "&amp;F555," г "," "),"г.","")),Справочники!$J$3:$K$102,2,0),TRIM(SUBSTITUTE(SUBSTITUTE(" "&amp;F555," г "," "),"г.","")))</f>
        <v>Тула</v>
      </c>
    </row>
    <row r="556">
      <c r="A556" s="3" t="s">
        <v>3136</v>
      </c>
      <c r="B556" s="3" t="s">
        <v>6244</v>
      </c>
      <c r="C556" s="3" t="s">
        <v>6245</v>
      </c>
      <c r="D556" s="3" t="s">
        <v>4034</v>
      </c>
      <c r="E556" s="3" t="s">
        <v>6246</v>
      </c>
      <c r="F556" s="3" t="s">
        <v>4225</v>
      </c>
      <c r="G556" s="3" t="s">
        <v>6247</v>
      </c>
      <c r="H556" t="str">
        <f t="shared" si="239"/>
        <v xml:space="preserve">Журавлева Мария Павловна</v>
      </c>
      <c r="I556" s="5">
        <f>IFERROR(IF(ISNUMBER(FIND("-",C556)),DATE(VALUE(LEFT(C556,4)),VALUE(MID(C556,6,2)),VALUE(RIGHT(C556,2))),IF(ISNUMBER(FIND(".",C556)),DATE(VALUE(RIGHT(C556,4)),VALUE(MID(C556,4,2)),VALUE(LEFT(C556,2))),DATE(VALUE(RIGHT(C556,4)),VLOOKUP(TRIM(MID(C556,FIND(" ",C556)+1,LEN(C556)-FIND(" ",C556)-5)),Справочники!$M$3:$N$14,2,0),VALUE(LEFT(C556,FIND(" ",C556)-1))))),"")</f>
        <v>28840</v>
      </c>
      <c r="J556" s="6">
        <f t="shared" si="240"/>
        <v>47</v>
      </c>
      <c r="K556" t="str">
        <f t="shared" si="241"/>
        <v>ОК</v>
      </c>
      <c r="L556" s="5">
        <f>IFERROR(IF(ISNUMBER(FIND("-",G556)),DATE(VALUE(LEFT(G556,4)),VALUE(MID(G556,6,2)),VALUE(RIGHT(G556,2))),IF(ISNUMBER(FIND(".",G556)),DATE(VALUE(RIGHT(G556,4)),VALUE(MID(G556,4,2)),VALUE(LEFT(G556,2))),DATE(VALUE(RIGHT(G556,4)),VLOOKUP(TRIM(MID(G556,FIND(" ",G556)+1,LEN(G556)-FIND(" ",G556)-5)),Справочники!$M$3:$N$14,2,0),VALUE(LEFT(G556,FIND(" ",G556)-1))))),"")</f>
        <v>50175</v>
      </c>
      <c r="M556" t="str">
        <f t="shared" si="242"/>
        <v xml:space="preserve">+7 (903) 123-45-67</v>
      </c>
      <c r="N556" t="str">
        <f t="shared" si="243"/>
        <v>zhuravleva@gmail</v>
      </c>
      <c r="O556" t="str">
        <f t="shared" si="244"/>
        <v xml:space="preserve">Ошибка Email</v>
      </c>
      <c r="P556" t="str">
        <f>IFERROR(VLOOKUP(TRIM(SUBSTITUTE(SUBSTITUTE(" "&amp;F556," г "," "),"г.","")),Справочники!$J$3:$K$102,2,0),TRIM(SUBSTITUTE(SUBSTITUTE(" "&amp;F556," г "," "),"г.","")))</f>
        <v>Калуга</v>
      </c>
    </row>
    <row r="557">
      <c r="A557" s="3" t="s">
        <v>3137</v>
      </c>
      <c r="B557" s="3" t="s">
        <v>6248</v>
      </c>
      <c r="C557" s="3" t="s">
        <v>6249</v>
      </c>
      <c r="D557" s="3" t="s">
        <v>4040</v>
      </c>
      <c r="E557" s="3" t="s">
        <v>6250</v>
      </c>
      <c r="F557" s="3" t="s">
        <v>4230</v>
      </c>
      <c r="G557" s="3" t="s">
        <v>6251</v>
      </c>
      <c r="H557" t="str">
        <f t="shared" si="239"/>
        <v xml:space="preserve">Волков Денис Александрович</v>
      </c>
      <c r="I557" s="5">
        <f>IFERROR(IF(ISNUMBER(FIND("-",C557)),DATE(VALUE(LEFT(C557,4)),VALUE(MID(C557,6,2)),VALUE(RIGHT(C557,2))),IF(ISNUMBER(FIND(".",C557)),DATE(VALUE(RIGHT(C557,4)),VALUE(MID(C557,4,2)),VALUE(LEFT(C557,2))),DATE(VALUE(RIGHT(C557,4)),VLOOKUP(TRIM(MID(C557,FIND(" ",C557)+1,LEN(C557)-FIND(" ",C557)-5)),Справочники!$M$3:$N$14,2,0),VALUE(LEFT(C557,FIND(" ",C557)-1))))),"")</f>
        <v>31115</v>
      </c>
      <c r="J557" s="6">
        <f t="shared" si="240"/>
        <v>41</v>
      </c>
      <c r="K557" t="str">
        <f t="shared" si="241"/>
        <v>ОК</v>
      </c>
      <c r="L557" s="5">
        <f>IFERROR(IF(ISNUMBER(FIND("-",G557)),DATE(VALUE(LEFT(G557,4)),VALUE(MID(G557,6,2)),VALUE(RIGHT(G557,2))),IF(ISNUMBER(FIND(".",G557)),DATE(VALUE(RIGHT(G557,4)),VALUE(MID(G557,4,2)),VALUE(LEFT(G557,2))),DATE(VALUE(RIGHT(G557,4)),VLOOKUP(TRIM(MID(G557,FIND(" ",G557)+1,LEN(G557)-FIND(" ",G557)-5)),Справочники!$M$3:$N$14,2,0),VALUE(LEFT(G557,FIND(" ",G557)-1))))),"")</f>
        <v>50192</v>
      </c>
      <c r="M557" t="str">
        <f t="shared" si="242"/>
        <v xml:space="preserve">+7 (903) 123-45-67</v>
      </c>
      <c r="N557" t="str">
        <f t="shared" si="243"/>
        <v>volkov@mail</v>
      </c>
      <c r="O557" t="str">
        <f t="shared" si="244"/>
        <v xml:space="preserve">Ошибка Email</v>
      </c>
      <c r="P557" t="str">
        <f>IFERROR(VLOOKUP(TRIM(SUBSTITUTE(SUBSTITUTE(" "&amp;F557," г "," "),"г.","")),Справочники!$J$3:$K$102,2,0),TRIM(SUBSTITUTE(SUBSTITUTE(" "&amp;F557," г "," "),"г.","")))</f>
        <v>Владикавказ</v>
      </c>
    </row>
    <row r="558">
      <c r="A558" s="3" t="s">
        <v>3139</v>
      </c>
      <c r="B558" s="3" t="s">
        <v>6252</v>
      </c>
      <c r="C558" s="3" t="s">
        <v>6253</v>
      </c>
      <c r="D558" s="3" t="s">
        <v>1570</v>
      </c>
      <c r="E558" s="3" t="s">
        <v>6254</v>
      </c>
      <c r="F558" s="3" t="s">
        <v>4235</v>
      </c>
      <c r="G558" s="3" t="s">
        <v>6255</v>
      </c>
      <c r="H558" t="str">
        <f t="shared" si="239"/>
        <v xml:space="preserve">Плотникова Ольга Владимировна</v>
      </c>
      <c r="I558" s="5">
        <f>IFERROR(IF(ISNUMBER(FIND("-",C558)),DATE(VALUE(LEFT(C558,4)),VALUE(MID(C558,6,2)),VALUE(RIGHT(C558,2))),IF(ISNUMBER(FIND(".",C558)),DATE(VALUE(RIGHT(C558,4)),VALUE(MID(C558,4,2)),VALUE(LEFT(C558,2))),DATE(VALUE(RIGHT(C558,4)),VLOOKUP(TRIM(MID(C558,FIND(" ",C558)+1,LEN(C558)-FIND(" ",C558)-5)),Справочники!$M$3:$N$14,2,0),VALUE(LEFT(C558,FIND(" ",C558)-1))))),"")</f>
        <v>34145</v>
      </c>
      <c r="J558" s="6">
        <f t="shared" si="240"/>
        <v>33</v>
      </c>
      <c r="K558" t="str">
        <f t="shared" si="241"/>
        <v>ОК</v>
      </c>
      <c r="L558" s="5">
        <f>IFERROR(IF(ISNUMBER(FIND("-",G558)),DATE(VALUE(LEFT(G558,4)),VALUE(MID(G558,6,2)),VALUE(RIGHT(G558,2))),IF(ISNUMBER(FIND(".",G558)),DATE(VALUE(RIGHT(G558,4)),VALUE(MID(G558,4,2)),VALUE(LEFT(G558,2))),DATE(VALUE(RIGHT(G558,4)),VLOOKUP(TRIM(MID(G558,FIND(" ",G558)+1,LEN(G558)-FIND(" ",G558)-5)),Справочники!$M$3:$N$14,2,0),VALUE(LEFT(G558,FIND(" ",G558)-1))))),"")</f>
        <v>50201</v>
      </c>
      <c r="M558" t="str">
        <f t="shared" si="242"/>
        <v xml:space="preserve">+7 (903) 123-45-67</v>
      </c>
      <c r="N558" t="str">
        <f t="shared" si="243"/>
        <v>plotnikova@yandex</v>
      </c>
      <c r="O558" t="str">
        <f t="shared" si="244"/>
        <v xml:space="preserve">Ошибка Email</v>
      </c>
      <c r="P558" t="str">
        <f>IFERROR(VLOOKUP(TRIM(SUBSTITUTE(SUBSTITUTE(" "&amp;F558," г "," "),"г.","")),Справочники!$J$3:$K$102,2,0),TRIM(SUBSTITUTE(SUBSTITUTE(" "&amp;F558," г "," "),"г.","")))</f>
        <v>Смоленск</v>
      </c>
    </row>
    <row r="559">
      <c r="A559" s="3" t="s">
        <v>3140</v>
      </c>
      <c r="B559" s="3" t="s">
        <v>6256</v>
      </c>
      <c r="C559" s="3" t="s">
        <v>6257</v>
      </c>
      <c r="D559" s="3" t="s">
        <v>4051</v>
      </c>
      <c r="E559" s="3" t="s">
        <v>6258</v>
      </c>
      <c r="F559" s="3" t="s">
        <v>4240</v>
      </c>
      <c r="G559" s="3" t="s">
        <v>6259</v>
      </c>
      <c r="H559" t="str">
        <f t="shared" si="239"/>
        <v xml:space="preserve">Кораблёв Илья Павлович</v>
      </c>
      <c r="I559" s="5">
        <f>IFERROR(IF(ISNUMBER(FIND("-",C559)),DATE(VALUE(LEFT(C559,4)),VALUE(MID(C559,6,2)),VALUE(RIGHT(C559,2))),IF(ISNUMBER(FIND(".",C559)),DATE(VALUE(RIGHT(C559,4)),VALUE(MID(C559,4,2)),VALUE(LEFT(C559,2))),DATE(VALUE(RIGHT(C559,4)),VLOOKUP(TRIM(MID(C559,FIND(" ",C559)+1,LEN(C559)-FIND(" ",C559)-5)),Справочники!$M$3:$N$14,2,0),VALUE(LEFT(C559,FIND(" ",C559)-1))))),"")</f>
        <v>26573</v>
      </c>
      <c r="J559" s="6">
        <f t="shared" si="240"/>
        <v>54</v>
      </c>
      <c r="K559" t="str">
        <f t="shared" si="241"/>
        <v>ОК</v>
      </c>
      <c r="L559" s="5">
        <f>IFERROR(IF(ISNUMBER(FIND("-",G559)),DATE(VALUE(LEFT(G559,4)),VALUE(MID(G559,6,2)),VALUE(RIGHT(G559,2))),IF(ISNUMBER(FIND(".",G559)),DATE(VALUE(RIGHT(G559,4)),VALUE(MID(G559,4,2)),VALUE(LEFT(G559,2))),DATE(VALUE(RIGHT(G559,4)),VLOOKUP(TRIM(MID(G559,FIND(" ",G559)+1,LEN(G559)-FIND(" ",G559)-5)),Справочники!$M$3:$N$14,2,0),VALUE(LEFT(G559,FIND(" ",G559)-1))))),"")</f>
        <v>50201</v>
      </c>
      <c r="M559" t="str">
        <f t="shared" si="242"/>
        <v xml:space="preserve">+7 (903) 234-56-78</v>
      </c>
      <c r="N559" t="str">
        <f t="shared" si="243"/>
        <v>korablyov@gmail</v>
      </c>
      <c r="O559" t="str">
        <f t="shared" si="244"/>
        <v xml:space="preserve">Ошибка Email</v>
      </c>
      <c r="P559" t="str">
        <f>IFERROR(VLOOKUP(TRIM(SUBSTITUTE(SUBSTITUTE(" "&amp;F559," г "," "),"г.","")),Справочники!$J$3:$K$102,2,0),TRIM(SUBSTITUTE(SUBSTITUTE(" "&amp;F559," г "," "),"г.","")))</f>
        <v>Белгород</v>
      </c>
    </row>
    <row r="560">
      <c r="A560" s="3" t="s">
        <v>3142</v>
      </c>
      <c r="B560" s="3" t="s">
        <v>6260</v>
      </c>
      <c r="C560" s="3" t="s">
        <v>6261</v>
      </c>
      <c r="D560" s="3" t="s">
        <v>4057</v>
      </c>
      <c r="E560" s="3" t="s">
        <v>6262</v>
      </c>
      <c r="F560" s="3" t="s">
        <v>4245</v>
      </c>
      <c r="G560" s="3" t="s">
        <v>6263</v>
      </c>
      <c r="H560" t="str">
        <f t="shared" si="239"/>
        <v xml:space="preserve">Голубкова Екатерина Сергеевна</v>
      </c>
      <c r="I560" s="5">
        <f>IFERROR(IF(ISNUMBER(FIND("-",C560)),DATE(VALUE(LEFT(C560,4)),VALUE(MID(C560,6,2)),VALUE(RIGHT(C560,2))),IF(ISNUMBER(FIND(".",C560)),DATE(VALUE(RIGHT(C560,4)),VALUE(MID(C560,4,2)),VALUE(LEFT(C560,2))),DATE(VALUE(RIGHT(C560,4)),VLOOKUP(TRIM(MID(C560,FIND(" ",C560)+1,LEN(C560)-FIND(" ",C560)-5)),Справочники!$M$3:$N$14,2,0),VALUE(LEFT(C560,FIND(" ",C560)-1))))),"")</f>
        <v>31638</v>
      </c>
      <c r="J560" s="6">
        <f t="shared" si="240"/>
        <v>40</v>
      </c>
      <c r="K560" t="str">
        <f t="shared" si="241"/>
        <v>ОК</v>
      </c>
      <c r="L560" s="5">
        <f>IFERROR(IF(ISNUMBER(FIND("-",G560)),DATE(VALUE(LEFT(G560,4)),VALUE(MID(G560,6,2)),VALUE(RIGHT(G560,2))),IF(ISNUMBER(FIND(".",G560)),DATE(VALUE(RIGHT(G560,4)),VALUE(MID(G560,4,2)),VALUE(LEFT(G560,2))),DATE(VALUE(RIGHT(G560,4)),VLOOKUP(TRIM(MID(G560,FIND(" ",G560)+1,LEN(G560)-FIND(" ",G560)-5)),Справочники!$M$3:$N$14,2,0),VALUE(LEFT(G560,FIND(" ",G560)-1))))),"")</f>
        <v>50222</v>
      </c>
      <c r="M560" t="str">
        <f t="shared" si="242"/>
        <v xml:space="preserve">+7 (903) 234-56-78</v>
      </c>
      <c r="N560" t="str">
        <f t="shared" si="243"/>
        <v>golubkova@mail</v>
      </c>
      <c r="O560" t="str">
        <f t="shared" si="244"/>
        <v xml:space="preserve">Ошибка Email</v>
      </c>
      <c r="P560" t="str">
        <f>IFERROR(VLOOKUP(TRIM(SUBSTITUTE(SUBSTITUTE(" "&amp;F560," г "," "),"г.","")),Справочники!$J$3:$K$102,2,0),TRIM(SUBSTITUTE(SUBSTITUTE(" "&amp;F560," г "," "),"г.","")))</f>
        <v>Мурманск</v>
      </c>
    </row>
    <row r="561">
      <c r="A561" s="3" t="s">
        <v>3143</v>
      </c>
      <c r="B561" s="3" t="s">
        <v>6264</v>
      </c>
      <c r="C561" s="3" t="s">
        <v>6265</v>
      </c>
      <c r="D561" s="3" t="s">
        <v>1712</v>
      </c>
      <c r="E561" s="3" t="s">
        <v>6266</v>
      </c>
      <c r="F561" s="3" t="s">
        <v>4250</v>
      </c>
      <c r="G561" s="3" t="s">
        <v>6267</v>
      </c>
      <c r="H561" t="str">
        <f t="shared" si="239"/>
        <v xml:space="preserve">Уваров Андрей Викторович</v>
      </c>
      <c r="I561" s="5">
        <f>IFERROR(IF(ISNUMBER(FIND("-",C561)),DATE(VALUE(LEFT(C561,4)),VALUE(MID(C561,6,2)),VALUE(RIGHT(C561,2))),IF(ISNUMBER(FIND(".",C561)),DATE(VALUE(RIGHT(C561,4)),VALUE(MID(C561,4,2)),VALUE(LEFT(C561,2))),DATE(VALUE(RIGHT(C561,4)),VLOOKUP(TRIM(MID(C561,FIND(" ",C561)+1,LEN(C561)-FIND(" ",C561)-5)),Справочники!$M$3:$N$14,2,0),VALUE(LEFT(C561,FIND(" ",C561)-1))))),"")</f>
        <v>29912</v>
      </c>
      <c r="J561" s="6">
        <f t="shared" si="240"/>
        <v>44</v>
      </c>
      <c r="K561" t="str">
        <f t="shared" si="241"/>
        <v>ОК</v>
      </c>
      <c r="L561" s="5">
        <f>IFERROR(IF(ISNUMBER(FIND("-",G561)),DATE(VALUE(LEFT(G561,4)),VALUE(MID(G561,6,2)),VALUE(RIGHT(G561,2))),IF(ISNUMBER(FIND(".",G561)),DATE(VALUE(RIGHT(G561,4)),VALUE(MID(G561,4,2)),VALUE(LEFT(G561,2))),DATE(VALUE(RIGHT(G561,4)),VLOOKUP(TRIM(MID(G561,FIND(" ",G561)+1,LEN(G561)-FIND(" ",G561)-5)),Справочники!$M$3:$N$14,2,0),VALUE(LEFT(G561,FIND(" ",G561)-1))))),"")</f>
        <v>50236</v>
      </c>
      <c r="M561" t="str">
        <f t="shared" si="242"/>
        <v xml:space="preserve">+7 (903) 234-56-78</v>
      </c>
      <c r="N561" t="str">
        <f t="shared" si="243"/>
        <v>uvarov@yandex</v>
      </c>
      <c r="O561" t="str">
        <f t="shared" si="244"/>
        <v xml:space="preserve">Ошибка Email</v>
      </c>
      <c r="P561" t="str">
        <f>IFERROR(VLOOKUP(TRIM(SUBSTITUTE(SUBSTITUTE(" "&amp;F561," г "," "),"г.","")),Справочники!$J$3:$K$102,2,0),TRIM(SUBSTITUTE(SUBSTITUTE(" "&amp;F561," г "," "),"г.","")))</f>
        <v>Ставрополь</v>
      </c>
    </row>
    <row r="562">
      <c r="A562" s="3" t="s">
        <v>3145</v>
      </c>
      <c r="B562" s="3" t="s">
        <v>6268</v>
      </c>
      <c r="C562" s="3" t="s">
        <v>6269</v>
      </c>
      <c r="D562" s="3" t="s">
        <v>1584</v>
      </c>
      <c r="E562" s="3" t="s">
        <v>6270</v>
      </c>
      <c r="F562" s="3" t="s">
        <v>4255</v>
      </c>
      <c r="G562" s="3" t="s">
        <v>6271</v>
      </c>
      <c r="H562" t="str">
        <f t="shared" si="239"/>
        <v xml:space="preserve">Чуприна Мария Олеговна</v>
      </c>
      <c r="I562" s="5">
        <f>IFERROR(IF(ISNUMBER(FIND("-",C562)),DATE(VALUE(LEFT(C562,4)),VALUE(MID(C562,6,2)),VALUE(RIGHT(C562,2))),IF(ISNUMBER(FIND(".",C562)),DATE(VALUE(RIGHT(C562,4)),VALUE(MID(C562,4,2)),VALUE(LEFT(C562,2))),DATE(VALUE(RIGHT(C562,4)),VLOOKUP(TRIM(MID(C562,FIND(" ",C562)+1,LEN(C562)-FIND(" ",C562)-5)),Справочники!$M$3:$N$14,2,0),VALUE(LEFT(C562,FIND(" ",C562)-1))))),"")</f>
        <v>27290</v>
      </c>
      <c r="J562" s="6">
        <f t="shared" si="240"/>
        <v>52</v>
      </c>
      <c r="K562" t="str">
        <f t="shared" si="241"/>
        <v>ОК</v>
      </c>
      <c r="L562" s="5">
        <f>IFERROR(IF(ISNUMBER(FIND("-",G562)),DATE(VALUE(LEFT(G562,4)),VALUE(MID(G562,6,2)),VALUE(RIGHT(G562,2))),IF(ISNUMBER(FIND(".",G562)),DATE(VALUE(RIGHT(G562,4)),VALUE(MID(G562,4,2)),VALUE(LEFT(G562,2))),DATE(VALUE(RIGHT(G562,4)),VLOOKUP(TRIM(MID(G562,FIND(" ",G562)+1,LEN(G562)-FIND(" ",G562)-5)),Справочники!$M$3:$N$14,2,0),VALUE(LEFT(G562,FIND(" ",G562)-1))))),"")</f>
        <v>50236</v>
      </c>
      <c r="M562" t="str">
        <f t="shared" si="242"/>
        <v xml:space="preserve">+7 (903) 345-67-89</v>
      </c>
      <c r="N562" t="str">
        <f t="shared" si="243"/>
        <v>chupra@gmail</v>
      </c>
      <c r="O562" t="str">
        <f t="shared" si="244"/>
        <v xml:space="preserve">Ошибка Email</v>
      </c>
      <c r="P562" t="str">
        <f>IFERROR(VLOOKUP(TRIM(SUBSTITUTE(SUBSTITUTE(" "&amp;F562," г "," "),"г.","")),Справочники!$J$3:$K$102,2,0),TRIM(SUBSTITUTE(SUBSTITUTE(" "&amp;F562," г "," "),"г.","")))</f>
        <v>Севастополь</v>
      </c>
    </row>
    <row r="563">
      <c r="A563" s="3" t="s">
        <v>3147</v>
      </c>
      <c r="B563" s="3" t="s">
        <v>6272</v>
      </c>
      <c r="C563" s="3" t="s">
        <v>6273</v>
      </c>
      <c r="D563" s="3" t="s">
        <v>4073</v>
      </c>
      <c r="E563" s="3" t="s">
        <v>6274</v>
      </c>
      <c r="F563" s="3" t="s">
        <v>4260</v>
      </c>
      <c r="G563" s="3" t="s">
        <v>6275</v>
      </c>
      <c r="H563" t="str">
        <f t="shared" si="239"/>
        <v xml:space="preserve">Ступин Денис Павлович</v>
      </c>
      <c r="I563" s="5">
        <f>IFERROR(IF(ISNUMBER(FIND("-",C563)),DATE(VALUE(LEFT(C563,4)),VALUE(MID(C563,6,2)),VALUE(RIGHT(C563,2))),IF(ISNUMBER(FIND(".",C563)),DATE(VALUE(RIGHT(C563,4)),VALUE(MID(C563,4,2)),VALUE(LEFT(C563,2))),DATE(VALUE(RIGHT(C563,4)),VLOOKUP(TRIM(MID(C563,FIND(" ",C563)+1,LEN(C563)-FIND(" ",C563)-5)),Справочники!$M$3:$N$14,2,0),VALUE(LEFT(C563,FIND(" ",C563)-1))))),"")</f>
        <v>32270</v>
      </c>
      <c r="J563" s="6">
        <f t="shared" si="240"/>
        <v>38</v>
      </c>
      <c r="K563" t="str">
        <f t="shared" si="241"/>
        <v>ОК</v>
      </c>
      <c r="L563" s="5">
        <f>IFERROR(IF(ISNUMBER(FIND("-",G563)),DATE(VALUE(LEFT(G563,4)),VALUE(MID(G563,6,2)),VALUE(RIGHT(G563,2))),IF(ISNUMBER(FIND(".",G563)),DATE(VALUE(RIGHT(G563,4)),VALUE(MID(G563,4,2)),VALUE(LEFT(G563,2))),DATE(VALUE(RIGHT(G563,4)),VLOOKUP(TRIM(MID(G563,FIND(" ",G563)+1,LEN(G563)-FIND(" ",G563)-5)),Справочники!$M$3:$N$14,2,0),VALUE(LEFT(G563,FIND(" ",G563)-1))))),"")</f>
        <v>50253</v>
      </c>
      <c r="M563" t="str">
        <f t="shared" si="242"/>
        <v xml:space="preserve">+7 (903) 345-67-89</v>
      </c>
      <c r="N563" t="str">
        <f t="shared" si="243"/>
        <v>stupin@mail</v>
      </c>
      <c r="O563" t="str">
        <f t="shared" si="244"/>
        <v xml:space="preserve">Ошибка Email</v>
      </c>
      <c r="P563" t="str">
        <f>IFERROR(VLOOKUP(TRIM(SUBSTITUTE(SUBSTITUTE(" "&amp;F563," г "," "),"г.","")),Справочники!$J$3:$K$102,2,0),TRIM(SUBSTITUTE(SUBSTITUTE(" "&amp;F563," г "," "),"г.","")))</f>
        <v>Сочи</v>
      </c>
    </row>
    <row r="564">
      <c r="A564" s="3" t="s">
        <v>3149</v>
      </c>
      <c r="B564" s="3" t="s">
        <v>6276</v>
      </c>
      <c r="C564" s="3" t="s">
        <v>6277</v>
      </c>
      <c r="D564" s="3" t="s">
        <v>4079</v>
      </c>
      <c r="E564" s="3" t="s">
        <v>6278</v>
      </c>
      <c r="F564" s="3" t="s">
        <v>4265</v>
      </c>
      <c r="G564" s="3" t="s">
        <v>6279</v>
      </c>
      <c r="H564" t="str">
        <f t="shared" si="239"/>
        <v xml:space="preserve">Тимошина Ольга Сергеевна</v>
      </c>
      <c r="I564" s="5">
        <f>IFERROR(IF(ISNUMBER(FIND("-",C564)),DATE(VALUE(LEFT(C564,4)),VALUE(MID(C564,6,2)),VALUE(RIGHT(C564,2))),IF(ISNUMBER(FIND(".",C564)),DATE(VALUE(RIGHT(C564,4)),VALUE(MID(C564,4,2)),VALUE(LEFT(C564,2))),DATE(VALUE(RIGHT(C564,4)),VLOOKUP(TRIM(MID(C564,FIND(" ",C564)+1,LEN(C564)-FIND(" ",C564)-5)),Справочники!$M$3:$N$14,2,0),VALUE(LEFT(C564,FIND(" ",C564)-1))))),"")</f>
        <v>33595</v>
      </c>
      <c r="J564" s="6">
        <f t="shared" si="240"/>
        <v>34</v>
      </c>
      <c r="K564" t="str">
        <f t="shared" si="241"/>
        <v>ОК</v>
      </c>
      <c r="L564" s="5">
        <f>IFERROR(IF(ISNUMBER(FIND("-",G564)),DATE(VALUE(LEFT(G564,4)),VALUE(MID(G564,6,2)),VALUE(RIGHT(G564,2))),IF(ISNUMBER(FIND(".",G564)),DATE(VALUE(RIGHT(G564,4)),VALUE(MID(G564,4,2)),VALUE(LEFT(G564,2))),DATE(VALUE(RIGHT(G564,4)),VLOOKUP(TRIM(MID(G564,FIND(" ",G564)+1,LEN(G564)-FIND(" ",G564)-5)),Справочники!$M$3:$N$14,2,0),VALUE(LEFT(G564,FIND(" ",G564)-1))))),"")</f>
        <v>50262</v>
      </c>
      <c r="M564" t="str">
        <f t="shared" si="242"/>
        <v xml:space="preserve">+7 (903) 345-67-89</v>
      </c>
      <c r="N564" t="str">
        <f t="shared" si="243"/>
        <v>timoshina@yandex</v>
      </c>
      <c r="O564" t="str">
        <f t="shared" si="244"/>
        <v xml:space="preserve">Ошибка Email</v>
      </c>
      <c r="P564" t="str">
        <f>IFERROR(VLOOKUP(TRIM(SUBSTITUTE(SUBSTITUTE(" "&amp;F564," г "," "),"г.","")),Справочники!$J$3:$K$102,2,0),TRIM(SUBSTITUTE(SUBSTITUTE(" "&amp;F564," г "," "),"г.","")))</f>
        <v>Симферополь</v>
      </c>
    </row>
    <row r="565">
      <c r="A565" s="3" t="s">
        <v>3150</v>
      </c>
      <c r="B565" s="3" t="s">
        <v>6280</v>
      </c>
      <c r="C565" s="3" t="s">
        <v>6281</v>
      </c>
      <c r="D565" s="3" t="s">
        <v>4085</v>
      </c>
      <c r="E565" s="3" t="s">
        <v>6282</v>
      </c>
      <c r="F565" s="3" t="s">
        <v>4270</v>
      </c>
      <c r="G565" s="3" t="s">
        <v>6283</v>
      </c>
      <c r="H565" t="str">
        <f t="shared" si="239"/>
        <v xml:space="preserve">Кулаков Илья Алексеевич</v>
      </c>
      <c r="I565" s="5">
        <f>IFERROR(IF(ISNUMBER(FIND("-",C565)),DATE(VALUE(LEFT(C565,4)),VALUE(MID(C565,6,2)),VALUE(RIGHT(C565,2))),IF(ISNUMBER(FIND(".",C565)),DATE(VALUE(RIGHT(C565,4)),VALUE(MID(C565,4,2)),VALUE(LEFT(C565,2))),DATE(VALUE(RIGHT(C565,4)),VLOOKUP(TRIM(MID(C565,FIND(" ",C565)+1,LEN(C565)-FIND(" ",C565)-5)),Справочники!$M$3:$N$14,2,0),VALUE(LEFT(C565,FIND(" ",C565)-1))))),"")</f>
        <v>28194</v>
      </c>
      <c r="J565" s="6">
        <f t="shared" si="240"/>
        <v>49</v>
      </c>
      <c r="K565" t="str">
        <f t="shared" si="241"/>
        <v>ОК</v>
      </c>
      <c r="L565" s="5">
        <f>IFERROR(IF(ISNUMBER(FIND("-",G565)),DATE(VALUE(LEFT(G565,4)),VALUE(MID(G565,6,2)),VALUE(RIGHT(G565,2))),IF(ISNUMBER(FIND(".",G565)),DATE(VALUE(RIGHT(G565,4)),VALUE(MID(G565,4,2)),VALUE(LEFT(G565,2))),DATE(VALUE(RIGHT(G565,4)),VLOOKUP(TRIM(MID(G565,FIND(" ",G565)+1,LEN(G565)-FIND(" ",G565)-5)),Справочники!$M$3:$N$14,2,0),VALUE(LEFT(G565,FIND(" ",G565)-1))))),"")</f>
        <v>50262</v>
      </c>
      <c r="M565" t="str">
        <f t="shared" si="242"/>
        <v xml:space="preserve">+7 (903) 456-78-90</v>
      </c>
      <c r="N565" t="str">
        <f t="shared" si="243"/>
        <v>kulakov@gmail</v>
      </c>
      <c r="O565" t="str">
        <f t="shared" si="244"/>
        <v xml:space="preserve">Ошибка Email</v>
      </c>
      <c r="P565" t="str">
        <f>IFERROR(VLOOKUP(TRIM(SUBSTITUTE(SUBSTITUTE(" "&amp;F565," г "," "),"г.","")),Справочники!$J$3:$K$102,2,0),TRIM(SUBSTITUTE(SUBSTITUTE(" "&amp;F565," г "," "),"г.","")))</f>
        <v>Брянск</v>
      </c>
    </row>
    <row r="566">
      <c r="A566" s="3" t="s">
        <v>3153</v>
      </c>
      <c r="B566" s="3" t="s">
        <v>6284</v>
      </c>
      <c r="C566" s="3" t="s">
        <v>6285</v>
      </c>
      <c r="D566" s="3" t="s">
        <v>1591</v>
      </c>
      <c r="E566" s="3" t="s">
        <v>6286</v>
      </c>
      <c r="F566" s="3" t="s">
        <v>4275</v>
      </c>
      <c r="G566" s="3" t="s">
        <v>6287</v>
      </c>
      <c r="H566" t="str">
        <f t="shared" si="239"/>
        <v xml:space="preserve">Казарина Екатерина Владимировна</v>
      </c>
      <c r="I566" s="5">
        <f>IFERROR(IF(ISNUMBER(FIND("-",C566)),DATE(VALUE(LEFT(C566,4)),VALUE(MID(C566,6,2)),VALUE(RIGHT(C566,2))),IF(ISNUMBER(FIND(".",C566)),DATE(VALUE(RIGHT(C566,4)),VALUE(MID(C566,4,2)),VALUE(LEFT(C566,2))),DATE(VALUE(RIGHT(C566,4)),VLOOKUP(TRIM(MID(C566,FIND(" ",C566)+1,LEN(C566)-FIND(" ",C566)-5)),Справочники!$M$3:$N$14,2,0),VALUE(LEFT(C566,FIND(" ",C566)-1))))),"")</f>
        <v>30503</v>
      </c>
      <c r="J566" s="6">
        <f t="shared" si="240"/>
        <v>43</v>
      </c>
      <c r="K566" t="str">
        <f t="shared" si="241"/>
        <v>ОК</v>
      </c>
      <c r="L566" s="5">
        <f>IFERROR(IF(ISNUMBER(FIND("-",G566)),DATE(VALUE(LEFT(G566,4)),VALUE(MID(G566,6,2)),VALUE(RIGHT(G566,2))),IF(ISNUMBER(FIND(".",G566)),DATE(VALUE(RIGHT(G566,4)),VALUE(MID(G566,4,2)),VALUE(LEFT(G566,2))),DATE(VALUE(RIGHT(G566,4)),VLOOKUP(TRIM(MID(G566,FIND(" ",G566)+1,LEN(G566)-FIND(" ",G566)-5)),Справочники!$M$3:$N$14,2,0),VALUE(LEFT(G566,FIND(" ",G566)-1))))),"")</f>
        <v>50284</v>
      </c>
      <c r="M566" t="str">
        <f t="shared" si="242"/>
        <v xml:space="preserve">+7 (903) 456-78-90</v>
      </c>
      <c r="N566" t="str">
        <f t="shared" si="243"/>
        <v>kazarina@mail</v>
      </c>
      <c r="O566" t="str">
        <f t="shared" si="244"/>
        <v xml:space="preserve">Ошибка Email</v>
      </c>
      <c r="P566" t="str">
        <f>IFERROR(VLOOKUP(TRIM(SUBSTITUTE(SUBSTITUTE(" "&amp;F566," г "," "),"г.","")),Справочники!$J$3:$K$102,2,0),TRIM(SUBSTITUTE(SUBSTITUTE(" "&amp;F566," г "," "),"г.","")))</f>
        <v>Абакан</v>
      </c>
    </row>
    <row r="567">
      <c r="A567" s="3" t="s">
        <v>3154</v>
      </c>
      <c r="B567" s="3" t="s">
        <v>6288</v>
      </c>
      <c r="C567" s="3" t="s">
        <v>6289</v>
      </c>
      <c r="D567" s="3" t="s">
        <v>1660</v>
      </c>
      <c r="E567" s="3" t="s">
        <v>6290</v>
      </c>
      <c r="F567" s="3" t="s">
        <v>4280</v>
      </c>
      <c r="G567" s="3" t="s">
        <v>6291</v>
      </c>
      <c r="H567" t="str">
        <f t="shared" si="239"/>
        <v xml:space="preserve">Осинцев Андрей Олегович</v>
      </c>
      <c r="I567" s="5">
        <f>IFERROR(IF(ISNUMBER(FIND("-",C567)),DATE(VALUE(LEFT(C567,4)),VALUE(MID(C567,6,2)),VALUE(RIGHT(C567,2))),IF(ISNUMBER(FIND(".",C567)),DATE(VALUE(RIGHT(C567,4)),VALUE(MID(C567,4,2)),VALUE(LEFT(C567,2))),DATE(VALUE(RIGHT(C567,4)),VLOOKUP(TRIM(MID(C567,FIND(" ",C567)+1,LEN(C567)-FIND(" ",C567)-5)),Справочники!$M$3:$N$14,2,0),VALUE(LEFT(C567,FIND(" ",C567)-1))))),"")</f>
        <v>32990</v>
      </c>
      <c r="J567" s="6">
        <f t="shared" si="240"/>
        <v>36</v>
      </c>
      <c r="K567" t="str">
        <f t="shared" si="241"/>
        <v>ОК</v>
      </c>
      <c r="L567" s="5">
        <f>IFERROR(IF(ISNUMBER(FIND("-",G567)),DATE(VALUE(LEFT(G567,4)),VALUE(MID(G567,6,2)),VALUE(RIGHT(G567,2))),IF(ISNUMBER(FIND(".",G567)),DATE(VALUE(RIGHT(G567,4)),VALUE(MID(G567,4,2)),VALUE(LEFT(G567,2))),DATE(VALUE(RIGHT(G567,4)),VLOOKUP(TRIM(MID(G567,FIND(" ",G567)+1,LEN(G567)-FIND(" ",G567)-5)),Справочники!$M$3:$N$14,2,0),VALUE(LEFT(G567,FIND(" ",G567)-1))))),"")</f>
        <v>50298</v>
      </c>
      <c r="M567" t="str">
        <f t="shared" si="242"/>
        <v xml:space="preserve">+7 (903) 456-78-90</v>
      </c>
      <c r="N567" t="str">
        <f t="shared" si="243"/>
        <v>osintsev@yandex</v>
      </c>
      <c r="O567" t="str">
        <f t="shared" si="244"/>
        <v xml:space="preserve">Ошибка Email</v>
      </c>
      <c r="P567" t="str">
        <f>IFERROR(VLOOKUP(TRIM(SUBSTITUTE(SUBSTITUTE(" "&amp;F567," г "," "),"г.","")),Справочники!$J$3:$K$102,2,0),TRIM(SUBSTITUTE(SUBSTITUTE(" "&amp;F567," г "," "),"г.","")))</f>
        <v>Грозный</v>
      </c>
    </row>
    <row r="568">
      <c r="A568" s="3" t="s">
        <v>3156</v>
      </c>
      <c r="B568" s="3" t="s">
        <v>6292</v>
      </c>
      <c r="C568" s="3" t="s">
        <v>6293</v>
      </c>
      <c r="D568" s="3" t="s">
        <v>3984</v>
      </c>
      <c r="E568" s="3" t="s">
        <v>6294</v>
      </c>
      <c r="F568" s="3" t="s">
        <v>4285</v>
      </c>
      <c r="G568" s="3" t="s">
        <v>6295</v>
      </c>
      <c r="H568" t="str">
        <f t="shared" si="239"/>
        <v xml:space="preserve">Седакова Мария Павловна</v>
      </c>
      <c r="I568" s="5">
        <f>IFERROR(IF(ISNUMBER(FIND("-",C568)),DATE(VALUE(LEFT(C568,4)),VALUE(MID(C568,6,2)),VALUE(RIGHT(C568,2))),IF(ISNUMBER(FIND(".",C568)),DATE(VALUE(RIGHT(C568,4)),VALUE(MID(C568,4,2)),VALUE(LEFT(C568,2))),DATE(VALUE(RIGHT(C568,4)),VLOOKUP(TRIM(MID(C568,FIND(" ",C568)+1,LEN(C568)-FIND(" ",C568)-5)),Справочники!$M$3:$N$14,2,0),VALUE(LEFT(C568,FIND(" ",C568)-1))))),"")</f>
        <v>27717</v>
      </c>
      <c r="J568" s="6">
        <f t="shared" si="240"/>
        <v>50</v>
      </c>
      <c r="K568" t="str">
        <f t="shared" si="241"/>
        <v>ОК</v>
      </c>
      <c r="L568" s="5">
        <f>IFERROR(IF(ISNUMBER(FIND("-",G568)),DATE(VALUE(LEFT(G568,4)),VALUE(MID(G568,6,2)),VALUE(RIGHT(G568,2))),IF(ISNUMBER(FIND(".",G568)),DATE(VALUE(RIGHT(G568,4)),VALUE(MID(G568,4,2)),VALUE(LEFT(G568,2))),DATE(VALUE(RIGHT(G568,4)),VLOOKUP(TRIM(MID(G568,FIND(" ",G568)+1,LEN(G568)-FIND(" ",G568)-5)),Справочники!$M$3:$N$14,2,0),VALUE(LEFT(G568,FIND(" ",G568)-1))))),"")</f>
        <v>50298</v>
      </c>
      <c r="M568" t="str">
        <f t="shared" si="242"/>
        <v xml:space="preserve">+7 (903) 567-89-01</v>
      </c>
      <c r="N568" t="str">
        <f t="shared" si="243"/>
        <v>sedakova@gmail</v>
      </c>
      <c r="O568" t="str">
        <f t="shared" si="244"/>
        <v xml:space="preserve">Ошибка Email</v>
      </c>
      <c r="P568" t="str">
        <f>IFERROR(VLOOKUP(TRIM(SUBSTITUTE(SUBSTITUTE(" "&amp;F568," г "," "),"г.","")),Справочники!$J$3:$K$102,2,0),TRIM(SUBSTITUTE(SUBSTITUTE(" "&amp;F568," г "," "),"г.","")))</f>
        <v>Бийск</v>
      </c>
    </row>
    <row r="569">
      <c r="A569" s="3" t="s">
        <v>3157</v>
      </c>
      <c r="B569" s="3" t="s">
        <v>6296</v>
      </c>
      <c r="C569" s="3" t="s">
        <v>6297</v>
      </c>
      <c r="D569" s="3" t="s">
        <v>3990</v>
      </c>
      <c r="E569" s="3" t="s">
        <v>6298</v>
      </c>
      <c r="F569" s="3" t="s">
        <v>4290</v>
      </c>
      <c r="G569" s="3" t="s">
        <v>6299</v>
      </c>
      <c r="H569" t="str">
        <f t="shared" si="239"/>
        <v xml:space="preserve">Кузьмин Денис Викторович</v>
      </c>
      <c r="I569" s="5">
        <f>IFERROR(IF(ISNUMBER(FIND("-",C569)),DATE(VALUE(LEFT(C569,4)),VALUE(MID(C569,6,2)),VALUE(RIGHT(C569,2))),IF(ISNUMBER(FIND(".",C569)),DATE(VALUE(RIGHT(C569,4)),VALUE(MID(C569,4,2)),VALUE(LEFT(C569,2))),DATE(VALUE(RIGHT(C569,4)),VLOOKUP(TRIM(MID(C569,FIND(" ",C569)+1,LEN(C569)-FIND(" ",C569)-5)),Справочники!$M$3:$N$14,2,0),VALUE(LEFT(C569,FIND(" ",C569)-1))))),"")</f>
        <v>30945</v>
      </c>
      <c r="J569" s="6">
        <f t="shared" si="240"/>
        <v>42</v>
      </c>
      <c r="K569" t="str">
        <f t="shared" si="241"/>
        <v>ОК</v>
      </c>
      <c r="L569" s="5">
        <f>IFERROR(IF(ISNUMBER(FIND("-",G569)),DATE(VALUE(LEFT(G569,4)),VALUE(MID(G569,6,2)),VALUE(RIGHT(G569,2))),IF(ISNUMBER(FIND(".",G569)),DATE(VALUE(RIGHT(G569,4)),VALUE(MID(G569,4,2)),VALUE(LEFT(G569,2))),DATE(VALUE(RIGHT(G569,4)),VLOOKUP(TRIM(MID(G569,FIND(" ",G569)+1,LEN(G569)-FIND(" ",G569)-5)),Справочники!$M$3:$N$14,2,0),VALUE(LEFT(G569,FIND(" ",G569)-1))))),"")</f>
        <v>50314</v>
      </c>
      <c r="M569" t="str">
        <f t="shared" si="242"/>
        <v xml:space="preserve">+7 (903) 567-89-01</v>
      </c>
      <c r="N569" t="str">
        <f t="shared" si="243"/>
        <v>kuzmin@mail</v>
      </c>
      <c r="O569" t="str">
        <f t="shared" si="244"/>
        <v xml:space="preserve">Ошибка Email</v>
      </c>
      <c r="P569" t="str">
        <f>IFERROR(VLOOKUP(TRIM(SUBSTITUTE(SUBSTITUTE(" "&amp;F569," г "," "),"г.","")),Справочники!$J$3:$K$102,2,0),TRIM(SUBSTITUTE(SUBSTITUTE(" "&amp;F569," г "," "),"г.","")))</f>
        <v>Йошкар-Ола</v>
      </c>
    </row>
    <row r="570">
      <c r="A570" s="3" t="s">
        <v>3160</v>
      </c>
      <c r="B570" s="3" t="s">
        <v>6300</v>
      </c>
      <c r="C570" s="3" t="s">
        <v>6301</v>
      </c>
      <c r="D570" s="3" t="s">
        <v>1598</v>
      </c>
      <c r="E570" s="3" t="s">
        <v>6302</v>
      </c>
      <c r="F570" s="3" t="s">
        <v>4295</v>
      </c>
      <c r="G570" s="3" t="s">
        <v>6303</v>
      </c>
      <c r="H570" t="str">
        <f t="shared" si="239"/>
        <v xml:space="preserve">Кравцова Ольга Игоревна</v>
      </c>
      <c r="I570" s="5">
        <f>IFERROR(IF(ISNUMBER(FIND("-",C570)),DATE(VALUE(LEFT(C570,4)),VALUE(MID(C570,6,2)),VALUE(RIGHT(C570,2))),IF(ISNUMBER(FIND(".",C570)),DATE(VALUE(RIGHT(C570,4)),VALUE(MID(C570,4,2)),VALUE(LEFT(C570,2))),DATE(VALUE(RIGHT(C570,4)),VLOOKUP(TRIM(MID(C570,FIND(" ",C570)+1,LEN(C570)-FIND(" ",C570)-5)),Справочники!$M$3:$N$14,2,0),VALUE(LEFT(C570,FIND(" ",C570)-1))))),"")</f>
        <v>31929</v>
      </c>
      <c r="J570" s="6">
        <f t="shared" si="240"/>
        <v>39</v>
      </c>
      <c r="K570" t="str">
        <f t="shared" si="241"/>
        <v>ОК</v>
      </c>
      <c r="L570" s="5">
        <f>IFERROR(IF(ISNUMBER(FIND("-",G570)),DATE(VALUE(LEFT(G570,4)),VALUE(MID(G570,6,2)),VALUE(RIGHT(G570,2))),IF(ISNUMBER(FIND(".",G570)),DATE(VALUE(RIGHT(G570,4)),VALUE(MID(G570,4,2)),VALUE(LEFT(G570,2))),DATE(VALUE(RIGHT(G570,4)),VLOOKUP(TRIM(MID(G570,FIND(" ",G570)+1,LEN(G570)-FIND(" ",G570)-5)),Справочники!$M$3:$N$14,2,0),VALUE(LEFT(G570,FIND(" ",G570)-1))))),"")</f>
        <v>50323</v>
      </c>
      <c r="M570" t="str">
        <f t="shared" si="242"/>
        <v xml:space="preserve">+7 (903) 567-89-01</v>
      </c>
      <c r="N570" t="str">
        <f t="shared" si="243"/>
        <v>kravtsova@yandex</v>
      </c>
      <c r="O570" t="str">
        <f t="shared" si="244"/>
        <v xml:space="preserve">Ошибка Email</v>
      </c>
      <c r="P570" t="str">
        <f>IFERROR(VLOOKUP(TRIM(SUBSTITUTE(SUBSTITUTE(" "&amp;F570," г "," "),"г.","")),Справочники!$J$3:$K$102,2,0),TRIM(SUBSTITUTE(SUBSTITUTE(" "&amp;F570," г "," "),"г.","")))</f>
        <v>Курган</v>
      </c>
    </row>
    <row r="571">
      <c r="A571" s="3" t="s">
        <v>3162</v>
      </c>
      <c r="B571" s="3" t="s">
        <v>6304</v>
      </c>
      <c r="C571" s="3" t="s">
        <v>6305</v>
      </c>
      <c r="D571" s="3" t="s">
        <v>4116</v>
      </c>
      <c r="E571" s="3" t="s">
        <v>6306</v>
      </c>
      <c r="F571" s="3" t="s">
        <v>4300</v>
      </c>
      <c r="G571" s="3" t="s">
        <v>6307</v>
      </c>
      <c r="H571" t="str">
        <f t="shared" si="239"/>
        <v xml:space="preserve">Быстров Илья Александрович</v>
      </c>
      <c r="I571" s="5">
        <f>IFERROR(IF(ISNUMBER(FIND("-",C571)),DATE(VALUE(LEFT(C571,4)),VALUE(MID(C571,6,2)),VALUE(RIGHT(C571,2))),IF(ISNUMBER(FIND(".",C571)),DATE(VALUE(RIGHT(C571,4)),VALUE(MID(C571,4,2)),VALUE(LEFT(C571,2))),DATE(VALUE(RIGHT(C571,4)),VLOOKUP(TRIM(MID(C571,FIND(" ",C571)+1,LEN(C571)-FIND(" ",C571)-5)),Справочники!$M$3:$N$14,2,0),VALUE(LEFT(C571,FIND(" ",C571)-1))))),"")</f>
        <v>28869</v>
      </c>
      <c r="J571" s="6">
        <f t="shared" si="240"/>
        <v>47</v>
      </c>
      <c r="K571" t="str">
        <f t="shared" si="241"/>
        <v>ОК</v>
      </c>
      <c r="L571" s="5">
        <f>IFERROR(IF(ISNUMBER(FIND("-",G571)),DATE(VALUE(LEFT(G571,4)),VALUE(MID(G571,6,2)),VALUE(RIGHT(G571,2))),IF(ISNUMBER(FIND(".",G571)),DATE(VALUE(RIGHT(G571,4)),VALUE(MID(G571,4,2)),VALUE(LEFT(G571,2))),DATE(VALUE(RIGHT(G571,4)),VLOOKUP(TRIM(MID(G571,FIND(" ",G571)+1,LEN(G571)-FIND(" ",G571)-5)),Справочники!$M$3:$N$14,2,0),VALUE(LEFT(G571,FIND(" ",G571)-1))))),"")</f>
        <v>50323</v>
      </c>
      <c r="M571" t="str">
        <f t="shared" si="242"/>
        <v xml:space="preserve">+7 (903) 678-90-12</v>
      </c>
      <c r="N571" t="str">
        <f t="shared" si="243"/>
        <v>bystrov@gmail</v>
      </c>
      <c r="O571" t="str">
        <f t="shared" si="244"/>
        <v xml:space="preserve">Ошибка Email</v>
      </c>
      <c r="P571" t="str">
        <f>IFERROR(VLOOKUP(TRIM(SUBSTITUTE(SUBSTITUTE(" "&amp;F571," г "," "),"г.","")),Справочники!$J$3:$K$102,2,0),TRIM(SUBSTITUTE(SUBSTITUTE(" "&amp;F571," г "," "),"г.","")))</f>
        <v>Архангельск</v>
      </c>
    </row>
    <row r="572">
      <c r="A572" s="3" t="s">
        <v>3164</v>
      </c>
      <c r="B572" s="3" t="s">
        <v>6308</v>
      </c>
      <c r="C572" s="3" t="s">
        <v>5546</v>
      </c>
      <c r="D572" s="3" t="s">
        <v>4122</v>
      </c>
      <c r="E572" s="3" t="s">
        <v>6309</v>
      </c>
      <c r="F572" s="3" t="s">
        <v>4305</v>
      </c>
      <c r="G572" s="3" t="s">
        <v>6310</v>
      </c>
      <c r="H572" t="str">
        <f t="shared" si="239"/>
        <v xml:space="preserve">Сафонова Екатерина Сергеевна</v>
      </c>
      <c r="I572" s="5">
        <f>IFERROR(IF(ISNUMBER(FIND("-",C572)),DATE(VALUE(LEFT(C572,4)),VALUE(MID(C572,6,2)),VALUE(RIGHT(C572,2))),IF(ISNUMBER(FIND(".",C572)),DATE(VALUE(RIGHT(C572,4)),VALUE(MID(C572,4,2)),VALUE(LEFT(C572,2))),DATE(VALUE(RIGHT(C572,4)),VLOOKUP(TRIM(MID(C572,FIND(" ",C572)+1,LEN(C572)-FIND(" ",C572)-5)),Справочники!$M$3:$N$14,2,0),VALUE(LEFT(C572,FIND(" ",C572)-1))))),"")</f>
        <v>33839</v>
      </c>
      <c r="J572" s="6">
        <f t="shared" si="240"/>
        <v>34</v>
      </c>
      <c r="K572" t="str">
        <f t="shared" si="241"/>
        <v>ОК</v>
      </c>
      <c r="L572" s="5">
        <f>IFERROR(IF(ISNUMBER(FIND("-",G572)),DATE(VALUE(LEFT(G572,4)),VALUE(MID(G572,6,2)),VALUE(RIGHT(G572,2))),IF(ISNUMBER(FIND(".",G572)),DATE(VALUE(RIGHT(G572,4)),VALUE(MID(G572,4,2)),VALUE(LEFT(G572,2))),DATE(VALUE(RIGHT(G572,4)),VLOOKUP(TRIM(MID(G572,FIND(" ",G572)+1,LEN(G572)-FIND(" ",G572)-5)),Справочники!$M$3:$N$14,2,0),VALUE(LEFT(G572,FIND(" ",G572)-1))))),"")</f>
        <v>50345</v>
      </c>
      <c r="M572" t="str">
        <f t="shared" si="242"/>
        <v xml:space="preserve">+7 (903) 678-90-12</v>
      </c>
      <c r="N572" t="str">
        <f t="shared" si="243"/>
        <v>safonova@mail</v>
      </c>
      <c r="O572" t="str">
        <f t="shared" si="244"/>
        <v xml:space="preserve">Ошибка Email</v>
      </c>
      <c r="P572" t="str">
        <f>IFERROR(VLOOKUP(TRIM(SUBSTITUTE(SUBSTITUTE(" "&amp;F572," г "," "),"г.","")),Справочники!$J$3:$K$102,2,0),TRIM(SUBSTITUTE(SUBSTITUTE(" "&amp;F572," г "," "),"г.","")))</f>
        <v>Благовещенск</v>
      </c>
    </row>
    <row r="573">
      <c r="A573" s="3" t="s">
        <v>3166</v>
      </c>
      <c r="B573" s="3" t="s">
        <v>6311</v>
      </c>
      <c r="C573" s="3" t="s">
        <v>6312</v>
      </c>
      <c r="D573" s="3" t="s">
        <v>1605</v>
      </c>
      <c r="E573" s="3" t="s">
        <v>6313</v>
      </c>
      <c r="F573" s="3" t="s">
        <v>4310</v>
      </c>
      <c r="G573" s="3" t="s">
        <v>6314</v>
      </c>
      <c r="H573" t="str">
        <f t="shared" si="239"/>
        <v xml:space="preserve">Рыбин Андрей Олегович</v>
      </c>
      <c r="I573" s="5">
        <f>IFERROR(IF(ISNUMBER(FIND("-",C573)),DATE(VALUE(LEFT(C573,4)),VALUE(MID(C573,6,2)),VALUE(RIGHT(C573,2))),IF(ISNUMBER(FIND(".",C573)),DATE(VALUE(RIGHT(C573,4)),VALUE(MID(C573,4,2)),VALUE(LEFT(C573,2))),DATE(VALUE(RIGHT(C573,4)),VLOOKUP(TRIM(MID(C573,FIND(" ",C573)+1,LEN(C573)-FIND(" ",C573)-5)),Справочники!$M$3:$N$14,2,0),VALUE(LEFT(C573,FIND(" ",C573)-1))))),"")</f>
        <v>26222</v>
      </c>
      <c r="J573" s="6">
        <f t="shared" si="240"/>
        <v>55</v>
      </c>
      <c r="K573" t="str">
        <f t="shared" si="241"/>
        <v>ОК</v>
      </c>
      <c r="L573" s="5">
        <f>IFERROR(IF(ISNUMBER(FIND("-",G573)),DATE(VALUE(LEFT(G573,4)),VALUE(MID(G573,6,2)),VALUE(RIGHT(G573,2))),IF(ISNUMBER(FIND(".",G573)),DATE(VALUE(RIGHT(G573,4)),VALUE(MID(G573,4,2)),VALUE(LEFT(G573,2))),DATE(VALUE(RIGHT(G573,4)),VLOOKUP(TRIM(MID(G573,FIND(" ",G573)+1,LEN(G573)-FIND(" ",G573)-5)),Справочники!$M$3:$N$14,2,0),VALUE(LEFT(G573,FIND(" ",G573)-1))))),"")</f>
        <v>50359</v>
      </c>
      <c r="M573" t="str">
        <f t="shared" si="242"/>
        <v xml:space="preserve">+7 (903) 678-90-12</v>
      </c>
      <c r="N573" t="str">
        <f t="shared" si="243"/>
        <v>rybin@yandex</v>
      </c>
      <c r="O573" t="str">
        <f t="shared" si="244"/>
        <v xml:space="preserve">Ошибка Email</v>
      </c>
      <c r="P573" t="str">
        <f>IFERROR(VLOOKUP(TRIM(SUBSTITUTE(SUBSTITUTE(" "&amp;F573," г "," "),"г.","")),Справочники!$J$3:$K$102,2,0),TRIM(SUBSTITUTE(SUBSTITUTE(" "&amp;F573," г "," "),"г.","")))</f>
        <v>Майкоп</v>
      </c>
    </row>
    <row r="574">
      <c r="A574" s="3" t="s">
        <v>3168</v>
      </c>
      <c r="B574" s="3" t="s">
        <v>6315</v>
      </c>
      <c r="C574" s="3" t="s">
        <v>6316</v>
      </c>
      <c r="D574" s="3" t="s">
        <v>4001</v>
      </c>
      <c r="E574" s="3" t="s">
        <v>6317</v>
      </c>
      <c r="F574" s="3" t="s">
        <v>4315</v>
      </c>
      <c r="G574" s="3" t="s">
        <v>6318</v>
      </c>
      <c r="H574" t="str">
        <f t="shared" si="239"/>
        <v xml:space="preserve">Пирогова Мария Владимировна</v>
      </c>
      <c r="I574" s="5">
        <f>IFERROR(IF(ISNUMBER(FIND("-",C574)),DATE(VALUE(LEFT(C574,4)),VALUE(MID(C574,6,2)),VALUE(RIGHT(C574,2))),IF(ISNUMBER(FIND(".",C574)),DATE(VALUE(RIGHT(C574,4)),VALUE(MID(C574,4,2)),VALUE(LEFT(C574,2))),DATE(VALUE(RIGHT(C574,4)),VLOOKUP(TRIM(MID(C574,FIND(" ",C574)+1,LEN(C574)-FIND(" ",C574)-5)),Справочники!$M$3:$N$14,2,0),VALUE(LEFT(C574,FIND(" ",C574)-1))))),"")</f>
        <v>31243</v>
      </c>
      <c r="J574" s="6">
        <f t="shared" si="240"/>
        <v>41</v>
      </c>
      <c r="K574" t="str">
        <f t="shared" si="241"/>
        <v>ОК</v>
      </c>
      <c r="L574" s="5">
        <f>IFERROR(IF(ISNUMBER(FIND("-",G574)),DATE(VALUE(LEFT(G574,4)),VALUE(MID(G574,6,2)),VALUE(RIGHT(G574,2))),IF(ISNUMBER(FIND(".",G574)),DATE(VALUE(RIGHT(G574,4)),VALUE(MID(G574,4,2)),VALUE(LEFT(G574,2))),DATE(VALUE(RIGHT(G574,4)),VLOOKUP(TRIM(MID(G574,FIND(" ",G574)+1,LEN(G574)-FIND(" ",G574)-5)),Справочники!$M$3:$N$14,2,0),VALUE(LEFT(G574,FIND(" ",G574)-1))))),"")</f>
        <v>50359</v>
      </c>
      <c r="M574" t="str">
        <f t="shared" si="242"/>
        <v xml:space="preserve">+7 (903) 789-01-23</v>
      </c>
      <c r="N574" t="str">
        <f t="shared" si="243"/>
        <v>pirogova@gmail</v>
      </c>
      <c r="O574" t="str">
        <f t="shared" si="244"/>
        <v xml:space="preserve">Ошибка Email</v>
      </c>
      <c r="P574" t="str">
        <f>IFERROR(VLOOKUP(TRIM(SUBSTITUTE(SUBSTITUTE(" "&amp;F574," г "," "),"г.","")),Справочники!$J$3:$K$102,2,0),TRIM(SUBSTITUTE(SUBSTITUTE(" "&amp;F574," г "," "),"г.","")))</f>
        <v>Уссурийск</v>
      </c>
    </row>
    <row r="575">
      <c r="A575" s="3" t="s">
        <v>3169</v>
      </c>
      <c r="B575" s="3" t="s">
        <v>6319</v>
      </c>
      <c r="C575" s="3" t="s">
        <v>6320</v>
      </c>
      <c r="D575" s="3" t="s">
        <v>4138</v>
      </c>
      <c r="E575" s="3" t="s">
        <v>6321</v>
      </c>
      <c r="F575" s="3" t="s">
        <v>4320</v>
      </c>
      <c r="G575" s="3" t="s">
        <v>6322</v>
      </c>
      <c r="H575" t="str">
        <f t="shared" si="239"/>
        <v xml:space="preserve">Агафонов Денис Павлович</v>
      </c>
      <c r="I575" s="5">
        <f>IFERROR(IF(ISNUMBER(FIND("-",C575)),DATE(VALUE(LEFT(C575,4)),VALUE(MID(C575,6,2)),VALUE(RIGHT(C575,2))),IF(ISNUMBER(FIND(".",C575)),DATE(VALUE(RIGHT(C575,4)),VALUE(MID(C575,4,2)),VALUE(LEFT(C575,2))),DATE(VALUE(RIGHT(C575,4)),VLOOKUP(TRIM(MID(C575,FIND(" ",C575)+1,LEN(C575)-FIND(" ",C575)-5)),Справочники!$M$3:$N$14,2,0),VALUE(LEFT(C575,FIND(" ",C575)-1))))),"")</f>
        <v>32271</v>
      </c>
      <c r="J575" s="6">
        <f t="shared" si="240"/>
        <v>38</v>
      </c>
      <c r="K575" t="str">
        <f t="shared" si="241"/>
        <v>ОК</v>
      </c>
      <c r="L575" s="5">
        <f>IFERROR(IF(ISNUMBER(FIND("-",G575)),DATE(VALUE(LEFT(G575,4)),VALUE(MID(G575,6,2)),VALUE(RIGHT(G575,2))),IF(ISNUMBER(FIND(".",G575)),DATE(VALUE(RIGHT(G575,4)),VALUE(MID(G575,4,2)),VALUE(LEFT(G575,2))),DATE(VALUE(RIGHT(G575,4)),VLOOKUP(TRIM(MID(G575,FIND(" ",G575)+1,LEN(G575)-FIND(" ",G575)-5)),Справочники!$M$3:$N$14,2,0),VALUE(LEFT(G575,FIND(" ",G575)-1))))),"")</f>
        <v>50375</v>
      </c>
      <c r="M575" t="str">
        <f t="shared" si="242"/>
        <v xml:space="preserve">+7 (903) 789-01-23</v>
      </c>
      <c r="N575" t="str">
        <f t="shared" si="243"/>
        <v>agafonov@mail</v>
      </c>
      <c r="O575" t="str">
        <f t="shared" si="244"/>
        <v xml:space="preserve">Ошибка Email</v>
      </c>
      <c r="P575" t="str">
        <f>IFERROR(VLOOKUP(TRIM(SUBSTITUTE(SUBSTITUTE(" "&amp;F575," г "," "),"г.","")),Справочники!$J$3:$K$102,2,0),TRIM(SUBSTITUTE(SUBSTITUTE(" "&amp;F575," г "," "),"г.","")))</f>
        <v>Миасс</v>
      </c>
    </row>
    <row r="576">
      <c r="A576" s="3" t="s">
        <v>3171</v>
      </c>
      <c r="B576" s="3" t="s">
        <v>6323</v>
      </c>
      <c r="C576" s="3" t="s">
        <v>6324</v>
      </c>
      <c r="D576" s="3" t="s">
        <v>4144</v>
      </c>
      <c r="E576" s="3" t="s">
        <v>6001</v>
      </c>
      <c r="F576" s="3" t="s">
        <v>4325</v>
      </c>
      <c r="G576" s="3" t="s">
        <v>6325</v>
      </c>
      <c r="H576" t="str">
        <f t="shared" si="239"/>
        <v xml:space="preserve">Соболева Ольга Сергеевна</v>
      </c>
      <c r="I576" s="5">
        <f>IFERROR(IF(ISNUMBER(FIND("-",C576)),DATE(VALUE(LEFT(C576,4)),VALUE(MID(C576,6,2)),VALUE(RIGHT(C576,2))),IF(ISNUMBER(FIND(".",C576)),DATE(VALUE(RIGHT(C576,4)),VALUE(MID(C576,4,2)),VALUE(LEFT(C576,2))),DATE(VALUE(RIGHT(C576,4)),VLOOKUP(TRIM(MID(C576,FIND(" ",C576)+1,LEN(C576)-FIND(" ",C576)-5)),Справочники!$M$3:$N$14,2,0),VALUE(LEFT(C576,FIND(" ",C576)-1))))),"")</f>
        <v>29582</v>
      </c>
      <c r="J576" s="6">
        <f t="shared" si="240"/>
        <v>45</v>
      </c>
      <c r="K576" t="str">
        <f t="shared" si="241"/>
        <v>ОК</v>
      </c>
      <c r="L576" s="5">
        <f>IFERROR(IF(ISNUMBER(FIND("-",G576)),DATE(VALUE(LEFT(G576,4)),VALUE(MID(G576,6,2)),VALUE(RIGHT(G576,2))),IF(ISNUMBER(FIND(".",G576)),DATE(VALUE(RIGHT(G576,4)),VALUE(MID(G576,4,2)),VALUE(LEFT(G576,2))),DATE(VALUE(RIGHT(G576,4)),VLOOKUP(TRIM(MID(G576,FIND(" ",G576)+1,LEN(G576)-FIND(" ",G576)-5)),Справочники!$M$3:$N$14,2,0),VALUE(LEFT(G576,FIND(" ",G576)-1))))),"")</f>
        <v>50384</v>
      </c>
      <c r="M576" t="str">
        <f t="shared" si="242"/>
        <v xml:space="preserve">+7 (903) 789-01-23</v>
      </c>
      <c r="N576" t="str">
        <f t="shared" si="243"/>
        <v>soboleva@yandex</v>
      </c>
      <c r="O576" t="str">
        <f t="shared" si="244"/>
        <v xml:space="preserve">Ошибка Email</v>
      </c>
      <c r="P576" t="str">
        <f>IFERROR(VLOOKUP(TRIM(SUBSTITUTE(SUBSTITUTE(" "&amp;F576," г "," "),"г.","")),Справочники!$J$3:$K$102,2,0),TRIM(SUBSTITUTE(SUBSTITUTE(" "&amp;F576," г "," "),"г.","")))</f>
        <v>Кызыл</v>
      </c>
    </row>
    <row r="577">
      <c r="A577" s="3" t="s">
        <v>3173</v>
      </c>
      <c r="B577" s="3" t="s">
        <v>6326</v>
      </c>
      <c r="C577" s="3" t="s">
        <v>6327</v>
      </c>
      <c r="D577" s="3" t="s">
        <v>4150</v>
      </c>
      <c r="E577" s="3" t="s">
        <v>6328</v>
      </c>
      <c r="F577" s="3" t="s">
        <v>4330</v>
      </c>
      <c r="G577" s="3" t="s">
        <v>6329</v>
      </c>
      <c r="H577" t="str">
        <f t="shared" si="239"/>
        <v xml:space="preserve">Кротов Илья Викторович</v>
      </c>
      <c r="I577" s="5">
        <f>IFERROR(IF(ISNUMBER(FIND("-",C577)),DATE(VALUE(LEFT(C577,4)),VALUE(MID(C577,6,2)),VALUE(RIGHT(C577,2))),IF(ISNUMBER(FIND(".",C577)),DATE(VALUE(RIGHT(C577,4)),VALUE(MID(C577,4,2)),VALUE(LEFT(C577,2))),DATE(VALUE(RIGHT(C577,4)),VLOOKUP(TRIM(MID(C577,FIND(" ",C577)+1,LEN(C577)-FIND(" ",C577)-5)),Справочники!$M$3:$N$14,2,0),VALUE(LEFT(C577,FIND(" ",C577)-1))))),"")</f>
        <v>27812</v>
      </c>
      <c r="J577" s="6">
        <f t="shared" si="240"/>
        <v>50</v>
      </c>
      <c r="K577" t="str">
        <f t="shared" si="241"/>
        <v>ОК</v>
      </c>
      <c r="L577" s="5">
        <f>IFERROR(IF(ISNUMBER(FIND("-",G577)),DATE(VALUE(LEFT(G577,4)),VALUE(MID(G577,6,2)),VALUE(RIGHT(G577,2))),IF(ISNUMBER(FIND(".",G577)),DATE(VALUE(RIGHT(G577,4)),VALUE(MID(G577,4,2)),VALUE(LEFT(G577,2))),DATE(VALUE(RIGHT(G577,4)),VLOOKUP(TRIM(MID(G577,FIND(" ",G577)+1,LEN(G577)-FIND(" ",G577)-5)),Справочники!$M$3:$N$14,2,0),VALUE(LEFT(G577,FIND(" ",G577)-1))))),"")</f>
        <v>50384</v>
      </c>
      <c r="M577" t="str">
        <f t="shared" si="242"/>
        <v xml:space="preserve">+7 (903) 890-12-34</v>
      </c>
      <c r="N577" t="str">
        <f t="shared" si="243"/>
        <v>krotov@gmail</v>
      </c>
      <c r="O577" t="str">
        <f t="shared" si="244"/>
        <v xml:space="preserve">Ошибка Email</v>
      </c>
      <c r="P577" t="str">
        <f>IFERROR(VLOOKUP(TRIM(SUBSTITUTE(SUBSTITUTE(" "&amp;F577," г "," "),"г.","")),Справочники!$J$3:$K$102,2,0),TRIM(SUBSTITUTE(SUBSTITUTE(" "&amp;F577," г "," "),"г.","")))</f>
        <v>Калининград</v>
      </c>
    </row>
    <row r="578">
      <c r="A578" s="3" t="s">
        <v>3175</v>
      </c>
      <c r="B578" s="3" t="s">
        <v>6330</v>
      </c>
      <c r="C578" s="3" t="s">
        <v>6331</v>
      </c>
      <c r="D578" s="3" t="s">
        <v>4007</v>
      </c>
      <c r="E578" s="3" t="s">
        <v>6332</v>
      </c>
      <c r="F578" s="3" t="s">
        <v>4335</v>
      </c>
      <c r="G578" s="3" t="s">
        <v>6333</v>
      </c>
      <c r="H578" t="str">
        <f t="shared" si="239"/>
        <v xml:space="preserve">Судакова Екатерина Алексеевна</v>
      </c>
      <c r="I578" s="5">
        <f>IFERROR(IF(ISNUMBER(FIND("-",C578)),DATE(VALUE(LEFT(C578,4)),VALUE(MID(C578,6,2)),VALUE(RIGHT(C578,2))),IF(ISNUMBER(FIND(".",C578)),DATE(VALUE(RIGHT(C578,4)),VALUE(MID(C578,4,2)),VALUE(LEFT(C578,2))),DATE(VALUE(RIGHT(C578,4)),VLOOKUP(TRIM(MID(C578,FIND(" ",C578)+1,LEN(C578)-FIND(" ",C578)-5)),Справочники!$M$3:$N$14,2,0),VALUE(LEFT(C578,FIND(" ",C578)-1))))),"")</f>
        <v>30998</v>
      </c>
      <c r="J578" s="6">
        <f t="shared" si="240"/>
        <v>41</v>
      </c>
      <c r="K578" t="str">
        <f t="shared" si="241"/>
        <v>ОК</v>
      </c>
      <c r="L578" s="5">
        <f>IFERROR(IF(ISNUMBER(FIND("-",G578)),DATE(VALUE(LEFT(G578,4)),VALUE(MID(G578,6,2)),VALUE(RIGHT(G578,2))),IF(ISNUMBER(FIND(".",G578)),DATE(VALUE(RIGHT(G578,4)),VALUE(MID(G578,4,2)),VALUE(LEFT(G578,2))),DATE(VALUE(RIGHT(G578,4)),VLOOKUP(TRIM(MID(G578,FIND(" ",G578)+1,LEN(G578)-FIND(" ",G578)-5)),Справочники!$M$3:$N$14,2,0),VALUE(LEFT(G578,FIND(" ",G578)-1))))),"")</f>
        <v>50406</v>
      </c>
      <c r="M578" t="str">
        <f t="shared" si="242"/>
        <v xml:space="preserve">+7 (903) 890-12-34</v>
      </c>
      <c r="N578" t="str">
        <f t="shared" si="243"/>
        <v>sudakova@mail</v>
      </c>
      <c r="O578" t="str">
        <f t="shared" si="244"/>
        <v xml:space="preserve">Ошибка Email</v>
      </c>
      <c r="P578" t="str">
        <f>IFERROR(VLOOKUP(TRIM(SUBSTITUTE(SUBSTITUTE(" "&amp;F578," г "," "),"г.","")),Справочники!$J$3:$K$102,2,0),TRIM(SUBSTITUTE(SUBSTITUTE(" "&amp;F578," г "," "),"г.","")))</f>
        <v>Петрозаводск</v>
      </c>
    </row>
    <row r="579">
      <c r="A579" s="3" t="s">
        <v>3177</v>
      </c>
      <c r="B579" s="3" t="s">
        <v>6334</v>
      </c>
      <c r="C579" s="3" t="s">
        <v>6335</v>
      </c>
      <c r="D579" s="3" t="s">
        <v>1619</v>
      </c>
      <c r="E579" s="3" t="s">
        <v>6336</v>
      </c>
      <c r="F579" s="3" t="s">
        <v>4340</v>
      </c>
      <c r="G579" s="3" t="s">
        <v>6337</v>
      </c>
      <c r="H579" t="str">
        <f t="shared" si="239"/>
        <v xml:space="preserve">Белкин Андрей Олегович</v>
      </c>
      <c r="I579" s="5">
        <f>IFERROR(IF(ISNUMBER(FIND("-",C579)),DATE(VALUE(LEFT(C579,4)),VALUE(MID(C579,6,2)),VALUE(RIGHT(C579,2))),IF(ISNUMBER(FIND(".",C579)),DATE(VALUE(RIGHT(C579,4)),VALUE(MID(C579,4,2)),VALUE(LEFT(C579,2))),DATE(VALUE(RIGHT(C579,4)),VLOOKUP(TRIM(MID(C579,FIND(" ",C579)+1,LEN(C579)-FIND(" ",C579)-5)),Справочники!$M$3:$N$14,2,0),VALUE(LEFT(C579,FIND(" ",C579)-1))))),"")</f>
        <v>33053</v>
      </c>
      <c r="J579" s="6">
        <f t="shared" si="240"/>
        <v>36</v>
      </c>
      <c r="K579" t="str">
        <f t="shared" si="241"/>
        <v>ОК</v>
      </c>
      <c r="L579" s="5">
        <f>IFERROR(IF(ISNUMBER(FIND("-",G579)),DATE(VALUE(LEFT(G579,4)),VALUE(MID(G579,6,2)),VALUE(RIGHT(G579,2))),IF(ISNUMBER(FIND(".",G579)),DATE(VALUE(RIGHT(G579,4)),VALUE(MID(G579,4,2)),VALUE(LEFT(G579,2))),DATE(VALUE(RIGHT(G579,4)),VLOOKUP(TRIM(MID(G579,FIND(" ",G579)+1,LEN(G579)-FIND(" ",G579)-5)),Справочники!$M$3:$N$14,2,0),VALUE(LEFT(G579,FIND(" ",G579)-1))))),"")</f>
        <v>50420</v>
      </c>
      <c r="M579" t="str">
        <f t="shared" si="242"/>
        <v xml:space="preserve">+7 (903) 890-12-34</v>
      </c>
      <c r="N579" t="str">
        <f t="shared" si="243"/>
        <v>belkin@yandex</v>
      </c>
      <c r="O579" t="str">
        <f t="shared" si="244"/>
        <v xml:space="preserve">Ошибка Email</v>
      </c>
      <c r="P579" t="str">
        <f>IFERROR(VLOOKUP(TRIM(SUBSTITUTE(SUBSTITUTE(" "&amp;F579," г "," "),"г.","")),Справочники!$J$3:$K$102,2,0),TRIM(SUBSTITUTE(SUBSTITUTE(" "&amp;F579," г "," "),"г.","")))</f>
        <v>Рубцовск</v>
      </c>
    </row>
    <row r="580">
      <c r="A580" s="3" t="s">
        <v>3179</v>
      </c>
      <c r="B580" s="3" t="s">
        <v>6338</v>
      </c>
      <c r="C580" s="3" t="s">
        <v>6339</v>
      </c>
      <c r="D580" s="3" t="s">
        <v>4018</v>
      </c>
      <c r="E580" s="3" t="s">
        <v>6340</v>
      </c>
      <c r="F580" s="3" t="s">
        <v>4345</v>
      </c>
      <c r="G580" s="3" t="s">
        <v>6341</v>
      </c>
      <c r="H580" t="str">
        <f t="shared" si="239"/>
        <v xml:space="preserve">Митрофанова Мария Павловна</v>
      </c>
      <c r="I580" s="5">
        <f>IFERROR(IF(ISNUMBER(FIND("-",C580)),DATE(VALUE(LEFT(C580,4)),VALUE(MID(C580,6,2)),VALUE(RIGHT(C580,2))),IF(ISNUMBER(FIND(".",C580)),DATE(VALUE(RIGHT(C580,4)),VALUE(MID(C580,4,2)),VALUE(LEFT(C580,2))),DATE(VALUE(RIGHT(C580,4)),VLOOKUP(TRIM(MID(C580,FIND(" ",C580)+1,LEN(C580)-FIND(" ",C580)-5)),Справочники!$M$3:$N$14,2,0),VALUE(LEFT(C580,FIND(" ",C580)-1))))),"")</f>
        <v>26682</v>
      </c>
      <c r="J580" s="6">
        <f t="shared" si="240"/>
        <v>53</v>
      </c>
      <c r="K580" t="str">
        <f t="shared" si="241"/>
        <v>ОК</v>
      </c>
      <c r="L580" s="5">
        <f>IFERROR(IF(ISNUMBER(FIND("-",G580)),DATE(VALUE(LEFT(G580,4)),VALUE(MID(G580,6,2)),VALUE(RIGHT(G580,2))),IF(ISNUMBER(FIND(".",G580)),DATE(VALUE(RIGHT(G580,4)),VALUE(MID(G580,4,2)),VALUE(LEFT(G580,2))),DATE(VALUE(RIGHT(G580,4)),VLOOKUP(TRIM(MID(G580,FIND(" ",G580)+1,LEN(G580)-FIND(" ",G580)-5)),Справочники!$M$3:$N$14,2,0),VALUE(LEFT(G580,FIND(" ",G580)-1))))),"")</f>
        <v>50420</v>
      </c>
      <c r="M580" t="str">
        <f t="shared" si="242"/>
        <v xml:space="preserve">+7 (903) 901-23-45</v>
      </c>
      <c r="N580" t="str">
        <f t="shared" si="243"/>
        <v>mitrofanova@gmail</v>
      </c>
      <c r="O580" t="str">
        <f t="shared" si="244"/>
        <v xml:space="preserve">Ошибка Email</v>
      </c>
      <c r="P580" t="str">
        <f>IFERROR(VLOOKUP(TRIM(SUBSTITUTE(SUBSTITUTE(" "&amp;F580," г "," "),"г.","")),Справочники!$J$3:$K$102,2,0),TRIM(SUBSTITUTE(SUBSTITUTE(" "&amp;F580," г "," "),"г.","")))</f>
        <v>Элиста</v>
      </c>
    </row>
    <row r="581">
      <c r="A581" s="3" t="s">
        <v>3180</v>
      </c>
      <c r="B581" s="3" t="s">
        <v>6342</v>
      </c>
      <c r="C581" s="3" t="s">
        <v>6343</v>
      </c>
      <c r="D581" s="3" t="s">
        <v>1626</v>
      </c>
      <c r="E581" s="3" t="s">
        <v>6344</v>
      </c>
      <c r="F581" s="3" t="s">
        <v>4350</v>
      </c>
      <c r="G581" s="3" t="s">
        <v>6345</v>
      </c>
      <c r="H581" t="str">
        <f t="shared" si="239"/>
        <v xml:space="preserve">Лысов Денис Сергеевич</v>
      </c>
      <c r="I581" s="5">
        <f>IFERROR(IF(ISNUMBER(FIND("-",C581)),DATE(VALUE(LEFT(C581,4)),VALUE(MID(C581,6,2)),VALUE(RIGHT(C581,2))),IF(ISNUMBER(FIND(".",C581)),DATE(VALUE(RIGHT(C581,4)),VALUE(MID(C581,4,2)),VALUE(LEFT(C581,2))),DATE(VALUE(RIGHT(C581,4)),VLOOKUP(TRIM(MID(C581,FIND(" ",C581)+1,LEN(C581)-FIND(" ",C581)-5)),Справочники!$M$3:$N$14,2,0),VALUE(LEFT(C581,FIND(" ",C581)-1))))),"")</f>
        <v>29836</v>
      </c>
      <c r="J581" s="6">
        <f t="shared" si="240"/>
        <v>45</v>
      </c>
      <c r="K581" t="str">
        <f t="shared" si="241"/>
        <v>ОК</v>
      </c>
      <c r="L581" s="5">
        <f>IFERROR(IF(ISNUMBER(FIND("-",G581)),DATE(VALUE(LEFT(G581,4)),VALUE(MID(G581,6,2)),VALUE(RIGHT(G581,2))),IF(ISNUMBER(FIND(".",G581)),DATE(VALUE(RIGHT(G581,4)),VALUE(MID(G581,4,2)),VALUE(LEFT(G581,2))),DATE(VALUE(RIGHT(G581,4)),VLOOKUP(TRIM(MID(G581,FIND(" ",G581)+1,LEN(G581)-FIND(" ",G581)-5)),Справочники!$M$3:$N$14,2,0),VALUE(LEFT(G581,FIND(" ",G581)-1))))),"")</f>
        <v>50437</v>
      </c>
      <c r="M581" t="str">
        <f t="shared" si="242"/>
        <v xml:space="preserve">+7 (903) 901-23-45</v>
      </c>
      <c r="N581" t="str">
        <f t="shared" si="243"/>
        <v>lysov@mail</v>
      </c>
      <c r="O581" t="str">
        <f t="shared" si="244"/>
        <v xml:space="preserve">Ошибка Email</v>
      </c>
      <c r="P581" t="str">
        <f>IFERROR(VLOOKUP(TRIM(SUBSTITUTE(SUBSTITUTE(" "&amp;F581," г "," "),"г.","")),Справочники!$J$3:$K$102,2,0),TRIM(SUBSTITUTE(SUBSTITUTE(" "&amp;F581," г "," "),"г.","")))</f>
        <v>Орск</v>
      </c>
    </row>
    <row r="582">
      <c r="A582" s="3" t="s">
        <v>3182</v>
      </c>
      <c r="B582" s="3" t="s">
        <v>6346</v>
      </c>
      <c r="C582" s="3" t="s">
        <v>6347</v>
      </c>
      <c r="D582" s="3" t="s">
        <v>4176</v>
      </c>
      <c r="E582" s="3" t="s">
        <v>6348</v>
      </c>
      <c r="F582" s="3" t="s">
        <v>4355</v>
      </c>
      <c r="G582" s="3" t="s">
        <v>6349</v>
      </c>
      <c r="H582" t="str">
        <f t="shared" si="239"/>
        <v xml:space="preserve">Горбачева Ольга Владимировна</v>
      </c>
      <c r="I582" s="5">
        <f>IFERROR(IF(ISNUMBER(FIND("-",C582)),DATE(VALUE(LEFT(C582,4)),VALUE(MID(C582,6,2)),VALUE(RIGHT(C582,2))),IF(ISNUMBER(FIND(".",C582)),DATE(VALUE(RIGHT(C582,4)),VALUE(MID(C582,4,2)),VALUE(LEFT(C582,2))),DATE(VALUE(RIGHT(C582,4)),VLOOKUP(TRIM(MID(C582,FIND(" ",C582)+1,LEN(C582)-FIND(" ",C582)-5)),Справочники!$M$3:$N$14,2,0),VALUE(LEFT(C582,FIND(" ",C582)-1))))),"")</f>
        <v>31617</v>
      </c>
      <c r="J582" s="6">
        <f t="shared" si="240"/>
        <v>40</v>
      </c>
      <c r="K582" t="str">
        <f t="shared" si="241"/>
        <v>ОК</v>
      </c>
      <c r="L582" s="5">
        <f>IFERROR(IF(ISNUMBER(FIND("-",G582)),DATE(VALUE(LEFT(G582,4)),VALUE(MID(G582,6,2)),VALUE(RIGHT(G582,2))),IF(ISNUMBER(FIND(".",G582)),DATE(VALUE(RIGHT(G582,4)),VALUE(MID(G582,4,2)),VALUE(LEFT(G582,2))),DATE(VALUE(RIGHT(G582,4)),VLOOKUP(TRIM(MID(G582,FIND(" ",G582)+1,LEN(G582)-FIND(" ",G582)-5)),Справочники!$M$3:$N$14,2,0),VALUE(LEFT(G582,FIND(" ",G582)-1))))),"")</f>
        <v>50446</v>
      </c>
      <c r="M582" t="str">
        <f t="shared" si="242"/>
        <v xml:space="preserve">+7 (903) 901-23-45</v>
      </c>
      <c r="N582" t="str">
        <f t="shared" si="243"/>
        <v>gorbacheva@yandex</v>
      </c>
      <c r="O582" t="str">
        <f t="shared" si="244"/>
        <v xml:space="preserve">Ошибка Email</v>
      </c>
      <c r="P582" t="str">
        <f>IFERROR(VLOOKUP(TRIM(SUBSTITUTE(SUBSTITUTE(" "&amp;F582," г "," "),"г.","")),Справочники!$J$3:$K$102,2,0),TRIM(SUBSTITUTE(SUBSTITUTE(" "&amp;F582," г "," "),"г.","")))</f>
        <v>Нижневартовск</v>
      </c>
    </row>
    <row r="583">
      <c r="A583" s="3" t="s">
        <v>3183</v>
      </c>
      <c r="B583" s="3" t="s">
        <v>6350</v>
      </c>
      <c r="C583" s="3" t="s">
        <v>6351</v>
      </c>
      <c r="D583" s="3" t="s">
        <v>4182</v>
      </c>
      <c r="E583" s="3" t="s">
        <v>6352</v>
      </c>
      <c r="F583" s="3" t="s">
        <v>4360</v>
      </c>
      <c r="G583" s="3" t="s">
        <v>6353</v>
      </c>
      <c r="H583" t="str">
        <f t="shared" si="239"/>
        <v xml:space="preserve">Сыроваткин Илья Алексеевич</v>
      </c>
      <c r="I583" s="5">
        <f>IFERROR(IF(ISNUMBER(FIND("-",C583)),DATE(VALUE(LEFT(C583,4)),VALUE(MID(C583,6,2)),VALUE(RIGHT(C583,2))),IF(ISNUMBER(FIND(".",C583)),DATE(VALUE(RIGHT(C583,4)),VALUE(MID(C583,4,2)),VALUE(LEFT(C583,2))),DATE(VALUE(RIGHT(C583,4)),VLOOKUP(TRIM(MID(C583,FIND(" ",C583)+1,LEN(C583)-FIND(" ",C583)-5)),Справочники!$M$3:$N$14,2,0),VALUE(LEFT(C583,FIND(" ",C583)-1))))),"")</f>
        <v>28460</v>
      </c>
      <c r="J583" s="6">
        <f t="shared" si="240"/>
        <v>48</v>
      </c>
      <c r="K583" t="str">
        <f t="shared" si="241"/>
        <v>ОК</v>
      </c>
      <c r="L583" s="5">
        <f>IFERROR(IF(ISNUMBER(FIND("-",G583)),DATE(VALUE(LEFT(G583,4)),VALUE(MID(G583,6,2)),VALUE(RIGHT(G583,2))),IF(ISNUMBER(FIND(".",G583)),DATE(VALUE(RIGHT(G583,4)),VALUE(MID(G583,4,2)),VALUE(LEFT(G583,2))),DATE(VALUE(RIGHT(G583,4)),VLOOKUP(TRIM(MID(G583,FIND(" ",G583)+1,LEN(G583)-FIND(" ",G583)-5)),Справочники!$M$3:$N$14,2,0),VALUE(LEFT(G583,FIND(" ",G583)-1))))),"")</f>
        <v>50446</v>
      </c>
      <c r="M583" t="str">
        <f t="shared" si="242"/>
        <v xml:space="preserve">+7 (903) 012-34-56</v>
      </c>
      <c r="N583" t="str">
        <f t="shared" si="243"/>
        <v>syrovatkin@gmail</v>
      </c>
      <c r="O583" t="str">
        <f t="shared" si="244"/>
        <v xml:space="preserve">Ошибка Email</v>
      </c>
      <c r="P583" t="str">
        <f>IFERROR(VLOOKUP(TRIM(SUBSTITUTE(SUBSTITUTE(" "&amp;F583," г "," "),"г.","")),Справочники!$J$3:$K$102,2,0),TRIM(SUBSTITUTE(SUBSTITUTE(" "&amp;F583," г "," "),"г.","")))</f>
        <v>Новороссийск</v>
      </c>
    </row>
    <row r="584">
      <c r="A584" s="3" t="s">
        <v>3185</v>
      </c>
      <c r="B584" s="3" t="s">
        <v>6354</v>
      </c>
      <c r="C584" s="3" t="s">
        <v>6355</v>
      </c>
      <c r="D584" s="3" t="s">
        <v>4188</v>
      </c>
      <c r="E584" s="3" t="s">
        <v>6356</v>
      </c>
      <c r="F584" s="3" t="s">
        <v>4365</v>
      </c>
      <c r="G584" s="3" t="s">
        <v>6357</v>
      </c>
      <c r="H584" t="str">
        <f t="shared" si="239"/>
        <v xml:space="preserve">Блинова Екатерина Сергеевна</v>
      </c>
      <c r="I584" s="5">
        <f>IFERROR(IF(ISNUMBER(FIND("-",C584)),DATE(VALUE(LEFT(C584,4)),VALUE(MID(C584,6,2)),VALUE(RIGHT(C584,2))),IF(ISNUMBER(FIND(".",C584)),DATE(VALUE(RIGHT(C584,4)),VALUE(MID(C584,4,2)),VALUE(LEFT(C584,2))),DATE(VALUE(RIGHT(C584,4)),VLOOKUP(TRIM(MID(C584,FIND(" ",C584)+1,LEN(C584)-FIND(" ",C584)-5)),Справочники!$M$3:$N$14,2,0),VALUE(LEFT(C584,FIND(" ",C584)-1))))),"")</f>
        <v>30420</v>
      </c>
      <c r="J584" s="6">
        <f t="shared" si="240"/>
        <v>43</v>
      </c>
      <c r="K584" t="str">
        <f t="shared" si="241"/>
        <v>ОК</v>
      </c>
      <c r="L584" s="5">
        <f>IFERROR(IF(ISNUMBER(FIND("-",G584)),DATE(VALUE(LEFT(G584,4)),VALUE(MID(G584,6,2)),VALUE(RIGHT(G584,2))),IF(ISNUMBER(FIND(".",G584)),DATE(VALUE(RIGHT(G584,4)),VALUE(MID(G584,4,2)),VALUE(LEFT(G584,2))),DATE(VALUE(RIGHT(G584,4)),VLOOKUP(TRIM(MID(G584,FIND(" ",G584)+1,LEN(G584)-FIND(" ",G584)-5)),Справочники!$M$3:$N$14,2,0),VALUE(LEFT(G584,FIND(" ",G584)-1))))),"")</f>
        <v>50465</v>
      </c>
      <c r="M584" t="str">
        <f t="shared" si="242"/>
        <v xml:space="preserve">+7 (903) 012-34-56</v>
      </c>
      <c r="N584" t="str">
        <f t="shared" si="243"/>
        <v>blinova@mail</v>
      </c>
      <c r="O584" t="str">
        <f t="shared" si="244"/>
        <v xml:space="preserve">Ошибка Email</v>
      </c>
      <c r="P584" t="str">
        <f>IFERROR(VLOOKUP(TRIM(SUBSTITUTE(SUBSTITUTE(" "&amp;F584," г "," "),"г.","")),Справочники!$J$3:$K$102,2,0),TRIM(SUBSTITUTE(SUBSTITUTE(" "&amp;F584," г "," "),"г.","")))</f>
        <v>Химки</v>
      </c>
    </row>
    <row r="585">
      <c r="A585" s="3" t="s">
        <v>3186</v>
      </c>
      <c r="B585" s="3" t="s">
        <v>6358</v>
      </c>
      <c r="C585" s="3" t="s">
        <v>6359</v>
      </c>
      <c r="D585" s="3" t="s">
        <v>1633</v>
      </c>
      <c r="E585" s="3" t="s">
        <v>6360</v>
      </c>
      <c r="F585" s="3" t="s">
        <v>4370</v>
      </c>
      <c r="G585" s="3" t="s">
        <v>6361</v>
      </c>
      <c r="H585" t="str">
        <f t="shared" si="239"/>
        <v xml:space="preserve">Кочнев Андрей Павлович</v>
      </c>
      <c r="I585" s="5">
        <f>IFERROR(IF(ISNUMBER(FIND("-",C585)),DATE(VALUE(LEFT(C585,4)),VALUE(MID(C585,6,2)),VALUE(RIGHT(C585,2))),IF(ISNUMBER(FIND(".",C585)),DATE(VALUE(RIGHT(C585,4)),VALUE(MID(C585,4,2)),VALUE(LEFT(C585,2))),DATE(VALUE(RIGHT(C585,4)),VLOOKUP(TRIM(MID(C585,FIND(" ",C585)+1,LEN(C585)-FIND(" ",C585)-5)),Справочники!$M$3:$N$14,2,0),VALUE(LEFT(C585,FIND(" ",C585)-1))))),"")</f>
        <v>32802</v>
      </c>
      <c r="J585" s="6">
        <f t="shared" si="240"/>
        <v>37</v>
      </c>
      <c r="K585" t="str">
        <f t="shared" si="241"/>
        <v>ОК</v>
      </c>
      <c r="L585" s="5">
        <f>IFERROR(IF(ISNUMBER(FIND("-",G585)),DATE(VALUE(LEFT(G585,4)),VALUE(MID(G585,6,2)),VALUE(RIGHT(G585,2))),IF(ISNUMBER(FIND(".",G585)),DATE(VALUE(RIGHT(G585,4)),VALUE(MID(G585,4,2)),VALUE(LEFT(G585,2))),DATE(VALUE(RIGHT(G585,4)),VLOOKUP(TRIM(MID(G585,FIND(" ",G585)+1,LEN(G585)-FIND(" ",G585)-5)),Справочники!$M$3:$N$14,2,0),VALUE(LEFT(G585,FIND(" ",G585)-1))))),"")</f>
        <v>50479</v>
      </c>
      <c r="M585" t="str">
        <f t="shared" si="242"/>
        <v xml:space="preserve">+7 (903) 012-34-56</v>
      </c>
      <c r="N585" t="str">
        <f t="shared" si="243"/>
        <v>kochnev@yandex</v>
      </c>
      <c r="O585" t="str">
        <f t="shared" si="244"/>
        <v xml:space="preserve">Ошибка Email</v>
      </c>
      <c r="P585" t="str">
        <f>IFERROR(VLOOKUP(TRIM(SUBSTITUTE(SUBSTITUTE(" "&amp;F585," г "," "),"г.","")),Справочники!$J$3:$K$102,2,0),TRIM(SUBSTITUTE(SUBSTITUTE(" "&amp;F585," г "," "),"г.","")))</f>
        <v>Подольск</v>
      </c>
    </row>
    <row r="586">
      <c r="A586" s="3" t="s">
        <v>3188</v>
      </c>
      <c r="B586" s="3" t="s">
        <v>6362</v>
      </c>
      <c r="C586" s="3" t="s">
        <v>6363</v>
      </c>
      <c r="D586" s="3" t="s">
        <v>4034</v>
      </c>
      <c r="E586" s="3" t="s">
        <v>4542</v>
      </c>
      <c r="F586" s="3" t="s">
        <v>4375</v>
      </c>
      <c r="G586" s="3" t="s">
        <v>6364</v>
      </c>
      <c r="H586" t="str">
        <f t="shared" si="239"/>
        <v xml:space="preserve">Шаповалова Мария Олеговна</v>
      </c>
      <c r="I586" s="5">
        <f>IFERROR(IF(ISNUMBER(FIND("-",C586)),DATE(VALUE(LEFT(C586,4)),VALUE(MID(C586,6,2)),VALUE(RIGHT(C586,2))),IF(ISNUMBER(FIND(".",C586)),DATE(VALUE(RIGHT(C586,4)),VALUE(MID(C586,4,2)),VALUE(LEFT(C586,2))),DATE(VALUE(RIGHT(C586,4)),VLOOKUP(TRIM(MID(C586,FIND(" ",C586)+1,LEN(C586)-FIND(" ",C586)-5)),Справочники!$M$3:$N$14,2,0),VALUE(LEFT(C586,FIND(" ",C586)-1))))),"")</f>
        <v>27464</v>
      </c>
      <c r="J586" s="6">
        <f t="shared" si="240"/>
        <v>51</v>
      </c>
      <c r="K586" t="str">
        <f t="shared" si="241"/>
        <v>ОК</v>
      </c>
      <c r="L586" s="5">
        <f>IFERROR(IF(ISNUMBER(FIND("-",G586)),DATE(VALUE(LEFT(G586,4)),VALUE(MID(G586,6,2)),VALUE(RIGHT(G586,2))),IF(ISNUMBER(FIND(".",G586)),DATE(VALUE(RIGHT(G586,4)),VALUE(MID(G586,4,2)),VALUE(LEFT(G586,2))),DATE(VALUE(RIGHT(G586,4)),VLOOKUP(TRIM(MID(G586,FIND(" ",G586)+1,LEN(G586)-FIND(" ",G586)-5)),Справочники!$M$3:$N$14,2,0),VALUE(LEFT(G586,FIND(" ",G586)-1))))),"")</f>
        <v>50479</v>
      </c>
      <c r="M586" t="str">
        <f t="shared" si="242"/>
        <v xml:space="preserve">+7 (903) 123-45-67</v>
      </c>
      <c r="N586" t="str">
        <f t="shared" si="243"/>
        <v>shapovalova@gmail</v>
      </c>
      <c r="O586" t="str">
        <f t="shared" si="244"/>
        <v xml:space="preserve">Ошибка Email</v>
      </c>
      <c r="P586" t="str">
        <f>IFERROR(VLOOKUP(TRIM(SUBSTITUTE(SUBSTITUTE(" "&amp;F586," г "," "),"г.","")),Справочники!$J$3:$K$102,2,0),TRIM(SUBSTITUTE(SUBSTITUTE(" "&amp;F586," г "," "),"г.","")))</f>
        <v>Балашиха</v>
      </c>
    </row>
    <row r="587">
      <c r="A587" s="3" t="s">
        <v>3189</v>
      </c>
      <c r="B587" s="3" t="s">
        <v>6365</v>
      </c>
      <c r="C587" s="3" t="s">
        <v>6366</v>
      </c>
      <c r="D587" s="3" t="s">
        <v>4040</v>
      </c>
      <c r="E587" s="3" t="s">
        <v>6367</v>
      </c>
      <c r="F587" s="3" t="s">
        <v>4380</v>
      </c>
      <c r="G587" s="3" t="s">
        <v>6368</v>
      </c>
      <c r="H587" t="str">
        <f t="shared" si="239"/>
        <v xml:space="preserve">Попов Денис Викторович</v>
      </c>
      <c r="I587" s="5">
        <f>IFERROR(IF(ISNUMBER(FIND("-",C587)),DATE(VALUE(LEFT(C587,4)),VALUE(MID(C587,6,2)),VALUE(RIGHT(C587,2))),IF(ISNUMBER(FIND(".",C587)),DATE(VALUE(RIGHT(C587,4)),VALUE(MID(C587,4,2)),VALUE(LEFT(C587,2))),DATE(VALUE(RIGHT(C587,4)),VLOOKUP(TRIM(MID(C587,FIND(" ",C587)+1,LEN(C587)-FIND(" ",C587)-5)),Справочники!$M$3:$N$14,2,0),VALUE(LEFT(C587,FIND(" ",C587)-1))))),"")</f>
        <v>30899</v>
      </c>
      <c r="J587" s="6">
        <f t="shared" si="240"/>
        <v>42</v>
      </c>
      <c r="K587" t="str">
        <f t="shared" si="241"/>
        <v>ОК</v>
      </c>
      <c r="L587" s="5">
        <f>IFERROR(IF(ISNUMBER(FIND("-",G587)),DATE(VALUE(LEFT(G587,4)),VALUE(MID(G587,6,2)),VALUE(RIGHT(G587,2))),IF(ISNUMBER(FIND(".",G587)),DATE(VALUE(RIGHT(G587,4)),VALUE(MID(G587,4,2)),VALUE(LEFT(G587,2))),DATE(VALUE(RIGHT(G587,4)),VLOOKUP(TRIM(MID(G587,FIND(" ",G587)+1,LEN(G587)-FIND(" ",G587)-5)),Справочники!$M$3:$N$14,2,0),VALUE(LEFT(G587,FIND(" ",G587)-1))))),"")</f>
        <v>50496</v>
      </c>
      <c r="M587" t="str">
        <f t="shared" si="242"/>
        <v xml:space="preserve">+7 (903) 123-45-67</v>
      </c>
      <c r="N587" t="str">
        <f t="shared" si="243"/>
        <v>popov@mail</v>
      </c>
      <c r="O587" t="str">
        <f t="shared" si="244"/>
        <v xml:space="preserve">Ошибка Email</v>
      </c>
      <c r="P587" t="str">
        <f>IFERROR(VLOOKUP(TRIM(SUBSTITUTE(SUBSTITUTE(" "&amp;F587," г "," "),"г.","")),Справочники!$J$3:$K$102,2,0),TRIM(SUBSTITUTE(SUBSTITUTE(" "&amp;F587," г "," "),"г.","")))</f>
        <v>Сургут</v>
      </c>
    </row>
    <row r="588">
      <c r="A588" s="3" t="s">
        <v>3191</v>
      </c>
      <c r="B588" s="3" t="s">
        <v>6369</v>
      </c>
      <c r="C588" s="3" t="s">
        <v>6370</v>
      </c>
      <c r="D588" s="3" t="s">
        <v>1570</v>
      </c>
      <c r="E588" s="3" t="s">
        <v>6371</v>
      </c>
      <c r="F588" s="3" t="s">
        <v>4385</v>
      </c>
      <c r="G588" s="3" t="s">
        <v>6372</v>
      </c>
      <c r="H588" t="str">
        <f t="shared" si="239"/>
        <v xml:space="preserve">Тарасова Ольга Павловна</v>
      </c>
      <c r="I588" s="5">
        <f>IFERROR(IF(ISNUMBER(FIND("-",C588)),DATE(VALUE(LEFT(C588,4)),VALUE(MID(C588,6,2)),VALUE(RIGHT(C588,2))),IF(ISNUMBER(FIND(".",C588)),DATE(VALUE(RIGHT(C588,4)),VALUE(MID(C588,4,2)),VALUE(LEFT(C588,2))),DATE(VALUE(RIGHT(C588,4)),VLOOKUP(TRIM(MID(C588,FIND(" ",C588)+1,LEN(C588)-FIND(" ",C588)-5)),Справочники!$M$3:$N$14,2,0),VALUE(LEFT(C588,FIND(" ",C588)-1))))),"")</f>
        <v>33568</v>
      </c>
      <c r="J588" s="6">
        <f t="shared" si="240"/>
        <v>34</v>
      </c>
      <c r="K588" t="str">
        <f t="shared" si="241"/>
        <v>ОК</v>
      </c>
      <c r="L588" s="5">
        <f>IFERROR(IF(ISNUMBER(FIND("-",G588)),DATE(VALUE(LEFT(G588,4)),VALUE(MID(G588,6,2)),VALUE(RIGHT(G588,2))),IF(ISNUMBER(FIND(".",G588)),DATE(VALUE(RIGHT(G588,4)),VALUE(MID(G588,4,2)),VALUE(LEFT(G588,2))),DATE(VALUE(RIGHT(G588,4)),VLOOKUP(TRIM(MID(G588,FIND(" ",G588)+1,LEN(G588)-FIND(" ",G588)-5)),Справочники!$M$3:$N$14,2,0),VALUE(LEFT(G588,FIND(" ",G588)-1))))),"")</f>
        <v>50505</v>
      </c>
      <c r="M588" t="str">
        <f t="shared" si="242"/>
        <v xml:space="preserve">+7 (903) 123-45-67</v>
      </c>
      <c r="N588" t="str">
        <f t="shared" si="243"/>
        <v>tarasova@yandex</v>
      </c>
      <c r="O588" t="str">
        <f t="shared" si="244"/>
        <v xml:space="preserve">Ошибка Email</v>
      </c>
      <c r="P588" t="str">
        <f>IFERROR(VLOOKUP(TRIM(SUBSTITUTE(SUBSTITUTE(" "&amp;F588," г "," "),"г.","")),Справочники!$J$3:$K$102,2,0),TRIM(SUBSTITUTE(SUBSTITUTE(" "&amp;F588," г "," "),"г.","")))</f>
        <v>Армавир</v>
      </c>
    </row>
    <row r="589">
      <c r="A589" s="3" t="s">
        <v>3193</v>
      </c>
      <c r="B589" s="3" t="s">
        <v>6373</v>
      </c>
      <c r="C589" s="3" t="s">
        <v>6374</v>
      </c>
      <c r="D589" s="3" t="s">
        <v>4051</v>
      </c>
      <c r="E589" s="3" t="s">
        <v>6375</v>
      </c>
      <c r="F589" s="3" t="s">
        <v>4390</v>
      </c>
      <c r="G589" s="3" t="s">
        <v>6376</v>
      </c>
      <c r="H589" t="str">
        <f t="shared" si="239"/>
        <v xml:space="preserve">Грибов Илья Александрович</v>
      </c>
      <c r="I589" s="5">
        <f>IFERROR(IF(ISNUMBER(FIND("-",C589)),DATE(VALUE(LEFT(C589,4)),VALUE(MID(C589,6,2)),VALUE(RIGHT(C589,2))),IF(ISNUMBER(FIND(".",C589)),DATE(VALUE(RIGHT(C589,4)),VALUE(MID(C589,4,2)),VALUE(LEFT(C589,2))),DATE(VALUE(RIGHT(C589,4)),VLOOKUP(TRIM(MID(C589,FIND(" ",C589)+1,LEN(C589)-FIND(" ",C589)-5)),Справочники!$M$3:$N$14,2,0),VALUE(LEFT(C589,FIND(" ",C589)-1))))),"")</f>
        <v>26480</v>
      </c>
      <c r="J589" s="6">
        <f t="shared" si="240"/>
        <v>54</v>
      </c>
      <c r="K589" t="str">
        <f t="shared" si="241"/>
        <v>ОК</v>
      </c>
      <c r="L589" s="5">
        <f>IFERROR(IF(ISNUMBER(FIND("-",G589)),DATE(VALUE(LEFT(G589,4)),VALUE(MID(G589,6,2)),VALUE(RIGHT(G589,2))),IF(ISNUMBER(FIND(".",G589)),DATE(VALUE(RIGHT(G589,4)),VALUE(MID(G589,4,2)),VALUE(LEFT(G589,2))),DATE(VALUE(RIGHT(G589,4)),VLOOKUP(TRIM(MID(G589,FIND(" ",G589)+1,LEN(G589)-FIND(" ",G589)-5)),Справочники!$M$3:$N$14,2,0),VALUE(LEFT(G589,FIND(" ",G589)-1))))),"")</f>
        <v>50505</v>
      </c>
      <c r="M589" t="str">
        <f t="shared" si="242"/>
        <v xml:space="preserve">+7 (903) 234-56-78</v>
      </c>
      <c r="N589" t="str">
        <f t="shared" si="243"/>
        <v>gribov@gmail</v>
      </c>
      <c r="O589" t="str">
        <f t="shared" si="244"/>
        <v xml:space="preserve">Ошибка Email</v>
      </c>
      <c r="P589" t="str">
        <f>IFERROR(VLOOKUP(TRIM(SUBSTITUTE(SUBSTITUTE(" "&amp;F589," г "," "),"г.","")),Справочники!$J$3:$K$102,2,0),TRIM(SUBSTITUTE(SUBSTITUTE(" "&amp;F589," г "," "),"г.","")))</f>
        <v>Волжский</v>
      </c>
    </row>
    <row r="590">
      <c r="A590" s="3" t="s">
        <v>3195</v>
      </c>
      <c r="B590" s="3" t="s">
        <v>6377</v>
      </c>
      <c r="C590" s="3" t="s">
        <v>6378</v>
      </c>
      <c r="D590" s="3" t="s">
        <v>4057</v>
      </c>
      <c r="E590" s="3" t="s">
        <v>6379</v>
      </c>
      <c r="F590" s="3" t="s">
        <v>4395</v>
      </c>
      <c r="G590" s="3" t="s">
        <v>6380</v>
      </c>
      <c r="H590" t="str">
        <f t="shared" si="239"/>
        <v xml:space="preserve">Костюкова Екатерина Сергеевна</v>
      </c>
      <c r="I590" s="5">
        <f>IFERROR(IF(ISNUMBER(FIND("-",C590)),DATE(VALUE(LEFT(C590,4)),VALUE(MID(C590,6,2)),VALUE(RIGHT(C590,2))),IF(ISNUMBER(FIND(".",C590)),DATE(VALUE(RIGHT(C590,4)),VALUE(MID(C590,4,2)),VALUE(LEFT(C590,2))),DATE(VALUE(RIGHT(C590,4)),VLOOKUP(TRIM(MID(C590,FIND(" ",C590)+1,LEN(C590)-FIND(" ",C590)-5)),Справочники!$M$3:$N$14,2,0),VALUE(LEFT(C590,FIND(" ",C590)-1))))),"")</f>
        <v>29480</v>
      </c>
      <c r="J590" s="6">
        <f t="shared" si="240"/>
        <v>46</v>
      </c>
      <c r="K590" t="str">
        <f t="shared" si="241"/>
        <v>ОК</v>
      </c>
      <c r="L590" s="5">
        <f>IFERROR(IF(ISNUMBER(FIND("-",G590)),DATE(VALUE(LEFT(G590,4)),VALUE(MID(G590,6,2)),VALUE(RIGHT(G590,2))),IF(ISNUMBER(FIND(".",G590)),DATE(VALUE(RIGHT(G590,4)),VALUE(MID(G590,4,2)),VALUE(LEFT(G590,2))),DATE(VALUE(RIGHT(G590,4)),VLOOKUP(TRIM(MID(G590,FIND(" ",G590)+1,LEN(G590)-FIND(" ",G590)-5)),Справочники!$M$3:$N$14,2,0),VALUE(LEFT(G590,FIND(" ",G590)-1))))),"")</f>
        <v>50526</v>
      </c>
      <c r="M590" t="str">
        <f t="shared" si="242"/>
        <v xml:space="preserve">+7 (903) 234-56-78</v>
      </c>
      <c r="N590" t="str">
        <f t="shared" si="243"/>
        <v>kostyukova@mail</v>
      </c>
      <c r="O590" t="str">
        <f t="shared" si="244"/>
        <v xml:space="preserve">Ошибка Email</v>
      </c>
      <c r="P590" t="str">
        <f>IFERROR(VLOOKUP(TRIM(SUBSTITUTE(SUBSTITUTE(" "&amp;F590," г "," "),"г.","")),Справочники!$J$3:$K$102,2,0),TRIM(SUBSTITUTE(SUBSTITUTE(" "&amp;F590," г "," "),"г.","")))</f>
        <v>Шахты</v>
      </c>
    </row>
    <row r="591">
      <c r="A591" s="3" t="s">
        <v>3197</v>
      </c>
      <c r="B591" s="3" t="s">
        <v>6381</v>
      </c>
      <c r="C591" s="3" t="s">
        <v>6382</v>
      </c>
      <c r="D591" s="3" t="s">
        <v>1712</v>
      </c>
      <c r="E591" s="3" t="s">
        <v>6383</v>
      </c>
      <c r="F591" s="3" t="s">
        <v>4400</v>
      </c>
      <c r="G591" s="3" t="s">
        <v>6384</v>
      </c>
      <c r="H591" t="str">
        <f t="shared" si="239"/>
        <v xml:space="preserve">Чеботарев Андрей Олегович</v>
      </c>
      <c r="I591" s="5">
        <f>IFERROR(IF(ISNUMBER(FIND("-",C591)),DATE(VALUE(LEFT(C591,4)),VALUE(MID(C591,6,2)),VALUE(RIGHT(C591,2))),IF(ISNUMBER(FIND(".",C591)),DATE(VALUE(RIGHT(C591,4)),VALUE(MID(C591,4,2)),VALUE(LEFT(C591,2))),DATE(VALUE(RIGHT(C591,4)),VLOOKUP(TRIM(MID(C591,FIND(" ",C591)+1,LEN(C591)-FIND(" ",C591)-5)),Справочники!$M$3:$N$14,2,0),VALUE(LEFT(C591,FIND(" ",C591)-1))))),"")</f>
        <v>31858</v>
      </c>
      <c r="J591" s="6">
        <f t="shared" si="240"/>
        <v>39</v>
      </c>
      <c r="K591" t="str">
        <f t="shared" si="241"/>
        <v>ОК</v>
      </c>
      <c r="L591" s="5">
        <f>IFERROR(IF(ISNUMBER(FIND("-",G591)),DATE(VALUE(LEFT(G591,4)),VALUE(MID(G591,6,2)),VALUE(RIGHT(G591,2))),IF(ISNUMBER(FIND(".",G591)),DATE(VALUE(RIGHT(G591,4)),VALUE(MID(G591,4,2)),VALUE(LEFT(G591,2))),DATE(VALUE(RIGHT(G591,4)),VLOOKUP(TRIM(MID(G591,FIND(" ",G591)+1,LEN(G591)-FIND(" ",G591)-5)),Справочники!$M$3:$N$14,2,0),VALUE(LEFT(G591,FIND(" ",G591)-1))))),"")</f>
        <v>50540</v>
      </c>
      <c r="M591" t="str">
        <f t="shared" si="242"/>
        <v xml:space="preserve">+7 (903) 234-56-78</v>
      </c>
      <c r="N591" t="str">
        <f t="shared" si="243"/>
        <v>chebotarev@yandex</v>
      </c>
      <c r="O591" t="str">
        <f t="shared" si="244"/>
        <v xml:space="preserve">Ошибка Email</v>
      </c>
      <c r="P591" t="str">
        <f>IFERROR(VLOOKUP(TRIM(SUBSTITUTE(SUBSTITUTE(" "&amp;F591," г "," "),"г.","")),Справочники!$J$3:$K$102,2,0),TRIM(SUBSTITUTE(SUBSTITUTE(" "&amp;F591," г "," "),"г.","")))</f>
        <v>Златоуст</v>
      </c>
    </row>
    <row r="592">
      <c r="A592" s="3" t="s">
        <v>3200</v>
      </c>
      <c r="B592" s="3" t="s">
        <v>6385</v>
      </c>
      <c r="C592" s="3" t="s">
        <v>6386</v>
      </c>
      <c r="D592" s="3" t="s">
        <v>1584</v>
      </c>
      <c r="E592" s="3" t="s">
        <v>6387</v>
      </c>
      <c r="F592" s="3" t="s">
        <v>4405</v>
      </c>
      <c r="G592" s="3" t="s">
        <v>6388</v>
      </c>
      <c r="H592" t="str">
        <f t="shared" si="239"/>
        <v xml:space="preserve">Зорина Мария Владимировна</v>
      </c>
      <c r="I592" s="5">
        <f>IFERROR(IF(ISNUMBER(FIND("-",C592)),DATE(VALUE(LEFT(C592,4)),VALUE(MID(C592,6,2)),VALUE(RIGHT(C592,2))),IF(ISNUMBER(FIND(".",C592)),DATE(VALUE(RIGHT(C592,4)),VALUE(MID(C592,4,2)),VALUE(LEFT(C592,2))),DATE(VALUE(RIGHT(C592,4)),VLOOKUP(TRIM(MID(C592,FIND(" ",C592)+1,LEN(C592)-FIND(" ",C592)-5)),Справочники!$M$3:$N$14,2,0),VALUE(LEFT(C592,FIND(" ",C592)-1))))),"")</f>
        <v>27949</v>
      </c>
      <c r="J592" s="6">
        <f t="shared" si="240"/>
        <v>50</v>
      </c>
      <c r="K592" t="str">
        <f t="shared" si="241"/>
        <v>ОК</v>
      </c>
      <c r="L592" s="5">
        <f>IFERROR(IF(ISNUMBER(FIND("-",G592)),DATE(VALUE(LEFT(G592,4)),VALUE(MID(G592,6,2)),VALUE(RIGHT(G592,2))),IF(ISNUMBER(FIND(".",G592)),DATE(VALUE(RIGHT(G592,4)),VALUE(MID(G592,4,2)),VALUE(LEFT(G592,2))),DATE(VALUE(RIGHT(G592,4)),VLOOKUP(TRIM(MID(G592,FIND(" ",G592)+1,LEN(G592)-FIND(" ",G592)-5)),Справочники!$M$3:$N$14,2,0),VALUE(LEFT(G592,FIND(" ",G592)-1))))),"")</f>
        <v>50540</v>
      </c>
      <c r="M592" t="str">
        <f t="shared" si="242"/>
        <v xml:space="preserve">+7 (903) 345-67-89</v>
      </c>
      <c r="N592" t="str">
        <f t="shared" si="243"/>
        <v>zorina@gmail</v>
      </c>
      <c r="O592" t="str">
        <f t="shared" si="244"/>
        <v xml:space="preserve">Ошибка Email</v>
      </c>
      <c r="P592" t="str">
        <f>IFERROR(VLOOKUP(TRIM(SUBSTITUTE(SUBSTITUTE(" "&amp;F592," г "," "),"г.","")),Справочники!$J$3:$K$102,2,0),TRIM(SUBSTITUTE(SUBSTITUTE(" "&amp;F592," г "," "),"г.","")))</f>
        <v>Ангарск</v>
      </c>
    </row>
    <row r="593">
      <c r="A593" s="3" t="s">
        <v>3201</v>
      </c>
      <c r="B593" s="3" t="s">
        <v>6389</v>
      </c>
      <c r="C593" s="3" t="s">
        <v>5165</v>
      </c>
      <c r="D593" s="3" t="s">
        <v>4073</v>
      </c>
      <c r="E593" s="3" t="s">
        <v>5714</v>
      </c>
      <c r="F593" s="3" t="s">
        <v>4410</v>
      </c>
      <c r="G593" s="3" t="s">
        <v>6390</v>
      </c>
      <c r="H593" t="str">
        <f t="shared" si="239"/>
        <v xml:space="preserve">Лопатин Денис Павлович</v>
      </c>
      <c r="I593" s="5">
        <f>IFERROR(IF(ISNUMBER(FIND("-",C593)),DATE(VALUE(LEFT(C593,4)),VALUE(MID(C593,6,2)),VALUE(RIGHT(C593,2))),IF(ISNUMBER(FIND(".",C593)),DATE(VALUE(RIGHT(C593,4)),VALUE(MID(C593,4,2)),VALUE(LEFT(C593,2))),DATE(VALUE(RIGHT(C593,4)),VLOOKUP(TRIM(MID(C593,FIND(" ",C593)+1,LEN(C593)-FIND(" ",C593)-5)),Справочники!$M$3:$N$14,2,0),VALUE(LEFT(C593,FIND(" ",C593)-1))))),"")</f>
        <v>30669</v>
      </c>
      <c r="J593" s="6">
        <f t="shared" si="240"/>
        <v>42</v>
      </c>
      <c r="K593" t="str">
        <f t="shared" si="241"/>
        <v>ОК</v>
      </c>
      <c r="L593" s="5">
        <f>IFERROR(IF(ISNUMBER(FIND("-",G593)),DATE(VALUE(LEFT(G593,4)),VALUE(MID(G593,6,2)),VALUE(RIGHT(G593,2))),IF(ISNUMBER(FIND(".",G593)),DATE(VALUE(RIGHT(G593,4)),VALUE(MID(G593,4,2)),VALUE(LEFT(G593,2))),DATE(VALUE(RIGHT(G593,4)),VLOOKUP(TRIM(MID(G593,FIND(" ",G593)+1,LEN(G593)-FIND(" ",G593)-5)),Справочники!$M$3:$N$14,2,0),VALUE(LEFT(G593,FIND(" ",G593)-1))))),"")</f>
        <v>50557</v>
      </c>
      <c r="M593" t="str">
        <f t="shared" si="242"/>
        <v xml:space="preserve">+7 (903) 345-67-89</v>
      </c>
      <c r="N593" t="str">
        <f t="shared" si="243"/>
        <v>lopatin@mail</v>
      </c>
      <c r="O593" t="str">
        <f t="shared" si="244"/>
        <v xml:space="preserve">Ошибка Email</v>
      </c>
      <c r="P593" t="str">
        <f>IFERROR(VLOOKUP(TRIM(SUBSTITUTE(SUBSTITUTE(" "&amp;F593," г "," "),"г.","")),Справочники!$J$3:$K$102,2,0),TRIM(SUBSTITUTE(SUBSTITUTE(" "&amp;F593," г "," "),"г.","")))</f>
        <v>Озёрск</v>
      </c>
    </row>
    <row r="594">
      <c r="A594" s="3" t="s">
        <v>3203</v>
      </c>
      <c r="B594" s="3" t="s">
        <v>6391</v>
      </c>
      <c r="C594" s="3" t="s">
        <v>6392</v>
      </c>
      <c r="D594" s="3" t="s">
        <v>4079</v>
      </c>
      <c r="E594" s="3" t="s">
        <v>6393</v>
      </c>
      <c r="F594" s="3" t="s">
        <v>4415</v>
      </c>
      <c r="G594" s="3" t="s">
        <v>6394</v>
      </c>
      <c r="H594" t="str">
        <f t="shared" si="239"/>
        <v xml:space="preserve">Овсянникова Ольга Сергеевна</v>
      </c>
      <c r="I594" s="5">
        <f>IFERROR(IF(ISNUMBER(FIND("-",C594)),DATE(VALUE(LEFT(C594,4)),VALUE(MID(C594,6,2)),VALUE(RIGHT(C594,2))),IF(ISNUMBER(FIND(".",C594)),DATE(VALUE(RIGHT(C594,4)),VALUE(MID(C594,4,2)),VALUE(LEFT(C594,2))),DATE(VALUE(RIGHT(C594,4)),VLOOKUP(TRIM(MID(C594,FIND(" ",C594)+1,LEN(C594)-FIND(" ",C594)-5)),Справочники!$M$3:$N$14,2,0),VALUE(LEFT(C594,FIND(" ",C594)-1))))),"")</f>
        <v>32264</v>
      </c>
      <c r="J594" s="6">
        <f t="shared" si="240"/>
        <v>38</v>
      </c>
      <c r="K594" t="str">
        <f t="shared" si="241"/>
        <v>ОК</v>
      </c>
      <c r="L594" s="5">
        <f>IFERROR(IF(ISNUMBER(FIND("-",G594)),DATE(VALUE(LEFT(G594,4)),VALUE(MID(G594,6,2)),VALUE(RIGHT(G594,2))),IF(ISNUMBER(FIND(".",G594)),DATE(VALUE(RIGHT(G594,4)),VALUE(MID(G594,4,2)),VALUE(LEFT(G594,2))),DATE(VALUE(RIGHT(G594,4)),VLOOKUP(TRIM(MID(G594,FIND(" ",G594)+1,LEN(G594)-FIND(" ",G594)-5)),Справочники!$M$3:$N$14,2,0),VALUE(LEFT(G594,FIND(" ",G594)-1))))),"")</f>
        <v>50566</v>
      </c>
      <c r="M594" t="str">
        <f t="shared" si="242"/>
        <v xml:space="preserve">+7 (903) 345-67-89</v>
      </c>
      <c r="N594" t="str">
        <f t="shared" si="243"/>
        <v>ovsyannikova@yandex</v>
      </c>
      <c r="O594" t="str">
        <f t="shared" si="244"/>
        <v xml:space="preserve">Ошибка Email</v>
      </c>
      <c r="P594" t="str">
        <f>IFERROR(VLOOKUP(TRIM(SUBSTITUTE(SUBSTITUTE(" "&amp;F594," г "," "),"г.","")),Справочники!$J$3:$K$102,2,0),TRIM(SUBSTITUTE(SUBSTITUTE(" "&amp;F594," г "," "),"г.","")))</f>
        <v>Орел</v>
      </c>
    </row>
    <row r="595">
      <c r="A595" s="3" t="s">
        <v>3204</v>
      </c>
      <c r="B595" s="3" t="s">
        <v>6395</v>
      </c>
      <c r="C595" s="3" t="s">
        <v>6396</v>
      </c>
      <c r="D595" s="3" t="s">
        <v>4085</v>
      </c>
      <c r="E595" s="3" t="s">
        <v>6397</v>
      </c>
      <c r="F595" s="3" t="s">
        <v>4184</v>
      </c>
      <c r="G595" s="3" t="s">
        <v>6398</v>
      </c>
      <c r="H595" t="str">
        <f t="shared" si="239"/>
        <v xml:space="preserve">Руднев Илья Викторович</v>
      </c>
      <c r="I595" s="5">
        <f>IFERROR(IF(ISNUMBER(FIND("-",C595)),DATE(VALUE(LEFT(C595,4)),VALUE(MID(C595,6,2)),VALUE(RIGHT(C595,2))),IF(ISNUMBER(FIND(".",C595)),DATE(VALUE(RIGHT(C595,4)),VALUE(MID(C595,4,2)),VALUE(LEFT(C595,2))),DATE(VALUE(RIGHT(C595,4)),VLOOKUP(TRIM(MID(C595,FIND(" ",C595)+1,LEN(C595)-FIND(" ",C595)-5)),Справочники!$M$3:$N$14,2,0),VALUE(LEFT(C595,FIND(" ",C595)-1))))),"")</f>
        <v>27319</v>
      </c>
      <c r="J595" s="6">
        <f t="shared" si="240"/>
        <v>52</v>
      </c>
      <c r="K595" t="str">
        <f t="shared" si="241"/>
        <v>ОК</v>
      </c>
      <c r="L595" s="5">
        <f>IFERROR(IF(ISNUMBER(FIND("-",G595)),DATE(VALUE(LEFT(G595,4)),VALUE(MID(G595,6,2)),VALUE(RIGHT(G595,2))),IF(ISNUMBER(FIND(".",G595)),DATE(VALUE(RIGHT(G595,4)),VALUE(MID(G595,4,2)),VALUE(LEFT(G595,2))),DATE(VALUE(RIGHT(G595,4)),VLOOKUP(TRIM(MID(G595,FIND(" ",G595)+1,LEN(G595)-FIND(" ",G595)-5)),Справочники!$M$3:$N$14,2,0),VALUE(LEFT(G595,FIND(" ",G595)-1))))),"")</f>
        <v>50566</v>
      </c>
      <c r="M595" t="str">
        <f t="shared" si="242"/>
        <v xml:space="preserve">+7 (903) 456-78-90</v>
      </c>
      <c r="N595" t="str">
        <f t="shared" si="243"/>
        <v>rudnev@gmail</v>
      </c>
      <c r="O595" t="str">
        <f t="shared" si="244"/>
        <v xml:space="preserve">Ошибка Email</v>
      </c>
      <c r="P595" t="str">
        <f>IFERROR(VLOOKUP(TRIM(SUBSTITUTE(SUBSTITUTE(" "&amp;F595," г "," "),"г.","")),Справочники!$J$3:$K$102,2,0),TRIM(SUBSTITUTE(SUBSTITUTE(" "&amp;F595," г "," "),"г.","")))</f>
        <v>Магнитогорск</v>
      </c>
    </row>
    <row r="596">
      <c r="A596" s="3" t="s">
        <v>3207</v>
      </c>
      <c r="B596" s="3" t="s">
        <v>6399</v>
      </c>
      <c r="C596" s="3" t="s">
        <v>6400</v>
      </c>
      <c r="D596" s="3" t="s">
        <v>1591</v>
      </c>
      <c r="E596" s="3" t="s">
        <v>6401</v>
      </c>
      <c r="F596" s="3" t="s">
        <v>4205</v>
      </c>
      <c r="G596" s="3" t="s">
        <v>6402</v>
      </c>
      <c r="H596" t="str">
        <f t="shared" si="239"/>
        <v xml:space="preserve">Кулагина Екатерина Алексеевна</v>
      </c>
      <c r="I596" s="5">
        <f>IFERROR(IF(ISNUMBER(FIND("-",C596)),DATE(VALUE(LEFT(C596,4)),VALUE(MID(C596,6,2)),VALUE(RIGHT(C596,2))),IF(ISNUMBER(FIND(".",C596)),DATE(VALUE(RIGHT(C596,4)),VALUE(MID(C596,4,2)),VALUE(LEFT(C596,2))),DATE(VALUE(RIGHT(C596,4)),VLOOKUP(TRIM(MID(C596,FIND(" ",C596)+1,LEN(C596)-FIND(" ",C596)-5)),Справочники!$M$3:$N$14,2,0),VALUE(LEFT(C596,FIND(" ",C596)-1))))),"")</f>
        <v>30007</v>
      </c>
      <c r="J596" s="6">
        <f t="shared" si="240"/>
        <v>44</v>
      </c>
      <c r="K596" t="str">
        <f t="shared" si="241"/>
        <v>ОК</v>
      </c>
      <c r="L596" s="5">
        <f>IFERROR(IF(ISNUMBER(FIND("-",G596)),DATE(VALUE(LEFT(G596,4)),VALUE(MID(G596,6,2)),VALUE(RIGHT(G596,2))),IF(ISNUMBER(FIND(".",G596)),DATE(VALUE(RIGHT(G596,4)),VALUE(MID(G596,4,2)),VALUE(LEFT(G596,2))),DATE(VALUE(RIGHT(G596,4)),VLOOKUP(TRIM(MID(G596,FIND(" ",G596)+1,LEN(G596)-FIND(" ",G596)-5)),Справочники!$M$3:$N$14,2,0),VALUE(LEFT(G596,FIND(" ",G596)-1))))),"")</f>
        <v>50587</v>
      </c>
      <c r="M596" t="str">
        <f t="shared" si="242"/>
        <v xml:space="preserve">+7 (903) 456-78-90</v>
      </c>
      <c r="N596" t="str">
        <f t="shared" si="243"/>
        <v>kulagina@mail</v>
      </c>
      <c r="O596" t="str">
        <f t="shared" si="244"/>
        <v xml:space="preserve">Ошибка Email</v>
      </c>
      <c r="P596" t="str">
        <f>IFERROR(VLOOKUP(TRIM(SUBSTITUTE(SUBSTITUTE(" "&amp;F596," г "," "),"г.","")),Справочники!$J$3:$K$102,2,0),TRIM(SUBSTITUTE(SUBSTITUTE(" "&amp;F596," г "," "),"г.","")))</f>
        <v>Якутск</v>
      </c>
    </row>
    <row r="597">
      <c r="A597" s="3" t="s">
        <v>3208</v>
      </c>
      <c r="B597" s="3" t="s">
        <v>6403</v>
      </c>
      <c r="C597" s="3" t="s">
        <v>4919</v>
      </c>
      <c r="D597" s="3" t="s">
        <v>1660</v>
      </c>
      <c r="E597" s="3" t="s">
        <v>6404</v>
      </c>
      <c r="F597" s="3" t="s">
        <v>4152</v>
      </c>
      <c r="G597" s="3" t="s">
        <v>6405</v>
      </c>
      <c r="H597" t="str">
        <f t="shared" si="239"/>
        <v xml:space="preserve">Прохоров Андрей Олегович</v>
      </c>
      <c r="I597" s="5">
        <f>IFERROR(IF(ISNUMBER(FIND("-",C597)),DATE(VALUE(LEFT(C597,4)),VALUE(MID(C597,6,2)),VALUE(RIGHT(C597,2))),IF(ISNUMBER(FIND(".",C597)),DATE(VALUE(RIGHT(C597,4)),VALUE(MID(C597,4,2)),VALUE(LEFT(C597,2))),DATE(VALUE(RIGHT(C597,4)),VLOOKUP(TRIM(MID(C597,FIND(" ",C597)+1,LEN(C597)-FIND(" ",C597)-5)),Справочники!$M$3:$N$14,2,0),VALUE(LEFT(C597,FIND(" ",C597)-1))))),"")</f>
        <v>33091</v>
      </c>
      <c r="J597" s="6">
        <f t="shared" si="240"/>
        <v>36</v>
      </c>
      <c r="K597" t="str">
        <f t="shared" si="241"/>
        <v>ОК</v>
      </c>
      <c r="L597" s="5">
        <f>IFERROR(IF(ISNUMBER(FIND("-",G597)),DATE(VALUE(LEFT(G597,4)),VALUE(MID(G597,6,2)),VALUE(RIGHT(G597,2))),IF(ISNUMBER(FIND(".",G597)),DATE(VALUE(RIGHT(G597,4)),VALUE(MID(G597,4,2)),VALUE(LEFT(G597,2))),DATE(VALUE(RIGHT(G597,4)),VLOOKUP(TRIM(MID(G597,FIND(" ",G597)+1,LEN(G597)-FIND(" ",G597)-5)),Справочники!$M$3:$N$14,2,0),VALUE(LEFT(G597,FIND(" ",G597)-1))))),"")</f>
        <v>50601</v>
      </c>
      <c r="M597" t="str">
        <f t="shared" si="242"/>
        <v xml:space="preserve">+7 (903) 456-78-90</v>
      </c>
      <c r="N597" t="str">
        <f t="shared" si="243"/>
        <v>prohorov@yandex</v>
      </c>
      <c r="O597" t="str">
        <f t="shared" si="244"/>
        <v xml:space="preserve">Ошибка Email</v>
      </c>
      <c r="P597" t="str">
        <f>IFERROR(VLOOKUP(TRIM(SUBSTITUTE(SUBSTITUTE(" "&amp;F597," г "," "),"г.","")),Справочники!$J$3:$K$102,2,0),TRIM(SUBSTITUTE(SUBSTITUTE(" "&amp;F597," г "," "),"г.","")))</f>
        <v>Чебоксары</v>
      </c>
    </row>
    <row r="598">
      <c r="A598" s="3" t="s">
        <v>3211</v>
      </c>
      <c r="B598" s="3" t="s">
        <v>6406</v>
      </c>
      <c r="C598" s="3" t="s">
        <v>6407</v>
      </c>
      <c r="D598" s="3" t="s">
        <v>3984</v>
      </c>
      <c r="E598" s="3" t="s">
        <v>5146</v>
      </c>
      <c r="F598" s="3" t="s">
        <v>4245</v>
      </c>
      <c r="G598" s="3" t="s">
        <v>6408</v>
      </c>
      <c r="H598" t="str">
        <f t="shared" si="239"/>
        <v xml:space="preserve">Ермилова Мария Павловна</v>
      </c>
      <c r="I598" s="5">
        <f>IFERROR(IF(ISNUMBER(FIND("-",C598)),DATE(VALUE(LEFT(C598,4)),VALUE(MID(C598,6,2)),VALUE(RIGHT(C598,2))),IF(ISNUMBER(FIND(".",C598)),DATE(VALUE(RIGHT(C598,4)),VALUE(MID(C598,4,2)),VALUE(LEFT(C598,2))),DATE(VALUE(RIGHT(C598,4)),VLOOKUP(TRIM(MID(C598,FIND(" ",C598)+1,LEN(C598)-FIND(" ",C598)-5)),Справочники!$M$3:$N$14,2,0),VALUE(LEFT(C598,FIND(" ",C598)-1))))),"")</f>
        <v>28474</v>
      </c>
      <c r="J598" s="6">
        <f t="shared" si="240"/>
        <v>48</v>
      </c>
      <c r="K598" t="str">
        <f t="shared" si="241"/>
        <v>ОК</v>
      </c>
      <c r="L598" s="5">
        <f>IFERROR(IF(ISNUMBER(FIND("-",G598)),DATE(VALUE(LEFT(G598,4)),VALUE(MID(G598,6,2)),VALUE(RIGHT(G598,2))),IF(ISNUMBER(FIND(".",G598)),DATE(VALUE(RIGHT(G598,4)),VALUE(MID(G598,4,2)),VALUE(LEFT(G598,2))),DATE(VALUE(RIGHT(G598,4)),VLOOKUP(TRIM(MID(G598,FIND(" ",G598)+1,LEN(G598)-FIND(" ",G598)-5)),Справочники!$M$3:$N$14,2,0),VALUE(LEFT(G598,FIND(" ",G598)-1))))),"")</f>
        <v>50601</v>
      </c>
      <c r="M598" t="str">
        <f t="shared" si="242"/>
        <v xml:space="preserve">+7 (903) 567-89-01</v>
      </c>
      <c r="N598" t="str">
        <f t="shared" si="243"/>
        <v>ermilova@gmail</v>
      </c>
      <c r="O598" t="str">
        <f t="shared" si="244"/>
        <v xml:space="preserve">Ошибка Email</v>
      </c>
      <c r="P598" t="str">
        <f>IFERROR(VLOOKUP(TRIM(SUBSTITUTE(SUBSTITUTE(" "&amp;F598," г "," "),"г.","")),Справочники!$J$3:$K$102,2,0),TRIM(SUBSTITUTE(SUBSTITUTE(" "&amp;F598," г "," "),"г.","")))</f>
        <v>Мурманск</v>
      </c>
    </row>
    <row r="599">
      <c r="A599" s="3" t="s">
        <v>3212</v>
      </c>
      <c r="B599" s="3" t="s">
        <v>6409</v>
      </c>
      <c r="C599" s="3" t="s">
        <v>6410</v>
      </c>
      <c r="D599" s="3" t="s">
        <v>3990</v>
      </c>
      <c r="E599" s="3" t="s">
        <v>6411</v>
      </c>
      <c r="F599" s="3" t="s">
        <v>4235</v>
      </c>
      <c r="G599" s="3" t="s">
        <v>6412</v>
      </c>
      <c r="H599" t="str">
        <f t="shared" si="239"/>
        <v xml:space="preserve">Крайнов Денис Сергеевич</v>
      </c>
      <c r="I599" s="5">
        <f>IFERROR(IF(ISNUMBER(FIND("-",C599)),DATE(VALUE(LEFT(C599,4)),VALUE(MID(C599,6,2)),VALUE(RIGHT(C599,2))),IF(ISNUMBER(FIND(".",C599)),DATE(VALUE(RIGHT(C599,4)),VALUE(MID(C599,4,2)),VALUE(LEFT(C599,2))),DATE(VALUE(RIGHT(C599,4)),VLOOKUP(TRIM(MID(C599,FIND(" ",C599)+1,LEN(C599)-FIND(" ",C599)-5)),Справочники!$M$3:$N$14,2,0),VALUE(LEFT(C599,FIND(" ",C599)-1))))),"")</f>
        <v>31166</v>
      </c>
      <c r="J599" s="6">
        <f t="shared" si="240"/>
        <v>41</v>
      </c>
      <c r="K599" t="str">
        <f t="shared" si="241"/>
        <v>ОК</v>
      </c>
      <c r="L599" s="5">
        <f>IFERROR(IF(ISNUMBER(FIND("-",G599)),DATE(VALUE(LEFT(G599,4)),VALUE(MID(G599,6,2)),VALUE(RIGHT(G599,2))),IF(ISNUMBER(FIND(".",G599)),DATE(VALUE(RIGHT(G599,4)),VALUE(MID(G599,4,2)),VALUE(LEFT(G599,2))),DATE(VALUE(RIGHT(G599,4)),VLOOKUP(TRIM(MID(G599,FIND(" ",G599)+1,LEN(G599)-FIND(" ",G599)-5)),Справочники!$M$3:$N$14,2,0),VALUE(LEFT(G599,FIND(" ",G599)-1))))),"")</f>
        <v>50618</v>
      </c>
      <c r="M599" t="str">
        <f t="shared" si="242"/>
        <v xml:space="preserve">+7 (903) 567-89-01</v>
      </c>
      <c r="N599" t="str">
        <f t="shared" si="243"/>
        <v>kraynov@mail</v>
      </c>
      <c r="O599" t="str">
        <f t="shared" si="244"/>
        <v xml:space="preserve">Ошибка Email</v>
      </c>
      <c r="P599" t="str">
        <f>IFERROR(VLOOKUP(TRIM(SUBSTITUTE(SUBSTITUTE(" "&amp;F599," г "," "),"г.","")),Справочники!$J$3:$K$102,2,0),TRIM(SUBSTITUTE(SUBSTITUTE(" "&amp;F599," г "," "),"г.","")))</f>
        <v>Смоленск</v>
      </c>
    </row>
    <row r="600">
      <c r="A600" s="3" t="s">
        <v>3215</v>
      </c>
      <c r="B600" s="3" t="s">
        <v>6413</v>
      </c>
      <c r="C600" s="3" t="s">
        <v>6414</v>
      </c>
      <c r="D600" s="3" t="s">
        <v>1598</v>
      </c>
      <c r="E600" s="3" t="s">
        <v>6415</v>
      </c>
      <c r="F600" s="3" t="s">
        <v>4220</v>
      </c>
      <c r="G600" s="3" t="s">
        <v>6416</v>
      </c>
      <c r="H600" t="str">
        <f t="shared" si="239"/>
        <v xml:space="preserve">Московцева Ольга Владимировна</v>
      </c>
      <c r="I600" s="5">
        <f>IFERROR(IF(ISNUMBER(FIND("-",C600)),DATE(VALUE(LEFT(C600,4)),VALUE(MID(C600,6,2)),VALUE(RIGHT(C600,2))),IF(ISNUMBER(FIND(".",C600)),DATE(VALUE(RIGHT(C600,4)),VALUE(MID(C600,4,2)),VALUE(LEFT(C600,2))),DATE(VALUE(RIGHT(C600,4)),VLOOKUP(TRIM(MID(C600,FIND(" ",C600)+1,LEN(C600)-FIND(" ",C600)-5)),Справочники!$M$3:$N$14,2,0),VALUE(LEFT(C600,FIND(" ",C600)-1))))),"")</f>
        <v>33850</v>
      </c>
      <c r="J600" s="6">
        <f t="shared" si="240"/>
        <v>34</v>
      </c>
      <c r="K600" t="str">
        <f t="shared" si="241"/>
        <v>ОК</v>
      </c>
      <c r="L600" s="5">
        <f>IFERROR(IF(ISNUMBER(FIND("-",G600)),DATE(VALUE(LEFT(G600,4)),VALUE(MID(G600,6,2)),VALUE(RIGHT(G600,2))),IF(ISNUMBER(FIND(".",G600)),DATE(VALUE(RIGHT(G600,4)),VALUE(MID(G600,4,2)),VALUE(LEFT(G600,2))),DATE(VALUE(RIGHT(G600,4)),VLOOKUP(TRIM(MID(G600,FIND(" ",G600)+1,LEN(G600)-FIND(" ",G600)-5)),Справочники!$M$3:$N$14,2,0),VALUE(LEFT(G600,FIND(" ",G600)-1))))),"")</f>
        <v>50627</v>
      </c>
      <c r="M600" t="str">
        <f t="shared" si="242"/>
        <v xml:space="preserve">+7 (903) 567-89-01</v>
      </c>
      <c r="N600" t="str">
        <f t="shared" si="243"/>
        <v>moskovtseva@yandex</v>
      </c>
      <c r="O600" t="str">
        <f t="shared" si="244"/>
        <v xml:space="preserve">Ошибка Email</v>
      </c>
      <c r="P600" t="str">
        <f>IFERROR(VLOOKUP(TRIM(SUBSTITUTE(SUBSTITUTE(" "&amp;F600," г "," "),"г.","")),Справочники!$J$3:$K$102,2,0),TRIM(SUBSTITUTE(SUBSTITUTE(" "&amp;F600," г "," "),"г.","")))</f>
        <v>Тула</v>
      </c>
    </row>
    <row r="601">
      <c r="A601" s="3" t="s">
        <v>3216</v>
      </c>
      <c r="B601" s="3" t="s">
        <v>6417</v>
      </c>
      <c r="C601" s="3" t="s">
        <v>6418</v>
      </c>
      <c r="D601" s="3" t="s">
        <v>4116</v>
      </c>
      <c r="E601" s="3" t="s">
        <v>6419</v>
      </c>
      <c r="F601" s="3" t="s">
        <v>4225</v>
      </c>
      <c r="G601" s="3" t="s">
        <v>6420</v>
      </c>
      <c r="H601" t="str">
        <f t="shared" si="239"/>
        <v xml:space="preserve">Шапкин Илья Александрович</v>
      </c>
      <c r="I601" s="5">
        <f>IFERROR(IF(ISNUMBER(FIND("-",C601)),DATE(VALUE(LEFT(C601,4)),VALUE(MID(C601,6,2)),VALUE(RIGHT(C601,2))),IF(ISNUMBER(FIND(".",C601)),DATE(VALUE(RIGHT(C601,4)),VALUE(MID(C601,4,2)),VALUE(LEFT(C601,2))),DATE(VALUE(RIGHT(C601,4)),VLOOKUP(TRIM(MID(C601,FIND(" ",C601)+1,LEN(C601)-FIND(" ",C601)-5)),Справочники!$M$3:$N$14,2,0),VALUE(LEFT(C601,FIND(" ",C601)-1))))),"")</f>
        <v>26253</v>
      </c>
      <c r="J601" s="6">
        <f t="shared" si="240"/>
        <v>54</v>
      </c>
      <c r="K601" t="str">
        <f t="shared" si="241"/>
        <v>ОК</v>
      </c>
      <c r="L601" s="5">
        <f>IFERROR(IF(ISNUMBER(FIND("-",G601)),DATE(VALUE(LEFT(G601,4)),VALUE(MID(G601,6,2)),VALUE(RIGHT(G601,2))),IF(ISNUMBER(FIND(".",G601)),DATE(VALUE(RIGHT(G601,4)),VALUE(MID(G601,4,2)),VALUE(LEFT(G601,2))),DATE(VALUE(RIGHT(G601,4)),VLOOKUP(TRIM(MID(G601,FIND(" ",G601)+1,LEN(G601)-FIND(" ",G601)-5)),Справочники!$M$3:$N$14,2,0),VALUE(LEFT(G601,FIND(" ",G601)-1))))),"")</f>
        <v>50627</v>
      </c>
      <c r="M601" t="str">
        <f t="shared" si="242"/>
        <v xml:space="preserve">+7 (903) 678-90-12</v>
      </c>
      <c r="N601" t="str">
        <f t="shared" si="243"/>
        <v>shapkin@gmail</v>
      </c>
      <c r="O601" t="str">
        <f t="shared" si="244"/>
        <v xml:space="preserve">Ошибка Email</v>
      </c>
      <c r="P601" t="str">
        <f>IFERROR(VLOOKUP(TRIM(SUBSTITUTE(SUBSTITUTE(" "&amp;F601," г "," "),"г.","")),Справочники!$J$3:$K$102,2,0),TRIM(SUBSTITUTE(SUBSTITUTE(" "&amp;F601," г "," "),"г.","")))</f>
        <v>Калуга</v>
      </c>
    </row>
    <row r="602">
      <c r="A602" s="3" t="s">
        <v>3218</v>
      </c>
      <c r="B602" s="3" t="s">
        <v>6421</v>
      </c>
      <c r="C602" s="3" t="s">
        <v>6422</v>
      </c>
      <c r="D602" s="3" t="s">
        <v>4122</v>
      </c>
      <c r="E602" s="3" t="s">
        <v>6423</v>
      </c>
      <c r="F602" s="3" t="s">
        <v>4230</v>
      </c>
      <c r="G602" s="3" t="s">
        <v>6424</v>
      </c>
      <c r="H602" t="str">
        <f t="shared" si="239"/>
        <v xml:space="preserve">Антонова Екатерина Сергеевна</v>
      </c>
      <c r="I602" s="5">
        <f>IFERROR(IF(ISNUMBER(FIND("-",C602)),DATE(VALUE(LEFT(C602,4)),VALUE(MID(C602,6,2)),VALUE(RIGHT(C602,2))),IF(ISNUMBER(FIND(".",C602)),DATE(VALUE(RIGHT(C602,4)),VALUE(MID(C602,4,2)),VALUE(LEFT(C602,2))),DATE(VALUE(RIGHT(C602,4)),VLOOKUP(TRIM(MID(C602,FIND(" ",C602)+1,LEN(C602)-FIND(" ",C602)-5)),Справочники!$M$3:$N$14,2,0),VALUE(LEFT(C602,FIND(" ",C602)-1))))),"")</f>
        <v>29422</v>
      </c>
      <c r="J602" s="6">
        <f t="shared" si="240"/>
        <v>46</v>
      </c>
      <c r="K602" t="str">
        <f t="shared" si="241"/>
        <v>ОК</v>
      </c>
      <c r="L602" s="5">
        <f>IFERROR(IF(ISNUMBER(FIND("-",G602)),DATE(VALUE(LEFT(G602,4)),VALUE(MID(G602,6,2)),VALUE(RIGHT(G602,2))),IF(ISNUMBER(FIND(".",G602)),DATE(VALUE(RIGHT(G602,4)),VALUE(MID(G602,4,2)),VALUE(LEFT(G602,2))),DATE(VALUE(RIGHT(G602,4)),VLOOKUP(TRIM(MID(G602,FIND(" ",G602)+1,LEN(G602)-FIND(" ",G602)-5)),Справочники!$M$3:$N$14,2,0),VALUE(LEFT(G602,FIND(" ",G602)-1))))),"")</f>
        <v>50649</v>
      </c>
      <c r="M602" t="str">
        <f t="shared" si="242"/>
        <v xml:space="preserve">+7 (903) 678-90-12</v>
      </c>
      <c r="N602" t="str">
        <f t="shared" si="243"/>
        <v>antonova@mail</v>
      </c>
      <c r="O602" t="str">
        <f t="shared" si="244"/>
        <v xml:space="preserve">Ошибка Email</v>
      </c>
      <c r="P602" t="str">
        <f>IFERROR(VLOOKUP(TRIM(SUBSTITUTE(SUBSTITUTE(" "&amp;F602," г "," "),"г.","")),Справочники!$J$3:$K$102,2,0),TRIM(SUBSTITUTE(SUBSTITUTE(" "&amp;F602," г "," "),"г.","")))</f>
        <v>Владикавказ</v>
      </c>
    </row>
    <row r="603">
      <c r="A603" s="3" t="s">
        <v>3220</v>
      </c>
      <c r="B603" s="3" t="s">
        <v>6425</v>
      </c>
      <c r="C603" s="3" t="s">
        <v>6426</v>
      </c>
      <c r="D603" s="3" t="s">
        <v>1605</v>
      </c>
      <c r="E603" s="3" t="s">
        <v>6427</v>
      </c>
      <c r="F603" s="3" t="s">
        <v>4235</v>
      </c>
      <c r="G603" s="3" t="s">
        <v>6428</v>
      </c>
      <c r="H603" t="str">
        <f t="shared" si="239"/>
        <v xml:space="preserve">Рыжков Андрей Павлович</v>
      </c>
      <c r="I603" s="5">
        <f>IFERROR(IF(ISNUMBER(FIND("-",C603)),DATE(VALUE(LEFT(C603,4)),VALUE(MID(C603,6,2)),VALUE(RIGHT(C603,2))),IF(ISNUMBER(FIND(".",C603)),DATE(VALUE(RIGHT(C603,4)),VALUE(MID(C603,4,2)),VALUE(LEFT(C603,2))),DATE(VALUE(RIGHT(C603,4)),VLOOKUP(TRIM(MID(C603,FIND(" ",C603)+1,LEN(C603)-FIND(" ",C603)-5)),Справочники!$M$3:$N$14,2,0),VALUE(LEFT(C603,FIND(" ",C603)-1))))),"")</f>
        <v>31479</v>
      </c>
      <c r="J603" s="6">
        <f t="shared" si="240"/>
        <v>40</v>
      </c>
      <c r="K603" t="str">
        <f t="shared" si="241"/>
        <v>ОК</v>
      </c>
      <c r="L603" s="5">
        <f>IFERROR(IF(ISNUMBER(FIND("-",G603)),DATE(VALUE(LEFT(G603,4)),VALUE(MID(G603,6,2)),VALUE(RIGHT(G603,2))),IF(ISNUMBER(FIND(".",G603)),DATE(VALUE(RIGHT(G603,4)),VALUE(MID(G603,4,2)),VALUE(LEFT(G603,2))),DATE(VALUE(RIGHT(G603,4)),VLOOKUP(TRIM(MID(G603,FIND(" ",G603)+1,LEN(G603)-FIND(" ",G603)-5)),Справочники!$M$3:$N$14,2,0),VALUE(LEFT(G603,FIND(" ",G603)-1))))),"")</f>
        <v>50663</v>
      </c>
      <c r="M603" t="str">
        <f t="shared" si="242"/>
        <v xml:space="preserve">+7 (903) 678-90-12</v>
      </c>
      <c r="N603" t="str">
        <f t="shared" si="243"/>
        <v>ryzhkov@yandex</v>
      </c>
      <c r="O603" t="str">
        <f t="shared" si="244"/>
        <v xml:space="preserve">Ошибка Email</v>
      </c>
      <c r="P603" t="str">
        <f>IFERROR(VLOOKUP(TRIM(SUBSTITUTE(SUBSTITUTE(" "&amp;F603," г "," "),"г.","")),Справочники!$J$3:$K$102,2,0),TRIM(SUBSTITUTE(SUBSTITUTE(" "&amp;F603," г "," "),"г.","")))</f>
        <v>Смоленск</v>
      </c>
    </row>
    <row r="604">
      <c r="A604" s="3" t="s">
        <v>3222</v>
      </c>
      <c r="B604" s="3" t="s">
        <v>6429</v>
      </c>
      <c r="C604" s="3" t="s">
        <v>6430</v>
      </c>
      <c r="D604" s="3" t="s">
        <v>4001</v>
      </c>
      <c r="E604" s="3" t="s">
        <v>6431</v>
      </c>
      <c r="F604" s="3" t="s">
        <v>4240</v>
      </c>
      <c r="G604" s="3" t="s">
        <v>6432</v>
      </c>
      <c r="H604" t="str">
        <f t="shared" si="239"/>
        <v xml:space="preserve">Зеленина Мария Олеговна</v>
      </c>
      <c r="I604" s="5">
        <f>IFERROR(IF(ISNUMBER(FIND("-",C604)),DATE(VALUE(LEFT(C604,4)),VALUE(MID(C604,6,2)),VALUE(RIGHT(C604,2))),IF(ISNUMBER(FIND(".",C604)),DATE(VALUE(RIGHT(C604,4)),VALUE(MID(C604,4,2)),VALUE(LEFT(C604,2))),DATE(VALUE(RIGHT(C604,4)),VLOOKUP(TRIM(MID(C604,FIND(" ",C604)+1,LEN(C604)-FIND(" ",C604)-5)),Справочники!$M$3:$N$14,2,0),VALUE(LEFT(C604,FIND(" ",C604)-1))))),"")</f>
        <v>27694</v>
      </c>
      <c r="J604" s="6">
        <f t="shared" si="240"/>
        <v>50</v>
      </c>
      <c r="K604" t="str">
        <f t="shared" si="241"/>
        <v>ОК</v>
      </c>
      <c r="L604" s="5">
        <f>IFERROR(IF(ISNUMBER(FIND("-",G604)),DATE(VALUE(LEFT(G604,4)),VALUE(MID(G604,6,2)),VALUE(RIGHT(G604,2))),IF(ISNUMBER(FIND(".",G604)),DATE(VALUE(RIGHT(G604,4)),VALUE(MID(G604,4,2)),VALUE(LEFT(G604,2))),DATE(VALUE(RIGHT(G604,4)),VLOOKUP(TRIM(MID(G604,FIND(" ",G604)+1,LEN(G604)-FIND(" ",G604)-5)),Справочники!$M$3:$N$14,2,0),VALUE(LEFT(G604,FIND(" ",G604)-1))))),"")</f>
        <v>50663</v>
      </c>
      <c r="M604" t="str">
        <f t="shared" si="242"/>
        <v xml:space="preserve">+7 (903) 789-01-23</v>
      </c>
      <c r="N604" t="str">
        <f t="shared" si="243"/>
        <v>zelenina@gmail</v>
      </c>
      <c r="O604" t="str">
        <f t="shared" si="244"/>
        <v xml:space="preserve">Ошибка Email</v>
      </c>
      <c r="P604" t="str">
        <f>IFERROR(VLOOKUP(TRIM(SUBSTITUTE(SUBSTITUTE(" "&amp;F604," г "," "),"г.","")),Справочники!$J$3:$K$102,2,0),TRIM(SUBSTITUTE(SUBSTITUTE(" "&amp;F604," г "," "),"г.","")))</f>
        <v>Белгород</v>
      </c>
    </row>
    <row r="605">
      <c r="A605" s="3" t="s">
        <v>3223</v>
      </c>
      <c r="B605" s="3" t="s">
        <v>6433</v>
      </c>
      <c r="C605" s="3" t="s">
        <v>6434</v>
      </c>
      <c r="D605" s="3" t="s">
        <v>4138</v>
      </c>
      <c r="E605" s="3" t="s">
        <v>6435</v>
      </c>
      <c r="F605" s="3" t="s">
        <v>4245</v>
      </c>
      <c r="G605" s="3" t="s">
        <v>6436</v>
      </c>
      <c r="H605" t="str">
        <f t="shared" si="239"/>
        <v xml:space="preserve">Суриков Денис Викторович</v>
      </c>
      <c r="I605" s="5">
        <f>IFERROR(IF(ISNUMBER(FIND("-",C605)),DATE(VALUE(LEFT(C605,4)),VALUE(MID(C605,6,2)),VALUE(RIGHT(C605,2))),IF(ISNUMBER(FIND(".",C605)),DATE(VALUE(RIGHT(C605,4)),VALUE(MID(C605,4,2)),VALUE(LEFT(C605,2))),DATE(VALUE(RIGHT(C605,4)),VLOOKUP(TRIM(MID(C605,FIND(" ",C605)+1,LEN(C605)-FIND(" ",C605)-5)),Справочники!$M$3:$N$14,2,0),VALUE(LEFT(C605,FIND(" ",C605)-1))))),"")</f>
        <v>30449</v>
      </c>
      <c r="J605" s="6">
        <f t="shared" si="240"/>
        <v>43</v>
      </c>
      <c r="K605" t="str">
        <f t="shared" si="241"/>
        <v>ОК</v>
      </c>
      <c r="L605" s="5">
        <f>IFERROR(IF(ISNUMBER(FIND("-",G605)),DATE(VALUE(LEFT(G605,4)),VALUE(MID(G605,6,2)),VALUE(RIGHT(G605,2))),IF(ISNUMBER(FIND(".",G605)),DATE(VALUE(RIGHT(G605,4)),VALUE(MID(G605,4,2)),VALUE(LEFT(G605,2))),DATE(VALUE(RIGHT(G605,4)),VLOOKUP(TRIM(MID(G605,FIND(" ",G605)+1,LEN(G605)-FIND(" ",G605)-5)),Справочники!$M$3:$N$14,2,0),VALUE(LEFT(G605,FIND(" ",G605)-1))))),"")</f>
        <v>50679</v>
      </c>
      <c r="M605" t="str">
        <f t="shared" si="242"/>
        <v xml:space="preserve">+7 (903) 789-01-23</v>
      </c>
      <c r="N605" t="str">
        <f t="shared" si="243"/>
        <v>sirikov@mail</v>
      </c>
      <c r="O605" t="str">
        <f t="shared" si="244"/>
        <v xml:space="preserve">Ошибка Email</v>
      </c>
      <c r="P605" t="str">
        <f>IFERROR(VLOOKUP(TRIM(SUBSTITUTE(SUBSTITUTE(" "&amp;F605," г "," "),"г.","")),Справочники!$J$3:$K$102,2,0),TRIM(SUBSTITUTE(SUBSTITUTE(" "&amp;F605," г "," "),"г.","")))</f>
        <v>Мурманск</v>
      </c>
    </row>
    <row r="606">
      <c r="A606" s="3" t="s">
        <v>3225</v>
      </c>
      <c r="B606" s="3" t="s">
        <v>6437</v>
      </c>
      <c r="C606" s="3" t="s">
        <v>6438</v>
      </c>
      <c r="D606" s="3" t="s">
        <v>4144</v>
      </c>
      <c r="E606" s="3" t="s">
        <v>6439</v>
      </c>
      <c r="F606" s="3" t="s">
        <v>4250</v>
      </c>
      <c r="G606" s="3" t="s">
        <v>6440</v>
      </c>
      <c r="H606" t="str">
        <f t="shared" si="239"/>
        <v xml:space="preserve">Петрова Ольга Павловна</v>
      </c>
      <c r="I606" s="5">
        <f>IFERROR(IF(ISNUMBER(FIND("-",C606)),DATE(VALUE(LEFT(C606,4)),VALUE(MID(C606,6,2)),VALUE(RIGHT(C606,2))),IF(ISNUMBER(FIND(".",C606)),DATE(VALUE(RIGHT(C606,4)),VALUE(MID(C606,4,2)),VALUE(LEFT(C606,2))),DATE(VALUE(RIGHT(C606,4)),VLOOKUP(TRIM(MID(C606,FIND(" ",C606)+1,LEN(C606)-FIND(" ",C606)-5)),Справочники!$M$3:$N$14,2,0),VALUE(LEFT(C606,FIND(" ",C606)-1))))),"")</f>
        <v>32495</v>
      </c>
      <c r="J606" s="6">
        <f t="shared" si="240"/>
        <v>37</v>
      </c>
      <c r="K606" t="str">
        <f t="shared" si="241"/>
        <v>ОК</v>
      </c>
      <c r="L606" s="5">
        <f>IFERROR(IF(ISNUMBER(FIND("-",G606)),DATE(VALUE(LEFT(G606,4)),VALUE(MID(G606,6,2)),VALUE(RIGHT(G606,2))),IF(ISNUMBER(FIND(".",G606)),DATE(VALUE(RIGHT(G606,4)),VALUE(MID(G606,4,2)),VALUE(LEFT(G606,2))),DATE(VALUE(RIGHT(G606,4)),VLOOKUP(TRIM(MID(G606,FIND(" ",G606)+1,LEN(G606)-FIND(" ",G606)-5)),Справочники!$M$3:$N$14,2,0),VALUE(LEFT(G606,FIND(" ",G606)-1))))),"")</f>
        <v>50688</v>
      </c>
      <c r="M606" t="str">
        <f t="shared" si="242"/>
        <v xml:space="preserve">+7 (903) 789-01-23</v>
      </c>
      <c r="N606" t="str">
        <f t="shared" si="243"/>
        <v>petrova@yandex</v>
      </c>
      <c r="O606" t="str">
        <f t="shared" si="244"/>
        <v xml:space="preserve">Ошибка Email</v>
      </c>
      <c r="P606" t="str">
        <f>IFERROR(VLOOKUP(TRIM(SUBSTITUTE(SUBSTITUTE(" "&amp;F606," г "," "),"г.","")),Справочники!$J$3:$K$102,2,0),TRIM(SUBSTITUTE(SUBSTITUTE(" "&amp;F606," г "," "),"г.","")))</f>
        <v>Ставрополь</v>
      </c>
    </row>
    <row r="607">
      <c r="A607" s="3" t="s">
        <v>3227</v>
      </c>
      <c r="B607" s="3" t="s">
        <v>6441</v>
      </c>
      <c r="C607" s="3" t="s">
        <v>6442</v>
      </c>
      <c r="D607" s="3" t="s">
        <v>4150</v>
      </c>
      <c r="E607" s="3" t="s">
        <v>6443</v>
      </c>
      <c r="F607" s="3" t="s">
        <v>4255</v>
      </c>
      <c r="G607" s="3" t="s">
        <v>6444</v>
      </c>
      <c r="H607" t="str">
        <f t="shared" si="239"/>
        <v xml:space="preserve">Беляков Илья Алексеевич</v>
      </c>
      <c r="I607" s="5">
        <f>IFERROR(IF(ISNUMBER(FIND("-",C607)),DATE(VALUE(LEFT(C607,4)),VALUE(MID(C607,6,2)),VALUE(RIGHT(C607,2))),IF(ISNUMBER(FIND(".",C607)),DATE(VALUE(RIGHT(C607,4)),VALUE(MID(C607,4,2)),VALUE(LEFT(C607,2))),DATE(VALUE(RIGHT(C607,4)),VLOOKUP(TRIM(MID(C607,FIND(" ",C607)+1,LEN(C607)-FIND(" ",C607)-5)),Справочники!$M$3:$N$14,2,0),VALUE(LEFT(C607,FIND(" ",C607)-1))))),"")</f>
        <v>28308</v>
      </c>
      <c r="J607" s="6">
        <f t="shared" si="240"/>
        <v>49</v>
      </c>
      <c r="K607" t="str">
        <f t="shared" si="241"/>
        <v>ОК</v>
      </c>
      <c r="L607" s="5">
        <f>IFERROR(IF(ISNUMBER(FIND("-",G607)),DATE(VALUE(LEFT(G607,4)),VALUE(MID(G607,6,2)),VALUE(RIGHT(G607,2))),IF(ISNUMBER(FIND(".",G607)),DATE(VALUE(RIGHT(G607,4)),VALUE(MID(G607,4,2)),VALUE(LEFT(G607,2))),DATE(VALUE(RIGHT(G607,4)),VLOOKUP(TRIM(MID(G607,FIND(" ",G607)+1,LEN(G607)-FIND(" ",G607)-5)),Справочники!$M$3:$N$14,2,0),VALUE(LEFT(G607,FIND(" ",G607)-1))))),"")</f>
        <v>50688</v>
      </c>
      <c r="M607" t="str">
        <f t="shared" si="242"/>
        <v xml:space="preserve">+7 (903) 890-12-34</v>
      </c>
      <c r="N607" t="str">
        <f t="shared" si="243"/>
        <v>belyakov@gmail</v>
      </c>
      <c r="O607" t="str">
        <f t="shared" si="244"/>
        <v xml:space="preserve">Ошибка Email</v>
      </c>
      <c r="P607" t="str">
        <f>IFERROR(VLOOKUP(TRIM(SUBSTITUTE(SUBSTITUTE(" "&amp;F607," г "," "),"г.","")),Справочники!$J$3:$K$102,2,0),TRIM(SUBSTITUTE(SUBSTITUTE(" "&amp;F607," г "," "),"г.","")))</f>
        <v>Севастополь</v>
      </c>
    </row>
    <row r="608">
      <c r="A608" s="3" t="s">
        <v>3230</v>
      </c>
      <c r="B608" s="3" t="s">
        <v>6445</v>
      </c>
      <c r="C608" s="3" t="s">
        <v>6446</v>
      </c>
      <c r="D608" s="3" t="s">
        <v>4007</v>
      </c>
      <c r="E608" s="3" t="s">
        <v>6447</v>
      </c>
      <c r="F608" s="3" t="s">
        <v>4260</v>
      </c>
      <c r="G608" s="3" t="s">
        <v>6448</v>
      </c>
      <c r="H608" t="str">
        <f t="shared" si="239"/>
        <v xml:space="preserve">Фомина Екатерина Сергеевна</v>
      </c>
      <c r="I608" s="5">
        <f>IFERROR(IF(ISNUMBER(FIND("-",C608)),DATE(VALUE(LEFT(C608,4)),VALUE(MID(C608,6,2)),VALUE(RIGHT(C608,2))),IF(ISNUMBER(FIND(".",C608)),DATE(VALUE(RIGHT(C608,4)),VALUE(MID(C608,4,2)),VALUE(LEFT(C608,2))),DATE(VALUE(RIGHT(C608,4)),VLOOKUP(TRIM(MID(C608,FIND(" ",C608)+1,LEN(C608)-FIND(" ",C608)-5)),Справочники!$M$3:$N$14,2,0),VALUE(LEFT(C608,FIND(" ",C608)-1))))),"")</f>
        <v>30734</v>
      </c>
      <c r="J608" s="6">
        <f t="shared" si="240"/>
        <v>42</v>
      </c>
      <c r="K608" t="str">
        <f t="shared" si="241"/>
        <v>ОК</v>
      </c>
      <c r="L608" s="5">
        <f>IFERROR(IF(ISNUMBER(FIND("-",G608)),DATE(VALUE(LEFT(G608,4)),VALUE(MID(G608,6,2)),VALUE(RIGHT(G608,2))),IF(ISNUMBER(FIND(".",G608)),DATE(VALUE(RIGHT(G608,4)),VALUE(MID(G608,4,2)),VALUE(LEFT(G608,2))),DATE(VALUE(RIGHT(G608,4)),VLOOKUP(TRIM(MID(G608,FIND(" ",G608)+1,LEN(G608)-FIND(" ",G608)-5)),Справочники!$M$3:$N$14,2,0),VALUE(LEFT(G608,FIND(" ",G608)-1))))),"")</f>
        <v>50710</v>
      </c>
      <c r="M608" t="str">
        <f t="shared" si="242"/>
        <v xml:space="preserve">+7 (903) 890-12-34</v>
      </c>
      <c r="N608" t="str">
        <f t="shared" si="243"/>
        <v>fomina@mail</v>
      </c>
      <c r="O608" t="str">
        <f t="shared" si="244"/>
        <v xml:space="preserve">Ошибка Email</v>
      </c>
      <c r="P608" t="str">
        <f>IFERROR(VLOOKUP(TRIM(SUBSTITUTE(SUBSTITUTE(" "&amp;F608," г "," "),"г.","")),Справочники!$J$3:$K$102,2,0),TRIM(SUBSTITUTE(SUBSTITUTE(" "&amp;F608," г "," "),"г.","")))</f>
        <v>Сочи</v>
      </c>
    </row>
    <row r="609">
      <c r="A609" s="3" t="s">
        <v>3231</v>
      </c>
      <c r="B609" s="3" t="s">
        <v>6449</v>
      </c>
      <c r="C609" s="3" t="s">
        <v>6450</v>
      </c>
      <c r="D609" s="3" t="s">
        <v>1619</v>
      </c>
      <c r="E609" s="3" t="s">
        <v>6451</v>
      </c>
      <c r="F609" s="3" t="s">
        <v>4265</v>
      </c>
      <c r="G609" s="3" t="s">
        <v>6452</v>
      </c>
      <c r="H609" t="str">
        <f t="shared" si="239"/>
        <v xml:space="preserve">Галкин Андрей Олегович</v>
      </c>
      <c r="I609" s="5">
        <f>IFERROR(IF(ISNUMBER(FIND("-",C609)),DATE(VALUE(LEFT(C609,4)),VALUE(MID(C609,6,2)),VALUE(RIGHT(C609,2))),IF(ISNUMBER(FIND(".",C609)),DATE(VALUE(RIGHT(C609,4)),VALUE(MID(C609,4,2)),VALUE(LEFT(C609,2))),DATE(VALUE(RIGHT(C609,4)),VLOOKUP(TRIM(MID(C609,FIND(" ",C609)+1,LEN(C609)-FIND(" ",C609)-5)),Справочники!$M$3:$N$14,2,0),VALUE(LEFT(C609,FIND(" ",C609)-1))))),"")</f>
        <v>33495</v>
      </c>
      <c r="J609" s="6">
        <f t="shared" si="240"/>
        <v>35</v>
      </c>
      <c r="K609" t="str">
        <f t="shared" si="241"/>
        <v>ОК</v>
      </c>
      <c r="L609" s="5">
        <f>IFERROR(IF(ISNUMBER(FIND("-",G609)),DATE(VALUE(LEFT(G609,4)),VALUE(MID(G609,6,2)),VALUE(RIGHT(G609,2))),IF(ISNUMBER(FIND(".",G609)),DATE(VALUE(RIGHT(G609,4)),VALUE(MID(G609,4,2)),VALUE(LEFT(G609,2))),DATE(VALUE(RIGHT(G609,4)),VLOOKUP(TRIM(MID(G609,FIND(" ",G609)+1,LEN(G609)-FIND(" ",G609)-5)),Справочники!$M$3:$N$14,2,0),VALUE(LEFT(G609,FIND(" ",G609)-1))))),"")</f>
        <v>50724</v>
      </c>
      <c r="M609" t="str">
        <f t="shared" si="242"/>
        <v xml:space="preserve">+7 (903) 890-12-34</v>
      </c>
      <c r="N609" t="str">
        <f t="shared" si="243"/>
        <v>galkin@yandex</v>
      </c>
      <c r="O609" t="str">
        <f t="shared" si="244"/>
        <v xml:space="preserve">Ошибка Email</v>
      </c>
      <c r="P609" t="str">
        <f>IFERROR(VLOOKUP(TRIM(SUBSTITUTE(SUBSTITUTE(" "&amp;F609," г "," "),"г.","")),Справочники!$J$3:$K$102,2,0),TRIM(SUBSTITUTE(SUBSTITUTE(" "&amp;F609," г "," "),"г.","")))</f>
        <v>Симферополь</v>
      </c>
    </row>
    <row r="610">
      <c r="A610" s="3" t="s">
        <v>3234</v>
      </c>
      <c r="B610" s="3" t="s">
        <v>6453</v>
      </c>
      <c r="C610" s="3" t="s">
        <v>6454</v>
      </c>
      <c r="D610" s="3" t="s">
        <v>4018</v>
      </c>
      <c r="E610" s="3" t="s">
        <v>6455</v>
      </c>
      <c r="F610" s="3" t="s">
        <v>4270</v>
      </c>
      <c r="G610" s="3" t="s">
        <v>6456</v>
      </c>
      <c r="H610" t="str">
        <f t="shared" si="239"/>
        <v xml:space="preserve">Чумакова Мария Владимировна</v>
      </c>
      <c r="I610" s="5">
        <f>IFERROR(IF(ISNUMBER(FIND("-",C610)),DATE(VALUE(LEFT(C610,4)),VALUE(MID(C610,6,2)),VALUE(RIGHT(C610,2))),IF(ISNUMBER(FIND(".",C610)),DATE(VALUE(RIGHT(C610,4)),VALUE(MID(C610,4,2)),VALUE(LEFT(C610,2))),DATE(VALUE(RIGHT(C610,4)),VLOOKUP(TRIM(MID(C610,FIND(" ",C610)+1,LEN(C610)-FIND(" ",C610)-5)),Справочники!$M$3:$N$14,2,0),VALUE(LEFT(C610,FIND(" ",C610)-1))))),"")</f>
        <v>26763</v>
      </c>
      <c r="J610" s="6">
        <f t="shared" si="240"/>
        <v>53</v>
      </c>
      <c r="K610" t="str">
        <f t="shared" si="241"/>
        <v>ОК</v>
      </c>
      <c r="L610" s="5">
        <f>IFERROR(IF(ISNUMBER(FIND("-",G610)),DATE(VALUE(LEFT(G610,4)),VALUE(MID(G610,6,2)),VALUE(RIGHT(G610,2))),IF(ISNUMBER(FIND(".",G610)),DATE(VALUE(RIGHT(G610,4)),VALUE(MID(G610,4,2)),VALUE(LEFT(G610,2))),DATE(VALUE(RIGHT(G610,4)),VLOOKUP(TRIM(MID(G610,FIND(" ",G610)+1,LEN(G610)-FIND(" ",G610)-5)),Справочники!$M$3:$N$14,2,0),VALUE(LEFT(G610,FIND(" ",G610)-1))))),"")</f>
        <v>50724</v>
      </c>
      <c r="M610" t="str">
        <f t="shared" si="242"/>
        <v xml:space="preserve">+7 (903) 901-23-45</v>
      </c>
      <c r="N610" t="str">
        <f t="shared" si="243"/>
        <v>chumakova@gmail</v>
      </c>
      <c r="O610" t="str">
        <f t="shared" si="244"/>
        <v xml:space="preserve">Ошибка Email</v>
      </c>
      <c r="P610" t="str">
        <f>IFERROR(VLOOKUP(TRIM(SUBSTITUTE(SUBSTITUTE(" "&amp;F610," г "," "),"г.","")),Справочники!$J$3:$K$102,2,0),TRIM(SUBSTITUTE(SUBSTITUTE(" "&amp;F610," г "," "),"г.","")))</f>
        <v>Брянск</v>
      </c>
    </row>
    <row r="611">
      <c r="A611" s="3" t="s">
        <v>3235</v>
      </c>
      <c r="B611" s="3" t="s">
        <v>6457</v>
      </c>
      <c r="C611" s="3" t="s">
        <v>6458</v>
      </c>
      <c r="D611" s="3" t="s">
        <v>1626</v>
      </c>
      <c r="E611" s="3" t="s">
        <v>6459</v>
      </c>
      <c r="F611" s="3" t="s">
        <v>4275</v>
      </c>
      <c r="G611" s="3" t="s">
        <v>6460</v>
      </c>
      <c r="H611" t="str">
        <f t="shared" si="239"/>
        <v xml:space="preserve">Евсеев Денис Павлович</v>
      </c>
      <c r="I611" s="5">
        <f>IFERROR(IF(ISNUMBER(FIND("-",C611)),DATE(VALUE(LEFT(C611,4)),VALUE(MID(C611,6,2)),VALUE(RIGHT(C611,2))),IF(ISNUMBER(FIND(".",C611)),DATE(VALUE(RIGHT(C611,4)),VALUE(MID(C611,4,2)),VALUE(LEFT(C611,2))),DATE(VALUE(RIGHT(C611,4)),VLOOKUP(TRIM(MID(C611,FIND(" ",C611)+1,LEN(C611)-FIND(" ",C611)-5)),Справочники!$M$3:$N$14,2,0),VALUE(LEFT(C611,FIND(" ",C611)-1))))),"")</f>
        <v>29916</v>
      </c>
      <c r="J611" s="6">
        <f t="shared" si="240"/>
        <v>44</v>
      </c>
      <c r="K611" t="str">
        <f t="shared" si="241"/>
        <v>ОК</v>
      </c>
      <c r="L611" s="5">
        <f>IFERROR(IF(ISNUMBER(FIND("-",G611)),DATE(VALUE(LEFT(G611,4)),VALUE(MID(G611,6,2)),VALUE(RIGHT(G611,2))),IF(ISNUMBER(FIND(".",G611)),DATE(VALUE(RIGHT(G611,4)),VALUE(MID(G611,4,2)),VALUE(LEFT(G611,2))),DATE(VALUE(RIGHT(G611,4)),VLOOKUP(TRIM(MID(G611,FIND(" ",G611)+1,LEN(G611)-FIND(" ",G611)-5)),Справочники!$M$3:$N$14,2,0),VALUE(LEFT(G611,FIND(" ",G611)-1))))),"")</f>
        <v>50740</v>
      </c>
      <c r="M611" t="str">
        <f t="shared" si="242"/>
        <v xml:space="preserve">+7 (903) 901-23-45</v>
      </c>
      <c r="N611" t="str">
        <f t="shared" si="243"/>
        <v>evseev@mail</v>
      </c>
      <c r="O611" t="str">
        <f t="shared" si="244"/>
        <v xml:space="preserve">Ошибка Email</v>
      </c>
      <c r="P611" t="str">
        <f>IFERROR(VLOOKUP(TRIM(SUBSTITUTE(SUBSTITUTE(" "&amp;F611," г "," "),"г.","")),Справочники!$J$3:$K$102,2,0),TRIM(SUBSTITUTE(SUBSTITUTE(" "&amp;F611," г "," "),"г.","")))</f>
        <v>Абакан</v>
      </c>
    </row>
    <row r="612">
      <c r="A612" s="3" t="s">
        <v>3237</v>
      </c>
      <c r="B612" s="3" t="s">
        <v>6461</v>
      </c>
      <c r="C612" s="3" t="s">
        <v>6462</v>
      </c>
      <c r="D612" s="3" t="s">
        <v>4176</v>
      </c>
      <c r="E612" s="3" t="s">
        <v>6463</v>
      </c>
      <c r="F612" s="3" t="s">
        <v>4280</v>
      </c>
      <c r="G612" s="3" t="s">
        <v>6464</v>
      </c>
      <c r="H612" t="str">
        <f t="shared" ref="H612:H675" si="245">PROPER(TRIM(B612))</f>
        <v xml:space="preserve">Климова Ольга Сергеевна</v>
      </c>
      <c r="I612" s="5">
        <f>IFERROR(IF(ISNUMBER(FIND("-",C612)),DATE(VALUE(LEFT(C612,4)),VALUE(MID(C612,6,2)),VALUE(RIGHT(C612,2))),IF(ISNUMBER(FIND(".",C612)),DATE(VALUE(RIGHT(C612,4)),VALUE(MID(C612,4,2)),VALUE(LEFT(C612,2))),DATE(VALUE(RIGHT(C612,4)),VLOOKUP(TRIM(MID(C612,FIND(" ",C612)+1,LEN(C612)-FIND(" ",C612)-5)),Справочники!$M$3:$N$14,2,0),VALUE(LEFT(C612,FIND(" ",C612)-1))))),"")</f>
        <v>31993</v>
      </c>
      <c r="J612" s="6">
        <f t="shared" ref="J612:J675" si="246">IF(I612="","",DATEDIF(I612,TODAY(),"Y"))</f>
        <v>39</v>
      </c>
      <c r="K612" t="str">
        <f t="shared" ref="K612:K675" si="247">IF(OR(I612="",J612&lt;18,J612&gt;120),"Ошибка даты рождения","ОК")</f>
        <v>ОК</v>
      </c>
      <c r="L612" s="5">
        <f>IFERROR(IF(ISNUMBER(FIND("-",G612)),DATE(VALUE(LEFT(G612,4)),VALUE(MID(G612,6,2)),VALUE(RIGHT(G612,2))),IF(ISNUMBER(FIND(".",G612)),DATE(VALUE(RIGHT(G612,4)),VALUE(MID(G612,4,2)),VALUE(LEFT(G612,2))),DATE(VALUE(RIGHT(G612,4)),VLOOKUP(TRIM(MID(G612,FIND(" ",G612)+1,LEN(G612)-FIND(" ",G612)-5)),Справочники!$M$3:$N$14,2,0),VALUE(LEFT(G612,FIND(" ",G612)-1))))),"")</f>
        <v>50749</v>
      </c>
      <c r="M612" t="str">
        <f t="shared" ref="M612:M675" si="248">IF(LEN(SUBSTITUTE(SUBSTITUTE(SUBSTITUTE(SUBSTITUTE(SUBSTITUTE(D612,"+",""),"-","")," ",""),"(",""),")",""))&lt;10,"Ошибка телефона","+7 ("&amp;MID(RIGHT(SUBSTITUTE(SUBSTITUTE(SUBSTITUTE(SUBSTITUTE(SUBSTITUTE(D612,"+",""),"-","")," ",""),"(",""),")",""),10),1,3)&amp;") "&amp;MID(RIGHT(SUBSTITUTE(SUBSTITUTE(SUBSTITUTE(SUBSTITUTE(SUBSTITUTE(D612,"+",""),"-","")," ",""),"(",""),")",""),10),4,3)&amp;"-"&amp;MID(RIGHT(SUBSTITUTE(SUBSTITUTE(SUBSTITUTE(SUBSTITUTE(SUBSTITUTE(D612,"+",""),"-","")," ",""),"(",""),")",""),10),7,2)&amp;"-"&amp;RIGHT(SUBSTITUTE(SUBSTITUTE(SUBSTITUTE(SUBSTITUTE(SUBSTITUTE(D612,"+",""),"-","")," ",""),"(",""),")",""),2))</f>
        <v xml:space="preserve">+7 (903) 901-23-45</v>
      </c>
      <c r="N612" t="str">
        <f t="shared" ref="N612:N675" si="249">LOWER(SUBSTITUTE(TRIM(E612)," ",""))</f>
        <v>klimova@yandex</v>
      </c>
      <c r="O612" t="str">
        <f t="shared" ref="O612:O675" si="250">IF(AND(ISNUMBER(FIND("@",N612)),ISNUMBER(FIND(".",N612,FIND("@",N612)+2))),"ОК","Ошибка Email")</f>
        <v xml:space="preserve">Ошибка Email</v>
      </c>
      <c r="P612" t="str">
        <f>IFERROR(VLOOKUP(TRIM(SUBSTITUTE(SUBSTITUTE(" "&amp;F612," г "," "),"г.","")),Справочники!$J$3:$K$102,2,0),TRIM(SUBSTITUTE(SUBSTITUTE(" "&amp;F612," г "," "),"г.","")))</f>
        <v>Грозный</v>
      </c>
    </row>
    <row r="613">
      <c r="A613" s="3" t="s">
        <v>3238</v>
      </c>
      <c r="B613" s="3" t="s">
        <v>6465</v>
      </c>
      <c r="C613" s="3" t="s">
        <v>6466</v>
      </c>
      <c r="D613" s="3" t="s">
        <v>4182</v>
      </c>
      <c r="E613" s="3" t="s">
        <v>6467</v>
      </c>
      <c r="F613" s="3" t="s">
        <v>4285</v>
      </c>
      <c r="G613" s="3" t="s">
        <v>6468</v>
      </c>
      <c r="H613" t="str">
        <f t="shared" si="245"/>
        <v xml:space="preserve">Сазонов Илья Викторович</v>
      </c>
      <c r="I613" s="5">
        <f>IFERROR(IF(ISNUMBER(FIND("-",C613)),DATE(VALUE(LEFT(C613,4)),VALUE(MID(C613,6,2)),VALUE(RIGHT(C613,2))),IF(ISNUMBER(FIND(".",C613)),DATE(VALUE(RIGHT(C613,4)),VALUE(MID(C613,4,2)),VALUE(LEFT(C613,2))),DATE(VALUE(RIGHT(C613,4)),VLOOKUP(TRIM(MID(C613,FIND(" ",C613)+1,LEN(C613)-FIND(" ",C613)-5)),Справочники!$M$3:$N$14,2,0),VALUE(LEFT(C613,FIND(" ",C613)-1))))),"")</f>
        <v>28051</v>
      </c>
      <c r="J613" s="6">
        <f t="shared" si="246"/>
        <v>50</v>
      </c>
      <c r="K613" t="str">
        <f t="shared" si="247"/>
        <v>ОК</v>
      </c>
      <c r="L613" s="5">
        <f>IFERROR(IF(ISNUMBER(FIND("-",G613)),DATE(VALUE(LEFT(G613,4)),VALUE(MID(G613,6,2)),VALUE(RIGHT(G613,2))),IF(ISNUMBER(FIND(".",G613)),DATE(VALUE(RIGHT(G613,4)),VALUE(MID(G613,4,2)),VALUE(LEFT(G613,2))),DATE(VALUE(RIGHT(G613,4)),VLOOKUP(TRIM(MID(G613,FIND(" ",G613)+1,LEN(G613)-FIND(" ",G613)-5)),Справочники!$M$3:$N$14,2,0),VALUE(LEFT(G613,FIND(" ",G613)-1))))),"")</f>
        <v>50749</v>
      </c>
      <c r="M613" t="str">
        <f t="shared" si="248"/>
        <v xml:space="preserve">+7 (903) 012-34-56</v>
      </c>
      <c r="N613" t="str">
        <f t="shared" si="249"/>
        <v>sazonov@gmail</v>
      </c>
      <c r="O613" t="str">
        <f t="shared" si="250"/>
        <v xml:space="preserve">Ошибка Email</v>
      </c>
      <c r="P613" t="str">
        <f>IFERROR(VLOOKUP(TRIM(SUBSTITUTE(SUBSTITUTE(" "&amp;F613," г "," "),"г.","")),Справочники!$J$3:$K$102,2,0),TRIM(SUBSTITUTE(SUBSTITUTE(" "&amp;F613," г "," "),"г.","")))</f>
        <v>Бийск</v>
      </c>
    </row>
    <row r="614">
      <c r="A614" s="3" t="s">
        <v>3240</v>
      </c>
      <c r="B614" s="3" t="s">
        <v>6469</v>
      </c>
      <c r="C614" s="3" t="s">
        <v>6470</v>
      </c>
      <c r="D614" s="3" t="s">
        <v>4188</v>
      </c>
      <c r="E614" s="3" t="s">
        <v>6471</v>
      </c>
      <c r="F614" s="3" t="s">
        <v>4290</v>
      </c>
      <c r="G614" s="3" t="s">
        <v>6472</v>
      </c>
      <c r="H614" t="str">
        <f t="shared" si="245"/>
        <v xml:space="preserve">Кузина Екатерина Алексеевна</v>
      </c>
      <c r="I614" s="5">
        <f>IFERROR(IF(ISNUMBER(FIND("-",C614)),DATE(VALUE(LEFT(C614,4)),VALUE(MID(C614,6,2)),VALUE(RIGHT(C614,2))),IF(ISNUMBER(FIND(".",C614)),DATE(VALUE(RIGHT(C614,4)),VALUE(MID(C614,4,2)),VALUE(LEFT(C614,2))),DATE(VALUE(RIGHT(C614,4)),VLOOKUP(TRIM(MID(C614,FIND(" ",C614)+1,LEN(C614)-FIND(" ",C614)-5)),Справочники!$M$3:$N$14,2,0),VALUE(LEFT(C614,FIND(" ",C614)-1))))),"")</f>
        <v>29570</v>
      </c>
      <c r="J614" s="6">
        <f t="shared" si="246"/>
        <v>45</v>
      </c>
      <c r="K614" t="str">
        <f t="shared" si="247"/>
        <v>ОК</v>
      </c>
      <c r="L614" s="5">
        <f>IFERROR(IF(ISNUMBER(FIND("-",G614)),DATE(VALUE(LEFT(G614,4)),VALUE(MID(G614,6,2)),VALUE(RIGHT(G614,2))),IF(ISNUMBER(FIND(".",G614)),DATE(VALUE(RIGHT(G614,4)),VALUE(MID(G614,4,2)),VALUE(LEFT(G614,2))),DATE(VALUE(RIGHT(G614,4)),VLOOKUP(TRIM(MID(G614,FIND(" ",G614)+1,LEN(G614)-FIND(" ",G614)-5)),Справочники!$M$3:$N$14,2,0),VALUE(LEFT(G614,FIND(" ",G614)-1))))),"")</f>
        <v>50771</v>
      </c>
      <c r="M614" t="str">
        <f t="shared" si="248"/>
        <v xml:space="preserve">+7 (903) 012-34-56</v>
      </c>
      <c r="N614" t="str">
        <f t="shared" si="249"/>
        <v>kuzina@mail</v>
      </c>
      <c r="O614" t="str">
        <f t="shared" si="250"/>
        <v xml:space="preserve">Ошибка Email</v>
      </c>
      <c r="P614" t="str">
        <f>IFERROR(VLOOKUP(TRIM(SUBSTITUTE(SUBSTITUTE(" "&amp;F614," г "," "),"г.","")),Справочники!$J$3:$K$102,2,0),TRIM(SUBSTITUTE(SUBSTITUTE(" "&amp;F614," г "," "),"г.","")))</f>
        <v>Йошкар-Ола</v>
      </c>
    </row>
    <row r="615">
      <c r="A615" s="3" t="s">
        <v>3241</v>
      </c>
      <c r="B615" s="3" t="s">
        <v>6473</v>
      </c>
      <c r="C615" s="3" t="s">
        <v>6474</v>
      </c>
      <c r="D615" s="3" t="s">
        <v>1633</v>
      </c>
      <c r="E615" s="3" t="s">
        <v>6475</v>
      </c>
      <c r="F615" s="3" t="s">
        <v>4295</v>
      </c>
      <c r="G615" s="3" t="s">
        <v>6476</v>
      </c>
      <c r="H615" t="str">
        <f t="shared" si="245"/>
        <v xml:space="preserve">Самойлов Андрей Олегович</v>
      </c>
      <c r="I615" s="5">
        <f>IFERROR(IF(ISNUMBER(FIND("-",C615)),DATE(VALUE(LEFT(C615,4)),VALUE(MID(C615,6,2)),VALUE(RIGHT(C615,2))),IF(ISNUMBER(FIND(".",C615)),DATE(VALUE(RIGHT(C615,4)),VALUE(MID(C615,4,2)),VALUE(LEFT(C615,2))),DATE(VALUE(RIGHT(C615,4)),VLOOKUP(TRIM(MID(C615,FIND(" ",C615)+1,LEN(C615)-FIND(" ",C615)-5)),Справочники!$M$3:$N$14,2,0),VALUE(LEFT(C615,FIND(" ",C615)-1))))),"")</f>
        <v>31221</v>
      </c>
      <c r="J615" s="6">
        <f t="shared" si="246"/>
        <v>41</v>
      </c>
      <c r="K615" t="str">
        <f t="shared" si="247"/>
        <v>ОК</v>
      </c>
      <c r="L615" s="5">
        <f>IFERROR(IF(ISNUMBER(FIND("-",G615)),DATE(VALUE(LEFT(G615,4)),VALUE(MID(G615,6,2)),VALUE(RIGHT(G615,2))),IF(ISNUMBER(FIND(".",G615)),DATE(VALUE(RIGHT(G615,4)),VALUE(MID(G615,4,2)),VALUE(LEFT(G615,2))),DATE(VALUE(RIGHT(G615,4)),VLOOKUP(TRIM(MID(G615,FIND(" ",G615)+1,LEN(G615)-FIND(" ",G615)-5)),Справочники!$M$3:$N$14,2,0),VALUE(LEFT(G615,FIND(" ",G615)-1))))),"")</f>
        <v>50785</v>
      </c>
      <c r="M615" t="str">
        <f t="shared" si="248"/>
        <v xml:space="preserve">+7 (903) 012-34-56</v>
      </c>
      <c r="N615" t="str">
        <f t="shared" si="249"/>
        <v>samoylov@yandex</v>
      </c>
      <c r="O615" t="str">
        <f t="shared" si="250"/>
        <v xml:space="preserve">Ошибка Email</v>
      </c>
      <c r="P615" t="str">
        <f>IFERROR(VLOOKUP(TRIM(SUBSTITUTE(SUBSTITUTE(" "&amp;F615," г "," "),"г.","")),Справочники!$J$3:$K$102,2,0),TRIM(SUBSTITUTE(SUBSTITUTE(" "&amp;F615," г "," "),"г.","")))</f>
        <v>Курган</v>
      </c>
    </row>
    <row r="616">
      <c r="A616" s="3" t="s">
        <v>3244</v>
      </c>
      <c r="B616" s="3" t="s">
        <v>6477</v>
      </c>
      <c r="C616" s="3" t="s">
        <v>6478</v>
      </c>
      <c r="D616" s="3" t="s">
        <v>4034</v>
      </c>
      <c r="E616" s="3" t="s">
        <v>6479</v>
      </c>
      <c r="F616" s="3" t="s">
        <v>4300</v>
      </c>
      <c r="G616" s="3" t="s">
        <v>6480</v>
      </c>
      <c r="H616" t="str">
        <f t="shared" si="245"/>
        <v xml:space="preserve">Трофимова Мария Павловна</v>
      </c>
      <c r="I616" s="5">
        <f>IFERROR(IF(ISNUMBER(FIND("-",C616)),DATE(VALUE(LEFT(C616,4)),VALUE(MID(C616,6,2)),VALUE(RIGHT(C616,2))),IF(ISNUMBER(FIND(".",C616)),DATE(VALUE(RIGHT(C616,4)),VALUE(MID(C616,4,2)),VALUE(LEFT(C616,2))),DATE(VALUE(RIGHT(C616,4)),VLOOKUP(TRIM(MID(C616,FIND(" ",C616)+1,LEN(C616)-FIND(" ",C616)-5)),Справочники!$M$3:$N$14,2,0),VALUE(LEFT(C616,FIND(" ",C616)-1))))),"")</f>
        <v>28871</v>
      </c>
      <c r="J616" s="6">
        <f t="shared" si="246"/>
        <v>47</v>
      </c>
      <c r="K616" t="str">
        <f t="shared" si="247"/>
        <v>ОК</v>
      </c>
      <c r="L616" s="5">
        <f>IFERROR(IF(ISNUMBER(FIND("-",G616)),DATE(VALUE(LEFT(G616,4)),VALUE(MID(G616,6,2)),VALUE(RIGHT(G616,2))),IF(ISNUMBER(FIND(".",G616)),DATE(VALUE(RIGHT(G616,4)),VALUE(MID(G616,4,2)),VALUE(LEFT(G616,2))),DATE(VALUE(RIGHT(G616,4)),VLOOKUP(TRIM(MID(G616,FIND(" ",G616)+1,LEN(G616)-FIND(" ",G616)-5)),Справочники!$M$3:$N$14,2,0),VALUE(LEFT(G616,FIND(" ",G616)-1))))),"")</f>
        <v>50785</v>
      </c>
      <c r="M616" t="str">
        <f t="shared" si="248"/>
        <v xml:space="preserve">+7 (903) 123-45-67</v>
      </c>
      <c r="N616" t="str">
        <f t="shared" si="249"/>
        <v>trofimova@gmail</v>
      </c>
      <c r="O616" t="str">
        <f t="shared" si="250"/>
        <v xml:space="preserve">Ошибка Email</v>
      </c>
      <c r="P616" t="str">
        <f>IFERROR(VLOOKUP(TRIM(SUBSTITUTE(SUBSTITUTE(" "&amp;F616," г "," "),"г.","")),Справочники!$J$3:$K$102,2,0),TRIM(SUBSTITUTE(SUBSTITUTE(" "&amp;F616," г "," "),"г.","")))</f>
        <v>Архангельск</v>
      </c>
    </row>
    <row r="617">
      <c r="A617" s="3" t="s">
        <v>3245</v>
      </c>
      <c r="B617" s="3" t="s">
        <v>6481</v>
      </c>
      <c r="C617" s="3" t="s">
        <v>6482</v>
      </c>
      <c r="D617" s="3" t="s">
        <v>4040</v>
      </c>
      <c r="E617" s="3" t="s">
        <v>4204</v>
      </c>
      <c r="F617" s="3" t="s">
        <v>4305</v>
      </c>
      <c r="G617" s="3" t="s">
        <v>6483</v>
      </c>
      <c r="H617" t="str">
        <f t="shared" si="245"/>
        <v xml:space="preserve">Власов Денис Сергеевич</v>
      </c>
      <c r="I617" s="5">
        <f>IFERROR(IF(ISNUMBER(FIND("-",C617)),DATE(VALUE(LEFT(C617,4)),VALUE(MID(C617,6,2)),VALUE(RIGHT(C617,2))),IF(ISNUMBER(FIND(".",C617)),DATE(VALUE(RIGHT(C617,4)),VALUE(MID(C617,4,2)),VALUE(LEFT(C617,2))),DATE(VALUE(RIGHT(C617,4)),VLOOKUP(TRIM(MID(C617,FIND(" ",C617)+1,LEN(C617)-FIND(" ",C617)-5)),Справочники!$M$3:$N$14,2,0),VALUE(LEFT(C617,FIND(" ",C617)-1))))),"")</f>
        <v>30769</v>
      </c>
      <c r="J617" s="6">
        <f t="shared" si="246"/>
        <v>42</v>
      </c>
      <c r="K617" t="str">
        <f t="shared" si="247"/>
        <v>ОК</v>
      </c>
      <c r="L617" s="5">
        <f>IFERROR(IF(ISNUMBER(FIND("-",G617)),DATE(VALUE(LEFT(G617,4)),VALUE(MID(G617,6,2)),VALUE(RIGHT(G617,2))),IF(ISNUMBER(FIND(".",G617)),DATE(VALUE(RIGHT(G617,4)),VALUE(MID(G617,4,2)),VALUE(LEFT(G617,2))),DATE(VALUE(RIGHT(G617,4)),VLOOKUP(TRIM(MID(G617,FIND(" ",G617)+1,LEN(G617)-FIND(" ",G617)-5)),Справочники!$M$3:$N$14,2,0),VALUE(LEFT(G617,FIND(" ",G617)-1))))),"")</f>
        <v>50802</v>
      </c>
      <c r="M617" t="str">
        <f t="shared" si="248"/>
        <v xml:space="preserve">+7 (903) 123-45-67</v>
      </c>
      <c r="N617" t="str">
        <f t="shared" si="249"/>
        <v>vlasov@mail</v>
      </c>
      <c r="O617" t="str">
        <f t="shared" si="250"/>
        <v xml:space="preserve">Ошибка Email</v>
      </c>
      <c r="P617" t="str">
        <f>IFERROR(VLOOKUP(TRIM(SUBSTITUTE(SUBSTITUTE(" "&amp;F617," г "," "),"г.","")),Справочники!$J$3:$K$102,2,0),TRIM(SUBSTITUTE(SUBSTITUTE(" "&amp;F617," г "," "),"г.","")))</f>
        <v>Благовещенск</v>
      </c>
    </row>
    <row r="618">
      <c r="A618" s="3" t="s">
        <v>3247</v>
      </c>
      <c r="B618" s="3" t="s">
        <v>6484</v>
      </c>
      <c r="C618" s="3" t="s">
        <v>6485</v>
      </c>
      <c r="D618" s="3" t="s">
        <v>1570</v>
      </c>
      <c r="E618" s="3" t="s">
        <v>6486</v>
      </c>
      <c r="F618" s="3" t="s">
        <v>4310</v>
      </c>
      <c r="G618" s="3" t="s">
        <v>6487</v>
      </c>
      <c r="H618" t="str">
        <f t="shared" si="245"/>
        <v xml:space="preserve">Андреева Ольга Владимировна</v>
      </c>
      <c r="I618" s="5">
        <f>IFERROR(IF(ISNUMBER(FIND("-",C618)),DATE(VALUE(LEFT(C618,4)),VALUE(MID(C618,6,2)),VALUE(RIGHT(C618,2))),IF(ISNUMBER(FIND(".",C618)),DATE(VALUE(RIGHT(C618,4)),VALUE(MID(C618,4,2)),VALUE(LEFT(C618,2))),DATE(VALUE(RIGHT(C618,4)),VLOOKUP(TRIM(MID(C618,FIND(" ",C618)+1,LEN(C618)-FIND(" ",C618)-5)),Справочники!$M$3:$N$14,2,0),VALUE(LEFT(C618,FIND(" ",C618)-1))))),"")</f>
        <v>33061</v>
      </c>
      <c r="J618" s="6">
        <f t="shared" si="246"/>
        <v>36</v>
      </c>
      <c r="K618" t="str">
        <f t="shared" si="247"/>
        <v>ОК</v>
      </c>
      <c r="L618" s="5">
        <f>IFERROR(IF(ISNUMBER(FIND("-",G618)),DATE(VALUE(LEFT(G618,4)),VALUE(MID(G618,6,2)),VALUE(RIGHT(G618,2))),IF(ISNUMBER(FIND(".",G618)),DATE(VALUE(RIGHT(G618,4)),VALUE(MID(G618,4,2)),VALUE(LEFT(G618,2))),DATE(VALUE(RIGHT(G618,4)),VLOOKUP(TRIM(MID(G618,FIND(" ",G618)+1,LEN(G618)-FIND(" ",G618)-5)),Справочники!$M$3:$N$14,2,0),VALUE(LEFT(G618,FIND(" ",G618)-1))))),"")</f>
        <v>50811</v>
      </c>
      <c r="M618" t="str">
        <f t="shared" si="248"/>
        <v xml:space="preserve">+7 (903) 123-45-67</v>
      </c>
      <c r="N618" t="str">
        <f t="shared" si="249"/>
        <v>andreeva@yandex</v>
      </c>
      <c r="O618" t="str">
        <f t="shared" si="250"/>
        <v xml:space="preserve">Ошибка Email</v>
      </c>
      <c r="P618" t="str">
        <f>IFERROR(VLOOKUP(TRIM(SUBSTITUTE(SUBSTITUTE(" "&amp;F618," г "," "),"г.","")),Справочники!$J$3:$K$102,2,0),TRIM(SUBSTITUTE(SUBSTITUTE(" "&amp;F618," г "," "),"г.","")))</f>
        <v>Майкоп</v>
      </c>
    </row>
    <row r="619">
      <c r="A619" s="3" t="s">
        <v>3249</v>
      </c>
      <c r="B619" s="3" t="s">
        <v>6488</v>
      </c>
      <c r="C619" s="3" t="s">
        <v>6489</v>
      </c>
      <c r="D619" s="3" t="s">
        <v>4051</v>
      </c>
      <c r="E619" s="3" t="s">
        <v>6490</v>
      </c>
      <c r="F619" s="3" t="s">
        <v>4315</v>
      </c>
      <c r="G619" s="3" t="s">
        <v>6491</v>
      </c>
      <c r="H619" t="str">
        <f t="shared" si="245"/>
        <v xml:space="preserve">Плотников Илья Александрович</v>
      </c>
      <c r="I619" s="5">
        <f>IFERROR(IF(ISNUMBER(FIND("-",C619)),DATE(VALUE(LEFT(C619,4)),VALUE(MID(C619,6,2)),VALUE(RIGHT(C619,2))),IF(ISNUMBER(FIND(".",C619)),DATE(VALUE(RIGHT(C619,4)),VALUE(MID(C619,4,2)),VALUE(LEFT(C619,2))),DATE(VALUE(RIGHT(C619,4)),VLOOKUP(TRIM(MID(C619,FIND(" ",C619)+1,LEN(C619)-FIND(" ",C619)-5)),Справочники!$M$3:$N$14,2,0),VALUE(LEFT(C619,FIND(" ",C619)-1))))),"")</f>
        <v>26956</v>
      </c>
      <c r="J619" s="6">
        <f t="shared" si="246"/>
        <v>53</v>
      </c>
      <c r="K619" t="str">
        <f t="shared" si="247"/>
        <v>ОК</v>
      </c>
      <c r="L619" s="5">
        <f>IFERROR(IF(ISNUMBER(FIND("-",G619)),DATE(VALUE(LEFT(G619,4)),VALUE(MID(G619,6,2)),VALUE(RIGHT(G619,2))),IF(ISNUMBER(FIND(".",G619)),DATE(VALUE(RIGHT(G619,4)),VALUE(MID(G619,4,2)),VALUE(LEFT(G619,2))),DATE(VALUE(RIGHT(G619,4)),VLOOKUP(TRIM(MID(G619,FIND(" ",G619)+1,LEN(G619)-FIND(" ",G619)-5)),Справочники!$M$3:$N$14,2,0),VALUE(LEFT(G619,FIND(" ",G619)-1))))),"")</f>
        <v>50811</v>
      </c>
      <c r="M619" t="str">
        <f t="shared" si="248"/>
        <v xml:space="preserve">+7 (903) 234-56-78</v>
      </c>
      <c r="N619" t="str">
        <f t="shared" si="249"/>
        <v>plotnikov@gmail</v>
      </c>
      <c r="O619" t="str">
        <f t="shared" si="250"/>
        <v xml:space="preserve">Ошибка Email</v>
      </c>
      <c r="P619" t="str">
        <f>IFERROR(VLOOKUP(TRIM(SUBSTITUTE(SUBSTITUTE(" "&amp;F619," г "," "),"г.","")),Справочники!$J$3:$K$102,2,0),TRIM(SUBSTITUTE(SUBSTITUTE(" "&amp;F619," г "," "),"г.","")))</f>
        <v>Уссурийск</v>
      </c>
    </row>
    <row r="620">
      <c r="A620" s="3" t="s">
        <v>3251</v>
      </c>
      <c r="B620" s="3" t="s">
        <v>6492</v>
      </c>
      <c r="C620" s="3" t="s">
        <v>6493</v>
      </c>
      <c r="D620" s="3" t="s">
        <v>4057</v>
      </c>
      <c r="E620" s="3" t="s">
        <v>6494</v>
      </c>
      <c r="F620" s="3" t="s">
        <v>4320</v>
      </c>
      <c r="G620" s="3" t="s">
        <v>6495</v>
      </c>
      <c r="H620" t="str">
        <f t="shared" si="245"/>
        <v xml:space="preserve">Максимова Екатерина Сергеевна</v>
      </c>
      <c r="I620" s="5">
        <f>IFERROR(IF(ISNUMBER(FIND("-",C620)),DATE(VALUE(LEFT(C620,4)),VALUE(MID(C620,6,2)),VALUE(RIGHT(C620,2))),IF(ISNUMBER(FIND(".",C620)),DATE(VALUE(RIGHT(C620,4)),VALUE(MID(C620,4,2)),VALUE(LEFT(C620,2))),DATE(VALUE(RIGHT(C620,4)),VLOOKUP(TRIM(MID(C620,FIND(" ",C620)+1,LEN(C620)-FIND(" ",C620)-5)),Справочники!$M$3:$N$14,2,0),VALUE(LEFT(C620,FIND(" ",C620)-1))))),"")</f>
        <v>30214</v>
      </c>
      <c r="J620" s="6">
        <f t="shared" si="246"/>
        <v>44</v>
      </c>
      <c r="K620" t="str">
        <f t="shared" si="247"/>
        <v>ОК</v>
      </c>
      <c r="L620" s="5">
        <f>IFERROR(IF(ISNUMBER(FIND("-",G620)),DATE(VALUE(LEFT(G620,4)),VALUE(MID(G620,6,2)),VALUE(RIGHT(G620,2))),IF(ISNUMBER(FIND(".",G620)),DATE(VALUE(RIGHT(G620,4)),VALUE(MID(G620,4,2)),VALUE(LEFT(G620,2))),DATE(VALUE(RIGHT(G620,4)),VLOOKUP(TRIM(MID(G620,FIND(" ",G620)+1,LEN(G620)-FIND(" ",G620)-5)),Справочники!$M$3:$N$14,2,0),VALUE(LEFT(G620,FIND(" ",G620)-1))))),"")</f>
        <v>50830</v>
      </c>
      <c r="M620" t="str">
        <f t="shared" si="248"/>
        <v xml:space="preserve">+7 (903) 234-56-78</v>
      </c>
      <c r="N620" t="str">
        <f t="shared" si="249"/>
        <v>maksimova@mail</v>
      </c>
      <c r="O620" t="str">
        <f t="shared" si="250"/>
        <v xml:space="preserve">Ошибка Email</v>
      </c>
      <c r="P620" t="str">
        <f>IFERROR(VLOOKUP(TRIM(SUBSTITUTE(SUBSTITUTE(" "&amp;F620," г "," "),"г.","")),Справочники!$J$3:$K$102,2,0),TRIM(SUBSTITUTE(SUBSTITUTE(" "&amp;F620," г "," "),"г.","")))</f>
        <v>Миасс</v>
      </c>
    </row>
    <row r="621">
      <c r="A621" s="3" t="s">
        <v>3253</v>
      </c>
      <c r="B621" s="3" t="s">
        <v>6496</v>
      </c>
      <c r="C621" s="3" t="s">
        <v>6497</v>
      </c>
      <c r="D621" s="3" t="s">
        <v>1712</v>
      </c>
      <c r="E621" s="3" t="s">
        <v>6498</v>
      </c>
      <c r="F621" s="3" t="s">
        <v>4325</v>
      </c>
      <c r="G621" s="3" t="s">
        <v>6499</v>
      </c>
      <c r="H621" t="str">
        <f t="shared" si="245"/>
        <v xml:space="preserve">Владимиров Андрей Павлович</v>
      </c>
      <c r="I621" s="5">
        <f>IFERROR(IF(ISNUMBER(FIND("-",C621)),DATE(VALUE(LEFT(C621,4)),VALUE(MID(C621,6,2)),VALUE(RIGHT(C621,2))),IF(ISNUMBER(FIND(".",C621)),DATE(VALUE(RIGHT(C621,4)),VALUE(MID(C621,4,2)),VALUE(LEFT(C621,2))),DATE(VALUE(RIGHT(C621,4)),VLOOKUP(TRIM(MID(C621,FIND(" ",C621)+1,LEN(C621)-FIND(" ",C621)-5)),Справочники!$M$3:$N$14,2,0),VALUE(LEFT(C621,FIND(" ",C621)-1))))),"")</f>
        <v>31898</v>
      </c>
      <c r="J621" s="6">
        <f t="shared" si="246"/>
        <v>39</v>
      </c>
      <c r="K621" t="str">
        <f t="shared" si="247"/>
        <v>ОК</v>
      </c>
      <c r="L621" s="5">
        <f>IFERROR(IF(ISNUMBER(FIND("-",G621)),DATE(VALUE(LEFT(G621,4)),VALUE(MID(G621,6,2)),VALUE(RIGHT(G621,2))),IF(ISNUMBER(FIND(".",G621)),DATE(VALUE(RIGHT(G621,4)),VALUE(MID(G621,4,2)),VALUE(LEFT(G621,2))),DATE(VALUE(RIGHT(G621,4)),VLOOKUP(TRIM(MID(G621,FIND(" ",G621)+1,LEN(G621)-FIND(" ",G621)-5)),Справочники!$M$3:$N$14,2,0),VALUE(LEFT(G621,FIND(" ",G621)-1))))),"")</f>
        <v>50844</v>
      </c>
      <c r="M621" t="str">
        <f t="shared" si="248"/>
        <v xml:space="preserve">+7 (903) 234-56-78</v>
      </c>
      <c r="N621" t="str">
        <f t="shared" si="249"/>
        <v>vladimirov@yandex</v>
      </c>
      <c r="O621" t="str">
        <f t="shared" si="250"/>
        <v xml:space="preserve">Ошибка Email</v>
      </c>
      <c r="P621" t="str">
        <f>IFERROR(VLOOKUP(TRIM(SUBSTITUTE(SUBSTITUTE(" "&amp;F621," г "," "),"г.","")),Справочники!$J$3:$K$102,2,0),TRIM(SUBSTITUTE(SUBSTITUTE(" "&amp;F621," г "," "),"г.","")))</f>
        <v>Кызыл</v>
      </c>
    </row>
    <row r="622">
      <c r="A622" s="3" t="s">
        <v>3256</v>
      </c>
      <c r="B622" s="3" t="s">
        <v>6500</v>
      </c>
      <c r="C622" s="3" t="s">
        <v>6501</v>
      </c>
      <c r="D622" s="3" t="s">
        <v>1584</v>
      </c>
      <c r="E622" s="3" t="s">
        <v>6502</v>
      </c>
      <c r="F622" s="3" t="s">
        <v>4330</v>
      </c>
      <c r="G622" s="3" t="s">
        <v>6503</v>
      </c>
      <c r="H622" t="str">
        <f t="shared" si="245"/>
        <v xml:space="preserve">Грибова Мария Олеговна</v>
      </c>
      <c r="I622" s="5">
        <f>IFERROR(IF(ISNUMBER(FIND("-",C622)),DATE(VALUE(LEFT(C622,4)),VALUE(MID(C622,6,2)),VALUE(RIGHT(C622,2))),IF(ISNUMBER(FIND(".",C622)),DATE(VALUE(RIGHT(C622,4)),VALUE(MID(C622,4,2)),VALUE(LEFT(C622,2))),DATE(VALUE(RIGHT(C622,4)),VLOOKUP(TRIM(MID(C622,FIND(" ",C622)+1,LEN(C622)-FIND(" ",C622)-5)),Справочники!$M$3:$N$14,2,0),VALUE(LEFT(C622,FIND(" ",C622)-1))))),"")</f>
        <v>28116</v>
      </c>
      <c r="J622" s="6">
        <f t="shared" si="246"/>
        <v>49</v>
      </c>
      <c r="K622" t="str">
        <f t="shared" si="247"/>
        <v>ОК</v>
      </c>
      <c r="L622" s="5">
        <f>IFERROR(IF(ISNUMBER(FIND("-",G622)),DATE(VALUE(LEFT(G622,4)),VALUE(MID(G622,6,2)),VALUE(RIGHT(G622,2))),IF(ISNUMBER(FIND(".",G622)),DATE(VALUE(RIGHT(G622,4)),VALUE(MID(G622,4,2)),VALUE(LEFT(G622,2))),DATE(VALUE(RIGHT(G622,4)),VLOOKUP(TRIM(MID(G622,FIND(" ",G622)+1,LEN(G622)-FIND(" ",G622)-5)),Справочники!$M$3:$N$14,2,0),VALUE(LEFT(G622,FIND(" ",G622)-1))))),"")</f>
        <v>50844</v>
      </c>
      <c r="M622" t="str">
        <f t="shared" si="248"/>
        <v xml:space="preserve">+7 (903) 345-67-89</v>
      </c>
      <c r="N622" t="str">
        <f t="shared" si="249"/>
        <v>gribova@gmail</v>
      </c>
      <c r="O622" t="str">
        <f t="shared" si="250"/>
        <v xml:space="preserve">Ошибка Email</v>
      </c>
      <c r="P622" t="str">
        <f>IFERROR(VLOOKUP(TRIM(SUBSTITUTE(SUBSTITUTE(" "&amp;F622," г "," "),"г.","")),Справочники!$J$3:$K$102,2,0),TRIM(SUBSTITUTE(SUBSTITUTE(" "&amp;F622," г "," "),"г.","")))</f>
        <v>Калининград</v>
      </c>
    </row>
    <row r="623">
      <c r="A623" s="3" t="s">
        <v>3257</v>
      </c>
      <c r="B623" s="3" t="s">
        <v>6504</v>
      </c>
      <c r="C623" s="3" t="s">
        <v>6505</v>
      </c>
      <c r="D623" s="3" t="s">
        <v>4073</v>
      </c>
      <c r="E623" s="3" t="s">
        <v>6506</v>
      </c>
      <c r="F623" s="3" t="s">
        <v>4335</v>
      </c>
      <c r="G623" s="3" t="s">
        <v>6507</v>
      </c>
      <c r="H623" t="str">
        <f t="shared" si="245"/>
        <v xml:space="preserve">Курочкин Денис Викторович</v>
      </c>
      <c r="I623" s="5">
        <f>IFERROR(IF(ISNUMBER(FIND("-",C623)),DATE(VALUE(LEFT(C623,4)),VALUE(MID(C623,6,2)),VALUE(RIGHT(C623,2))),IF(ISNUMBER(FIND(".",C623)),DATE(VALUE(RIGHT(C623,4)),VALUE(MID(C623,4,2)),VALUE(LEFT(C623,2))),DATE(VALUE(RIGHT(C623,4)),VLOOKUP(TRIM(MID(C623,FIND(" ",C623)+1,LEN(C623)-FIND(" ",C623)-5)),Справочники!$M$3:$N$14,2,0),VALUE(LEFT(C623,FIND(" ",C623)-1))))),"")</f>
        <v>30543</v>
      </c>
      <c r="J623" s="6">
        <f t="shared" si="246"/>
        <v>43</v>
      </c>
      <c r="K623" t="str">
        <f t="shared" si="247"/>
        <v>ОК</v>
      </c>
      <c r="L623" s="5">
        <f>IFERROR(IF(ISNUMBER(FIND("-",G623)),DATE(VALUE(LEFT(G623,4)),VALUE(MID(G623,6,2)),VALUE(RIGHT(G623,2))),IF(ISNUMBER(FIND(".",G623)),DATE(VALUE(RIGHT(G623,4)),VALUE(MID(G623,4,2)),VALUE(LEFT(G623,2))),DATE(VALUE(RIGHT(G623,4)),VLOOKUP(TRIM(MID(G623,FIND(" ",G623)+1,LEN(G623)-FIND(" ",G623)-5)),Справочники!$M$3:$N$14,2,0),VALUE(LEFT(G623,FIND(" ",G623)-1))))),"")</f>
        <v>50861</v>
      </c>
      <c r="M623" t="str">
        <f t="shared" si="248"/>
        <v xml:space="preserve">+7 (903) 345-67-89</v>
      </c>
      <c r="N623" t="str">
        <f t="shared" si="249"/>
        <v>kurochkin@mail</v>
      </c>
      <c r="O623" t="str">
        <f t="shared" si="250"/>
        <v xml:space="preserve">Ошибка Email</v>
      </c>
      <c r="P623" t="str">
        <f>IFERROR(VLOOKUP(TRIM(SUBSTITUTE(SUBSTITUTE(" "&amp;F623," г "," "),"г.","")),Справочники!$J$3:$K$102,2,0),TRIM(SUBSTITUTE(SUBSTITUTE(" "&amp;F623," г "," "),"г.","")))</f>
        <v>Петрозаводск</v>
      </c>
    </row>
    <row r="624">
      <c r="A624" s="3" t="s">
        <v>3259</v>
      </c>
      <c r="B624" s="3" t="s">
        <v>6508</v>
      </c>
      <c r="C624" s="3" t="s">
        <v>5531</v>
      </c>
      <c r="D624" s="3" t="s">
        <v>4079</v>
      </c>
      <c r="E624" s="3" t="s">
        <v>6509</v>
      </c>
      <c r="F624" s="3" t="s">
        <v>4340</v>
      </c>
      <c r="G624" s="3" t="s">
        <v>6510</v>
      </c>
      <c r="H624" t="str">
        <f t="shared" si="245"/>
        <v xml:space="preserve">Соловьева Ольга Павловна</v>
      </c>
      <c r="I624" s="5">
        <f>IFERROR(IF(ISNUMBER(FIND("-",C624)),DATE(VALUE(LEFT(C624,4)),VALUE(MID(C624,6,2)),VALUE(RIGHT(C624,2))),IF(ISNUMBER(FIND(".",C624)),DATE(VALUE(RIGHT(C624,4)),VALUE(MID(C624,4,2)),VALUE(LEFT(C624,2))),DATE(VALUE(RIGHT(C624,4)),VLOOKUP(TRIM(MID(C624,FIND(" ",C624)+1,LEN(C624)-FIND(" ",C624)-5)),Справочники!$M$3:$N$14,2,0),VALUE(LEFT(C624,FIND(" ",C624)-1))))),"")</f>
        <v>32259</v>
      </c>
      <c r="J624" s="6">
        <f t="shared" si="246"/>
        <v>38</v>
      </c>
      <c r="K624" t="str">
        <f t="shared" si="247"/>
        <v>ОК</v>
      </c>
      <c r="L624" s="5">
        <f>IFERROR(IF(ISNUMBER(FIND("-",G624)),DATE(VALUE(LEFT(G624,4)),VALUE(MID(G624,6,2)),VALUE(RIGHT(G624,2))),IF(ISNUMBER(FIND(".",G624)),DATE(VALUE(RIGHT(G624,4)),VALUE(MID(G624,4,2)),VALUE(LEFT(G624,2))),DATE(VALUE(RIGHT(G624,4)),VLOOKUP(TRIM(MID(G624,FIND(" ",G624)+1,LEN(G624)-FIND(" ",G624)-5)),Справочники!$M$3:$N$14,2,0),VALUE(LEFT(G624,FIND(" ",G624)-1))))),"")</f>
        <v>50870</v>
      </c>
      <c r="M624" t="str">
        <f t="shared" si="248"/>
        <v xml:space="preserve">+7 (903) 345-67-89</v>
      </c>
      <c r="N624" t="str">
        <f t="shared" si="249"/>
        <v>solovieva@yandex</v>
      </c>
      <c r="O624" t="str">
        <f t="shared" si="250"/>
        <v xml:space="preserve">Ошибка Email</v>
      </c>
      <c r="P624" t="str">
        <f>IFERROR(VLOOKUP(TRIM(SUBSTITUTE(SUBSTITUTE(" "&amp;F624," г "," "),"г.","")),Справочники!$J$3:$K$102,2,0),TRIM(SUBSTITUTE(SUBSTITUTE(" "&amp;F624," г "," "),"г.","")))</f>
        <v>Рубцовск</v>
      </c>
    </row>
    <row r="625">
      <c r="A625" s="3" t="s">
        <v>3260</v>
      </c>
      <c r="B625" s="3" t="s">
        <v>6511</v>
      </c>
      <c r="C625" s="3" t="s">
        <v>6512</v>
      </c>
      <c r="D625" s="3" t="s">
        <v>4085</v>
      </c>
      <c r="E625" s="3" t="s">
        <v>6513</v>
      </c>
      <c r="F625" s="3" t="s">
        <v>4345</v>
      </c>
      <c r="G625" s="3" t="s">
        <v>6514</v>
      </c>
      <c r="H625" t="str">
        <f t="shared" si="245"/>
        <v xml:space="preserve">Звягинцев Илья Алексеевич</v>
      </c>
      <c r="I625" s="5">
        <f>IFERROR(IF(ISNUMBER(FIND("-",C625)),DATE(VALUE(LEFT(C625,4)),VALUE(MID(C625,6,2)),VALUE(RIGHT(C625,2))),IF(ISNUMBER(FIND(".",C625)),DATE(VALUE(RIGHT(C625,4)),VALUE(MID(C625,4,2)),VALUE(LEFT(C625,2))),DATE(VALUE(RIGHT(C625,4)),VLOOKUP(TRIM(MID(C625,FIND(" ",C625)+1,LEN(C625)-FIND(" ",C625)-5)),Справочники!$M$3:$N$14,2,0),VALUE(LEFT(C625,FIND(" ",C625)-1))))),"")</f>
        <v>27346</v>
      </c>
      <c r="J625" s="6">
        <f t="shared" si="246"/>
        <v>51</v>
      </c>
      <c r="K625" t="str">
        <f t="shared" si="247"/>
        <v>ОК</v>
      </c>
      <c r="L625" s="5">
        <f>IFERROR(IF(ISNUMBER(FIND("-",G625)),DATE(VALUE(LEFT(G625,4)),VALUE(MID(G625,6,2)),VALUE(RIGHT(G625,2))),IF(ISNUMBER(FIND(".",G625)),DATE(VALUE(RIGHT(G625,4)),VALUE(MID(G625,4,2)),VALUE(LEFT(G625,2))),DATE(VALUE(RIGHT(G625,4)),VLOOKUP(TRIM(MID(G625,FIND(" ",G625)+1,LEN(G625)-FIND(" ",G625)-5)),Справочники!$M$3:$N$14,2,0),VALUE(LEFT(G625,FIND(" ",G625)-1))))),"")</f>
        <v>50870</v>
      </c>
      <c r="M625" t="str">
        <f t="shared" si="248"/>
        <v xml:space="preserve">+7 (903) 456-78-90</v>
      </c>
      <c r="N625" t="str">
        <f t="shared" si="249"/>
        <v>zvyagintsev@gmail</v>
      </c>
      <c r="O625" t="str">
        <f t="shared" si="250"/>
        <v xml:space="preserve">Ошибка Email</v>
      </c>
      <c r="P625" t="str">
        <f>IFERROR(VLOOKUP(TRIM(SUBSTITUTE(SUBSTITUTE(" "&amp;F625," г "," "),"г.","")),Справочники!$J$3:$K$102,2,0),TRIM(SUBSTITUTE(SUBSTITUTE(" "&amp;F625," г "," "),"г.","")))</f>
        <v>Элиста</v>
      </c>
    </row>
    <row r="626">
      <c r="A626" s="3" t="s">
        <v>3263</v>
      </c>
      <c r="B626" s="3" t="s">
        <v>6515</v>
      </c>
      <c r="C626" s="3" t="s">
        <v>6516</v>
      </c>
      <c r="D626" s="3" t="s">
        <v>1591</v>
      </c>
      <c r="E626" s="3" t="s">
        <v>6517</v>
      </c>
      <c r="F626" s="3" t="s">
        <v>4350</v>
      </c>
      <c r="G626" s="3" t="s">
        <v>6518</v>
      </c>
      <c r="H626" t="str">
        <f t="shared" si="245"/>
        <v xml:space="preserve">Муромцева Екатерина Сергеевна</v>
      </c>
      <c r="I626" s="5">
        <f>IFERROR(IF(ISNUMBER(FIND("-",C626)),DATE(VALUE(LEFT(C626,4)),VALUE(MID(C626,6,2)),VALUE(RIGHT(C626,2))),IF(ISNUMBER(FIND(".",C626)),DATE(VALUE(RIGHT(C626,4)),VALUE(MID(C626,4,2)),VALUE(LEFT(C626,2))),DATE(VALUE(RIGHT(C626,4)),VLOOKUP(TRIM(MID(C626,FIND(" ",C626)+1,LEN(C626)-FIND(" ",C626)-5)),Справочники!$M$3:$N$14,2,0),VALUE(LEFT(C626,FIND(" ",C626)-1))))),"")</f>
        <v>29746</v>
      </c>
      <c r="J626" s="6">
        <f t="shared" si="246"/>
        <v>45</v>
      </c>
      <c r="K626" t="str">
        <f t="shared" si="247"/>
        <v>ОК</v>
      </c>
      <c r="L626" s="5">
        <f>IFERROR(IF(ISNUMBER(FIND("-",G626)),DATE(VALUE(LEFT(G626,4)),VALUE(MID(G626,6,2)),VALUE(RIGHT(G626,2))),IF(ISNUMBER(FIND(".",G626)),DATE(VALUE(RIGHT(G626,4)),VALUE(MID(G626,4,2)),VALUE(LEFT(G626,2))),DATE(VALUE(RIGHT(G626,4)),VLOOKUP(TRIM(MID(G626,FIND(" ",G626)+1,LEN(G626)-FIND(" ",G626)-5)),Справочники!$M$3:$N$14,2,0),VALUE(LEFT(G626,FIND(" ",G626)-1))))),"")</f>
        <v>50891</v>
      </c>
      <c r="M626" t="str">
        <f t="shared" si="248"/>
        <v xml:space="preserve">+7 (903) 456-78-90</v>
      </c>
      <c r="N626" t="str">
        <f t="shared" si="249"/>
        <v>muromtseva@mail</v>
      </c>
      <c r="O626" t="str">
        <f t="shared" si="250"/>
        <v xml:space="preserve">Ошибка Email</v>
      </c>
      <c r="P626" t="str">
        <f>IFERROR(VLOOKUP(TRIM(SUBSTITUTE(SUBSTITUTE(" "&amp;F626," г "," "),"г.","")),Справочники!$J$3:$K$102,2,0),TRIM(SUBSTITUTE(SUBSTITUTE(" "&amp;F626," г "," "),"г.","")))</f>
        <v>Орск</v>
      </c>
    </row>
    <row r="627">
      <c r="A627" s="3" t="s">
        <v>3264</v>
      </c>
      <c r="B627" s="3" t="s">
        <v>6519</v>
      </c>
      <c r="C627" s="3" t="s">
        <v>6520</v>
      </c>
      <c r="D627" s="3" t="s">
        <v>1660</v>
      </c>
      <c r="E627" s="3" t="s">
        <v>6521</v>
      </c>
      <c r="F627" s="3" t="s">
        <v>4355</v>
      </c>
      <c r="G627" s="3" t="s">
        <v>6522</v>
      </c>
      <c r="H627" t="str">
        <f t="shared" si="245"/>
        <v xml:space="preserve">Бакулин Андрей Олегович</v>
      </c>
      <c r="I627" s="5">
        <f>IFERROR(IF(ISNUMBER(FIND("-",C627)),DATE(VALUE(LEFT(C627,4)),VALUE(MID(C627,6,2)),VALUE(RIGHT(C627,2))),IF(ISNUMBER(FIND(".",C627)),DATE(VALUE(RIGHT(C627,4)),VALUE(MID(C627,4,2)),VALUE(LEFT(C627,2))),DATE(VALUE(RIGHT(C627,4)),VLOOKUP(TRIM(MID(C627,FIND(" ",C627)+1,LEN(C627)-FIND(" ",C627)-5)),Справочники!$M$3:$N$14,2,0),VALUE(LEFT(C627,FIND(" ",C627)-1))))),"")</f>
        <v>33864</v>
      </c>
      <c r="J627" s="6">
        <f t="shared" si="246"/>
        <v>34</v>
      </c>
      <c r="K627" t="str">
        <f t="shared" si="247"/>
        <v>ОК</v>
      </c>
      <c r="L627" s="5">
        <f>IFERROR(IF(ISNUMBER(FIND("-",G627)),DATE(VALUE(LEFT(G627,4)),VALUE(MID(G627,6,2)),VALUE(RIGHT(G627,2))),IF(ISNUMBER(FIND(".",G627)),DATE(VALUE(RIGHT(G627,4)),VALUE(MID(G627,4,2)),VALUE(LEFT(G627,2))),DATE(VALUE(RIGHT(G627,4)),VLOOKUP(TRIM(MID(G627,FIND(" ",G627)+1,LEN(G627)-FIND(" ",G627)-5)),Справочники!$M$3:$N$14,2,0),VALUE(LEFT(G627,FIND(" ",G627)-1))))),"")</f>
        <v>50905</v>
      </c>
      <c r="M627" t="str">
        <f t="shared" si="248"/>
        <v xml:space="preserve">+7 (903) 456-78-90</v>
      </c>
      <c r="N627" t="str">
        <f t="shared" si="249"/>
        <v>bakulin@yandex</v>
      </c>
      <c r="O627" t="str">
        <f t="shared" si="250"/>
        <v xml:space="preserve">Ошибка Email</v>
      </c>
      <c r="P627" t="str">
        <f>IFERROR(VLOOKUP(TRIM(SUBSTITUTE(SUBSTITUTE(" "&amp;F627," г "," "),"г.","")),Справочники!$J$3:$K$102,2,0),TRIM(SUBSTITUTE(SUBSTITUTE(" "&amp;F627," г "," "),"г.","")))</f>
        <v>Нижневартовск</v>
      </c>
    </row>
    <row r="628">
      <c r="A628" s="3" t="s">
        <v>3266</v>
      </c>
      <c r="B628" s="3" t="s">
        <v>6523</v>
      </c>
      <c r="C628" s="3" t="s">
        <v>6524</v>
      </c>
      <c r="D628" s="3" t="s">
        <v>3984</v>
      </c>
      <c r="E628" s="3" t="s">
        <v>6525</v>
      </c>
      <c r="F628" s="3" t="s">
        <v>4360</v>
      </c>
      <c r="G628" s="3" t="s">
        <v>6526</v>
      </c>
      <c r="H628" t="str">
        <f t="shared" si="245"/>
        <v xml:space="preserve">Корнеева Мария Владимировна</v>
      </c>
      <c r="I628" s="5">
        <f>IFERROR(IF(ISNUMBER(FIND("-",C628)),DATE(VALUE(LEFT(C628,4)),VALUE(MID(C628,6,2)),VALUE(RIGHT(C628,2))),IF(ISNUMBER(FIND(".",C628)),DATE(VALUE(RIGHT(C628,4)),VALUE(MID(C628,4,2)),VALUE(LEFT(C628,2))),DATE(VALUE(RIGHT(C628,4)),VLOOKUP(TRIM(MID(C628,FIND(" ",C628)+1,LEN(C628)-FIND(" ",C628)-5)),Справочники!$M$3:$N$14,2,0),VALUE(LEFT(C628,FIND(" ",C628)-1))))),"")</f>
        <v>27424</v>
      </c>
      <c r="J628" s="6">
        <f t="shared" si="246"/>
        <v>51</v>
      </c>
      <c r="K628" t="str">
        <f t="shared" si="247"/>
        <v>ОК</v>
      </c>
      <c r="L628" s="5">
        <f>IFERROR(IF(ISNUMBER(FIND("-",G628)),DATE(VALUE(LEFT(G628,4)),VALUE(MID(G628,6,2)),VALUE(RIGHT(G628,2))),IF(ISNUMBER(FIND(".",G628)),DATE(VALUE(RIGHT(G628,4)),VALUE(MID(G628,4,2)),VALUE(LEFT(G628,2))),DATE(VALUE(RIGHT(G628,4)),VLOOKUP(TRIM(MID(G628,FIND(" ",G628)+1,LEN(G628)-FIND(" ",G628)-5)),Справочники!$M$3:$N$14,2,0),VALUE(LEFT(G628,FIND(" ",G628)-1))))),"")</f>
        <v>50905</v>
      </c>
      <c r="M628" t="str">
        <f t="shared" si="248"/>
        <v xml:space="preserve">+7 (903) 567-89-01</v>
      </c>
      <c r="N628" t="str">
        <f t="shared" si="249"/>
        <v>korneeva@gmail</v>
      </c>
      <c r="O628" t="str">
        <f t="shared" si="250"/>
        <v xml:space="preserve">Ошибка Email</v>
      </c>
      <c r="P628" t="str">
        <f>IFERROR(VLOOKUP(TRIM(SUBSTITUTE(SUBSTITUTE(" "&amp;F628," г "," "),"г.","")),Справочники!$J$3:$K$102,2,0),TRIM(SUBSTITUTE(SUBSTITUTE(" "&amp;F628," г "," "),"г.","")))</f>
        <v>Новороссийск</v>
      </c>
    </row>
    <row r="629">
      <c r="A629" s="3" t="s">
        <v>3268</v>
      </c>
      <c r="B629" s="3" t="s">
        <v>6527</v>
      </c>
      <c r="C629" s="3" t="s">
        <v>6528</v>
      </c>
      <c r="D629" s="3" t="s">
        <v>3990</v>
      </c>
      <c r="E629" s="3" t="s">
        <v>6529</v>
      </c>
      <c r="F629" s="3" t="s">
        <v>4365</v>
      </c>
      <c r="G629" s="3" t="s">
        <v>6530</v>
      </c>
      <c r="H629" t="str">
        <f t="shared" si="245"/>
        <v xml:space="preserve">Сидоров Денис Павлович</v>
      </c>
      <c r="I629" s="5">
        <f>IFERROR(IF(ISNUMBER(FIND("-",C629)),DATE(VALUE(LEFT(C629,4)),VALUE(MID(C629,6,2)),VALUE(RIGHT(C629,2))),IF(ISNUMBER(FIND(".",C629)),DATE(VALUE(RIGHT(C629,4)),VALUE(MID(C629,4,2)),VALUE(LEFT(C629,2))),DATE(VALUE(RIGHT(C629,4)),VLOOKUP(TRIM(MID(C629,FIND(" ",C629)+1,LEN(C629)-FIND(" ",C629)-5)),Справочники!$M$3:$N$14,2,0),VALUE(LEFT(C629,FIND(" ",C629)-1))))),"")</f>
        <v>30871</v>
      </c>
      <c r="J629" s="6">
        <f t="shared" si="246"/>
        <v>42</v>
      </c>
      <c r="K629" t="str">
        <f t="shared" si="247"/>
        <v>ОК</v>
      </c>
      <c r="L629" s="5">
        <f>IFERROR(IF(ISNUMBER(FIND("-",G629)),DATE(VALUE(LEFT(G629,4)),VALUE(MID(G629,6,2)),VALUE(RIGHT(G629,2))),IF(ISNUMBER(FIND(".",G629)),DATE(VALUE(RIGHT(G629,4)),VALUE(MID(G629,4,2)),VALUE(LEFT(G629,2))),DATE(VALUE(RIGHT(G629,4)),VLOOKUP(TRIM(MID(G629,FIND(" ",G629)+1,LEN(G629)-FIND(" ",G629)-5)),Справочники!$M$3:$N$14,2,0),VALUE(LEFT(G629,FIND(" ",G629)-1))))),"")</f>
        <v>50922</v>
      </c>
      <c r="M629" t="str">
        <f t="shared" si="248"/>
        <v xml:space="preserve">+7 (903) 567-89-01</v>
      </c>
      <c r="N629" t="str">
        <f t="shared" si="249"/>
        <v>sidorov@mail</v>
      </c>
      <c r="O629" t="str">
        <f t="shared" si="250"/>
        <v xml:space="preserve">Ошибка Email</v>
      </c>
      <c r="P629" t="str">
        <f>IFERROR(VLOOKUP(TRIM(SUBSTITUTE(SUBSTITUTE(" "&amp;F629," г "," "),"г.","")),Справочники!$J$3:$K$102,2,0),TRIM(SUBSTITUTE(SUBSTITUTE(" "&amp;F629," г "," "),"г.","")))</f>
        <v>Химки</v>
      </c>
    </row>
    <row r="630">
      <c r="A630" s="3" t="s">
        <v>3271</v>
      </c>
      <c r="B630" s="3" t="s">
        <v>6531</v>
      </c>
      <c r="C630" s="3" t="s">
        <v>6532</v>
      </c>
      <c r="D630" s="3" t="s">
        <v>1598</v>
      </c>
      <c r="E630" s="3" t="s">
        <v>6533</v>
      </c>
      <c r="F630" s="3" t="s">
        <v>4370</v>
      </c>
      <c r="G630" s="3" t="s">
        <v>6534</v>
      </c>
      <c r="H630" t="str">
        <f t="shared" si="245"/>
        <v xml:space="preserve">Бирюкова Ольга Сергеевна</v>
      </c>
      <c r="I630" s="5">
        <f>IFERROR(IF(ISNUMBER(FIND("-",C630)),DATE(VALUE(LEFT(C630,4)),VALUE(MID(C630,6,2)),VALUE(RIGHT(C630,2))),IF(ISNUMBER(FIND(".",C630)),DATE(VALUE(RIGHT(C630,4)),VALUE(MID(C630,4,2)),VALUE(LEFT(C630,2))),DATE(VALUE(RIGHT(C630,4)),VLOOKUP(TRIM(MID(C630,FIND(" ",C630)+1,LEN(C630)-FIND(" ",C630)-5)),Справочники!$M$3:$N$14,2,0),VALUE(LEFT(C630,FIND(" ",C630)-1))))),"")</f>
        <v>32950</v>
      </c>
      <c r="J630" s="6">
        <f t="shared" si="246"/>
        <v>36</v>
      </c>
      <c r="K630" t="str">
        <f t="shared" si="247"/>
        <v>ОК</v>
      </c>
      <c r="L630" s="5">
        <f>IFERROR(IF(ISNUMBER(FIND("-",G630)),DATE(VALUE(LEFT(G630,4)),VALUE(MID(G630,6,2)),VALUE(RIGHT(G630,2))),IF(ISNUMBER(FIND(".",G630)),DATE(VALUE(RIGHT(G630,4)),VALUE(MID(G630,4,2)),VALUE(LEFT(G630,2))),DATE(VALUE(RIGHT(G630,4)),VLOOKUP(TRIM(MID(G630,FIND(" ",G630)+1,LEN(G630)-FIND(" ",G630)-5)),Справочники!$M$3:$N$14,2,0),VALUE(LEFT(G630,FIND(" ",G630)-1))))),"")</f>
        <v>50931</v>
      </c>
      <c r="M630" t="str">
        <f t="shared" si="248"/>
        <v xml:space="preserve">+7 (903) 567-89-01</v>
      </c>
      <c r="N630" t="str">
        <f t="shared" si="249"/>
        <v>biryukova@yandex</v>
      </c>
      <c r="O630" t="str">
        <f t="shared" si="250"/>
        <v xml:space="preserve">Ошибка Email</v>
      </c>
      <c r="P630" t="str">
        <f>IFERROR(VLOOKUP(TRIM(SUBSTITUTE(SUBSTITUTE(" "&amp;F630," г "," "),"г.","")),Справочники!$J$3:$K$102,2,0),TRIM(SUBSTITUTE(SUBSTITUTE(" "&amp;F630," г "," "),"г.","")))</f>
        <v>Подольск</v>
      </c>
    </row>
    <row r="631">
      <c r="A631" s="3" t="s">
        <v>3273</v>
      </c>
      <c r="B631" s="3" t="s">
        <v>6535</v>
      </c>
      <c r="C631" s="3" t="s">
        <v>6536</v>
      </c>
      <c r="D631" s="3" t="s">
        <v>4116</v>
      </c>
      <c r="E631" s="3" t="s">
        <v>6537</v>
      </c>
      <c r="F631" s="3" t="s">
        <v>4375</v>
      </c>
      <c r="G631" s="3" t="s">
        <v>6538</v>
      </c>
      <c r="H631" t="str">
        <f t="shared" si="245"/>
        <v xml:space="preserve">Елисеев Илья Викторович</v>
      </c>
      <c r="I631" s="5">
        <f>IFERROR(IF(ISNUMBER(FIND("-",C631)),DATE(VALUE(LEFT(C631,4)),VALUE(MID(C631,6,2)),VALUE(RIGHT(C631,2))),IF(ISNUMBER(FIND(".",C631)),DATE(VALUE(RIGHT(C631,4)),VALUE(MID(C631,4,2)),VALUE(LEFT(C631,2))),DATE(VALUE(RIGHT(C631,4)),VLOOKUP(TRIM(MID(C631,FIND(" ",C631)+1,LEN(C631)-FIND(" ",C631)-5)),Справочники!$M$3:$N$14,2,0),VALUE(LEFT(C631,FIND(" ",C631)-1))))),"")</f>
        <v>28483</v>
      </c>
      <c r="J631" s="6">
        <f t="shared" si="246"/>
        <v>48</v>
      </c>
      <c r="K631" t="str">
        <f t="shared" si="247"/>
        <v>ОК</v>
      </c>
      <c r="L631" s="5">
        <f>IFERROR(IF(ISNUMBER(FIND("-",G631)),DATE(VALUE(LEFT(G631,4)),VALUE(MID(G631,6,2)),VALUE(RIGHT(G631,2))),IF(ISNUMBER(FIND(".",G631)),DATE(VALUE(RIGHT(G631,4)),VALUE(MID(G631,4,2)),VALUE(LEFT(G631,2))),DATE(VALUE(RIGHT(G631,4)),VLOOKUP(TRIM(MID(G631,FIND(" ",G631)+1,LEN(G631)-FIND(" ",G631)-5)),Справочники!$M$3:$N$14,2,0),VALUE(LEFT(G631,FIND(" ",G631)-1))))),"")</f>
        <v>50931</v>
      </c>
      <c r="M631" t="str">
        <f t="shared" si="248"/>
        <v xml:space="preserve">+7 (903) 678-90-12</v>
      </c>
      <c r="N631" t="str">
        <f t="shared" si="249"/>
        <v>eliseev@gmail</v>
      </c>
      <c r="O631" t="str">
        <f t="shared" si="250"/>
        <v xml:space="preserve">Ошибка Email</v>
      </c>
      <c r="P631" t="str">
        <f>IFERROR(VLOOKUP(TRIM(SUBSTITUTE(SUBSTITUTE(" "&amp;F631," г "," "),"г.","")),Справочники!$J$3:$K$102,2,0),TRIM(SUBSTITUTE(SUBSTITUTE(" "&amp;F631," г "," "),"г.","")))</f>
        <v>Балашиха</v>
      </c>
    </row>
    <row r="632">
      <c r="A632" s="3" t="s">
        <v>3275</v>
      </c>
      <c r="B632" s="3" t="s">
        <v>6539</v>
      </c>
      <c r="C632" s="3" t="s">
        <v>6540</v>
      </c>
      <c r="D632" s="3" t="s">
        <v>4122</v>
      </c>
      <c r="E632" s="3" t="s">
        <v>6541</v>
      </c>
      <c r="F632" s="3" t="s">
        <v>4380</v>
      </c>
      <c r="G632" s="3" t="s">
        <v>6542</v>
      </c>
      <c r="H632" t="str">
        <f t="shared" si="245"/>
        <v xml:space="preserve">Демидова Екатерина Алексеевна</v>
      </c>
      <c r="I632" s="5">
        <f>IFERROR(IF(ISNUMBER(FIND("-",C632)),DATE(VALUE(LEFT(C632,4)),VALUE(MID(C632,6,2)),VALUE(RIGHT(C632,2))),IF(ISNUMBER(FIND(".",C632)),DATE(VALUE(RIGHT(C632,4)),VALUE(MID(C632,4,2)),VALUE(LEFT(C632,2))),DATE(VALUE(RIGHT(C632,4)),VLOOKUP(TRIM(MID(C632,FIND(" ",C632)+1,LEN(C632)-FIND(" ",C632)-5)),Справочники!$M$3:$N$14,2,0),VALUE(LEFT(C632,FIND(" ",C632)-1))))),"")</f>
        <v>31706</v>
      </c>
      <c r="J632" s="6">
        <f t="shared" si="246"/>
        <v>40</v>
      </c>
      <c r="K632" t="str">
        <f t="shared" si="247"/>
        <v>ОК</v>
      </c>
      <c r="L632" s="5">
        <f>IFERROR(IF(ISNUMBER(FIND("-",G632)),DATE(VALUE(LEFT(G632,4)),VALUE(MID(G632,6,2)),VALUE(RIGHT(G632,2))),IF(ISNUMBER(FIND(".",G632)),DATE(VALUE(RIGHT(G632,4)),VALUE(MID(G632,4,2)),VALUE(LEFT(G632,2))),DATE(VALUE(RIGHT(G632,4)),VLOOKUP(TRIM(MID(G632,FIND(" ",G632)+1,LEN(G632)-FIND(" ",G632)-5)),Справочники!$M$3:$N$14,2,0),VALUE(LEFT(G632,FIND(" ",G632)-1))))),"")</f>
        <v>50952</v>
      </c>
      <c r="M632" t="str">
        <f t="shared" si="248"/>
        <v xml:space="preserve">+7 (903) 678-90-12</v>
      </c>
      <c r="N632" t="str">
        <f t="shared" si="249"/>
        <v>demidova@mail</v>
      </c>
      <c r="O632" t="str">
        <f t="shared" si="250"/>
        <v xml:space="preserve">Ошибка Email</v>
      </c>
      <c r="P632" t="str">
        <f>IFERROR(VLOOKUP(TRIM(SUBSTITUTE(SUBSTITUTE(" "&amp;F632," г "," "),"г.","")),Справочники!$J$3:$K$102,2,0),TRIM(SUBSTITUTE(SUBSTITUTE(" "&amp;F632," г "," "),"г.","")))</f>
        <v>Сургут</v>
      </c>
    </row>
    <row r="633">
      <c r="A633" s="3" t="s">
        <v>3277</v>
      </c>
      <c r="B633" s="3" t="s">
        <v>6543</v>
      </c>
      <c r="C633" s="3" t="s">
        <v>6544</v>
      </c>
      <c r="D633" s="3" t="s">
        <v>1605</v>
      </c>
      <c r="E633" s="3" t="s">
        <v>5356</v>
      </c>
      <c r="F633" s="3" t="s">
        <v>4385</v>
      </c>
      <c r="G633" s="3" t="s">
        <v>6545</v>
      </c>
      <c r="H633" t="str">
        <f t="shared" si="245"/>
        <v xml:space="preserve">Медведев Андрей Олегович</v>
      </c>
      <c r="I633" s="5">
        <f>IFERROR(IF(ISNUMBER(FIND("-",C633)),DATE(VALUE(LEFT(C633,4)),VALUE(MID(C633,6,2)),VALUE(RIGHT(C633,2))),IF(ISNUMBER(FIND(".",C633)),DATE(VALUE(RIGHT(C633,4)),VALUE(MID(C633,4,2)),VALUE(LEFT(C633,2))),DATE(VALUE(RIGHT(C633,4)),VLOOKUP(TRIM(MID(C633,FIND(" ",C633)+1,LEN(C633)-FIND(" ",C633)-5)),Справочники!$M$3:$N$14,2,0),VALUE(LEFT(C633,FIND(" ",C633)-1))))),"")</f>
        <v>30170</v>
      </c>
      <c r="J633" s="6">
        <f t="shared" si="246"/>
        <v>44</v>
      </c>
      <c r="K633" t="str">
        <f t="shared" si="247"/>
        <v>ОК</v>
      </c>
      <c r="L633" s="5">
        <f>IFERROR(IF(ISNUMBER(FIND("-",G633)),DATE(VALUE(LEFT(G633,4)),VALUE(MID(G633,6,2)),VALUE(RIGHT(G633,2))),IF(ISNUMBER(FIND(".",G633)),DATE(VALUE(RIGHT(G633,4)),VALUE(MID(G633,4,2)),VALUE(LEFT(G633,2))),DATE(VALUE(RIGHT(G633,4)),VLOOKUP(TRIM(MID(G633,FIND(" ",G633)+1,LEN(G633)-FIND(" ",G633)-5)),Справочники!$M$3:$N$14,2,0),VALUE(LEFT(G633,FIND(" ",G633)-1))))),"")</f>
        <v>50966</v>
      </c>
      <c r="M633" t="str">
        <f t="shared" si="248"/>
        <v xml:space="preserve">+7 (903) 678-90-12</v>
      </c>
      <c r="N633" t="str">
        <f t="shared" si="249"/>
        <v>medvedev@yandex</v>
      </c>
      <c r="O633" t="str">
        <f t="shared" si="250"/>
        <v xml:space="preserve">Ошибка Email</v>
      </c>
      <c r="P633" t="str">
        <f>IFERROR(VLOOKUP(TRIM(SUBSTITUTE(SUBSTITUTE(" "&amp;F633," г "," "),"г.","")),Справочники!$J$3:$K$102,2,0),TRIM(SUBSTITUTE(SUBSTITUTE(" "&amp;F633," г "," "),"г.","")))</f>
        <v>Армавир</v>
      </c>
    </row>
    <row r="634">
      <c r="A634" s="3" t="s">
        <v>3280</v>
      </c>
      <c r="B634" s="3" t="s">
        <v>6546</v>
      </c>
      <c r="C634" s="3" t="s">
        <v>6547</v>
      </c>
      <c r="D634" s="3" t="s">
        <v>4001</v>
      </c>
      <c r="E634" s="3" t="s">
        <v>6548</v>
      </c>
      <c r="F634" s="3" t="s">
        <v>4390</v>
      </c>
      <c r="G634" s="3" t="s">
        <v>6549</v>
      </c>
      <c r="H634" t="str">
        <f t="shared" si="245"/>
        <v xml:space="preserve">Покровская Мария Павловна</v>
      </c>
      <c r="I634" s="5">
        <f>IFERROR(IF(ISNUMBER(FIND("-",C634)),DATE(VALUE(LEFT(C634,4)),VALUE(MID(C634,6,2)),VALUE(RIGHT(C634,2))),IF(ISNUMBER(FIND(".",C634)),DATE(VALUE(RIGHT(C634,4)),VALUE(MID(C634,4,2)),VALUE(LEFT(C634,2))),DATE(VALUE(RIGHT(C634,4)),VLOOKUP(TRIM(MID(C634,FIND(" ",C634)+1,LEN(C634)-FIND(" ",C634)-5)),Справочники!$M$3:$N$14,2,0),VALUE(LEFT(C634,FIND(" ",C634)-1))))),"")</f>
        <v>26799</v>
      </c>
      <c r="J634" s="6">
        <f t="shared" si="246"/>
        <v>53</v>
      </c>
      <c r="K634" t="str">
        <f t="shared" si="247"/>
        <v>ОК</v>
      </c>
      <c r="L634" s="5">
        <f>IFERROR(IF(ISNUMBER(FIND("-",G634)),DATE(VALUE(LEFT(G634,4)),VALUE(MID(G634,6,2)),VALUE(RIGHT(G634,2))),IF(ISNUMBER(FIND(".",G634)),DATE(VALUE(RIGHT(G634,4)),VALUE(MID(G634,4,2)),VALUE(LEFT(G634,2))),DATE(VALUE(RIGHT(G634,4)),VLOOKUP(TRIM(MID(G634,FIND(" ",G634)+1,LEN(G634)-FIND(" ",G634)-5)),Справочники!$M$3:$N$14,2,0),VALUE(LEFT(G634,FIND(" ",G634)-1))))),"")</f>
        <v>50966</v>
      </c>
      <c r="M634" t="str">
        <f t="shared" si="248"/>
        <v xml:space="preserve">+7 (903) 789-01-23</v>
      </c>
      <c r="N634" t="str">
        <f t="shared" si="249"/>
        <v>pokrovskaya@gmail</v>
      </c>
      <c r="O634" t="str">
        <f t="shared" si="250"/>
        <v xml:space="preserve">Ошибка Email</v>
      </c>
      <c r="P634" t="str">
        <f>IFERROR(VLOOKUP(TRIM(SUBSTITUTE(SUBSTITUTE(" "&amp;F634," г "," "),"г.","")),Справочники!$J$3:$K$102,2,0),TRIM(SUBSTITUTE(SUBSTITUTE(" "&amp;F634," г "," "),"г.","")))</f>
        <v>Волжский</v>
      </c>
    </row>
    <row r="635">
      <c r="A635" s="3" t="s">
        <v>3281</v>
      </c>
      <c r="B635" s="3" t="s">
        <v>6550</v>
      </c>
      <c r="C635" s="3" t="s">
        <v>6551</v>
      </c>
      <c r="D635" s="3" t="s">
        <v>4138</v>
      </c>
      <c r="E635" s="3" t="s">
        <v>6552</v>
      </c>
      <c r="F635" s="3" t="s">
        <v>4395</v>
      </c>
      <c r="G635" s="3" t="s">
        <v>6553</v>
      </c>
      <c r="H635" t="str">
        <f t="shared" si="245"/>
        <v xml:space="preserve">Коршунов Денис Сергеевич</v>
      </c>
      <c r="I635" s="5">
        <f>IFERROR(IF(ISNUMBER(FIND("-",C635)),DATE(VALUE(LEFT(C635,4)),VALUE(MID(C635,6,2)),VALUE(RIGHT(C635,2))),IF(ISNUMBER(FIND(".",C635)),DATE(VALUE(RIGHT(C635,4)),VALUE(MID(C635,4,2)),VALUE(LEFT(C635,2))),DATE(VALUE(RIGHT(C635,4)),VLOOKUP(TRIM(MID(C635,FIND(" ",C635)+1,LEN(C635)-FIND(" ",C635)-5)),Справочники!$M$3:$N$14,2,0),VALUE(LEFT(C635,FIND(" ",C635)-1))))),"")</f>
        <v>32450</v>
      </c>
      <c r="J635" s="6">
        <f t="shared" si="246"/>
        <v>37</v>
      </c>
      <c r="K635" t="str">
        <f t="shared" si="247"/>
        <v>ОК</v>
      </c>
      <c r="L635" s="5">
        <f>IFERROR(IF(ISNUMBER(FIND("-",G635)),DATE(VALUE(LEFT(G635,4)),VALUE(MID(G635,6,2)),VALUE(RIGHT(G635,2))),IF(ISNUMBER(FIND(".",G635)),DATE(VALUE(RIGHT(G635,4)),VALUE(MID(G635,4,2)),VALUE(LEFT(G635,2))),DATE(VALUE(RIGHT(G635,4)),VLOOKUP(TRIM(MID(G635,FIND(" ",G635)+1,LEN(G635)-FIND(" ",G635)-5)),Справочники!$M$3:$N$14,2,0),VALUE(LEFT(G635,FIND(" ",G635)-1))))),"")</f>
        <v>50983</v>
      </c>
      <c r="M635" t="str">
        <f t="shared" si="248"/>
        <v xml:space="preserve">+7 (903) 789-01-23</v>
      </c>
      <c r="N635" t="str">
        <f t="shared" si="249"/>
        <v>korshunov@mail</v>
      </c>
      <c r="O635" t="str">
        <f t="shared" si="250"/>
        <v xml:space="preserve">Ошибка Email</v>
      </c>
      <c r="P635" t="str">
        <f>IFERROR(VLOOKUP(TRIM(SUBSTITUTE(SUBSTITUTE(" "&amp;F635," г "," "),"г.","")),Справочники!$J$3:$K$102,2,0),TRIM(SUBSTITUTE(SUBSTITUTE(" "&amp;F635," г "," "),"г.","")))</f>
        <v>Шахты</v>
      </c>
    </row>
    <row r="636">
      <c r="A636" s="3" t="s">
        <v>3283</v>
      </c>
      <c r="B636" s="3" t="s">
        <v>6554</v>
      </c>
      <c r="C636" s="3" t="s">
        <v>6555</v>
      </c>
      <c r="D636" s="3" t="s">
        <v>4144</v>
      </c>
      <c r="E636" s="3" t="s">
        <v>6556</v>
      </c>
      <c r="F636" s="3" t="s">
        <v>4400</v>
      </c>
      <c r="G636" s="3" t="s">
        <v>6557</v>
      </c>
      <c r="H636" t="str">
        <f t="shared" si="245"/>
        <v xml:space="preserve">Алексеева Ольга Владимировна</v>
      </c>
      <c r="I636" s="5">
        <f>IFERROR(IF(ISNUMBER(FIND("-",C636)),DATE(VALUE(LEFT(C636,4)),VALUE(MID(C636,6,2)),VALUE(RIGHT(C636,2))),IF(ISNUMBER(FIND(".",C636)),DATE(VALUE(RIGHT(C636,4)),VALUE(MID(C636,4,2)),VALUE(LEFT(C636,2))),DATE(VALUE(RIGHT(C636,4)),VLOOKUP(TRIM(MID(C636,FIND(" ",C636)+1,LEN(C636)-FIND(" ",C636)-5)),Справочники!$M$3:$N$14,2,0),VALUE(LEFT(C636,FIND(" ",C636)-1))))),"")</f>
        <v>31312</v>
      </c>
      <c r="J636" s="6">
        <f t="shared" si="246"/>
        <v>41</v>
      </c>
      <c r="K636" t="str">
        <f t="shared" si="247"/>
        <v>ОК</v>
      </c>
      <c r="L636" s="5">
        <f>IFERROR(IF(ISNUMBER(FIND("-",G636)),DATE(VALUE(LEFT(G636,4)),VALUE(MID(G636,6,2)),VALUE(RIGHT(G636,2))),IF(ISNUMBER(FIND(".",G636)),DATE(VALUE(RIGHT(G636,4)),VALUE(MID(G636,4,2)),VALUE(LEFT(G636,2))),DATE(VALUE(RIGHT(G636,4)),VLOOKUP(TRIM(MID(G636,FIND(" ",G636)+1,LEN(G636)-FIND(" ",G636)-5)),Справочники!$M$3:$N$14,2,0),VALUE(LEFT(G636,FIND(" ",G636)-1))))),"")</f>
        <v>50992</v>
      </c>
      <c r="M636" t="str">
        <f t="shared" si="248"/>
        <v xml:space="preserve">+7 (903) 789-01-23</v>
      </c>
      <c r="N636" t="str">
        <f t="shared" si="249"/>
        <v>alekseeva@yandex</v>
      </c>
      <c r="O636" t="str">
        <f t="shared" si="250"/>
        <v xml:space="preserve">Ошибка Email</v>
      </c>
      <c r="P636" t="str">
        <f>IFERROR(VLOOKUP(TRIM(SUBSTITUTE(SUBSTITUTE(" "&amp;F636," г "," "),"г.","")),Справочники!$J$3:$K$102,2,0),TRIM(SUBSTITUTE(SUBSTITUTE(" "&amp;F636," г "," "),"г.","")))</f>
        <v>Златоуст</v>
      </c>
    </row>
    <row r="637">
      <c r="A637" s="3" t="s">
        <v>3284</v>
      </c>
      <c r="B637" s="3" t="s">
        <v>6558</v>
      </c>
      <c r="C637" s="3" t="s">
        <v>6559</v>
      </c>
      <c r="D637" s="3" t="s">
        <v>4150</v>
      </c>
      <c r="E637" s="3" t="s">
        <v>6560</v>
      </c>
      <c r="F637" s="3" t="s">
        <v>4405</v>
      </c>
      <c r="G637" s="3" t="s">
        <v>6561</v>
      </c>
      <c r="H637" t="str">
        <f t="shared" si="245"/>
        <v xml:space="preserve">Баринов Илья Александрович</v>
      </c>
      <c r="I637" s="5">
        <f>IFERROR(IF(ISNUMBER(FIND("-",C637)),DATE(VALUE(LEFT(C637,4)),VALUE(MID(C637,6,2)),VALUE(RIGHT(C637,2))),IF(ISNUMBER(FIND(".",C637)),DATE(VALUE(RIGHT(C637,4)),VALUE(MID(C637,4,2)),VALUE(LEFT(C637,2))),DATE(VALUE(RIGHT(C637,4)),VLOOKUP(TRIM(MID(C637,FIND(" ",C637)+1,LEN(C637)-FIND(" ",C637)-5)),Справочники!$M$3:$N$14,2,0),VALUE(LEFT(C637,FIND(" ",C637)-1))))),"")</f>
        <v>28535</v>
      </c>
      <c r="J637" s="6">
        <f t="shared" si="246"/>
        <v>48</v>
      </c>
      <c r="K637" t="str">
        <f t="shared" si="247"/>
        <v>ОК</v>
      </c>
      <c r="L637" s="5">
        <f>IFERROR(IF(ISNUMBER(FIND("-",G637)),DATE(VALUE(LEFT(G637,4)),VALUE(MID(G637,6,2)),VALUE(RIGHT(G637,2))),IF(ISNUMBER(FIND(".",G637)),DATE(VALUE(RIGHT(G637,4)),VALUE(MID(G637,4,2)),VALUE(LEFT(G637,2))),DATE(VALUE(RIGHT(G637,4)),VLOOKUP(TRIM(MID(G637,FIND(" ",G637)+1,LEN(G637)-FIND(" ",G637)-5)),Справочники!$M$3:$N$14,2,0),VALUE(LEFT(G637,FIND(" ",G637)-1))))),"")</f>
        <v>50992</v>
      </c>
      <c r="M637" t="str">
        <f t="shared" si="248"/>
        <v xml:space="preserve">+7 (903) 890-12-34</v>
      </c>
      <c r="N637" t="str">
        <f t="shared" si="249"/>
        <v>barinov@gmail</v>
      </c>
      <c r="O637" t="str">
        <f t="shared" si="250"/>
        <v xml:space="preserve">Ошибка Email</v>
      </c>
      <c r="P637" t="str">
        <f>IFERROR(VLOOKUP(TRIM(SUBSTITUTE(SUBSTITUTE(" "&amp;F637," г "," "),"г.","")),Справочники!$J$3:$K$102,2,0),TRIM(SUBSTITUTE(SUBSTITUTE(" "&amp;F637," г "," "),"г.","")))</f>
        <v>Ангарск</v>
      </c>
    </row>
    <row r="638">
      <c r="A638" s="3" t="s">
        <v>3287</v>
      </c>
      <c r="B638" s="3" t="s">
        <v>6562</v>
      </c>
      <c r="C638" s="3" t="s">
        <v>6563</v>
      </c>
      <c r="D638" s="3" t="s">
        <v>4007</v>
      </c>
      <c r="E638" s="3" t="s">
        <v>6564</v>
      </c>
      <c r="F638" s="3" t="s">
        <v>4410</v>
      </c>
      <c r="G638" s="3" t="s">
        <v>6565</v>
      </c>
      <c r="H638" t="str">
        <f t="shared" si="245"/>
        <v xml:space="preserve">Савельева Екатерина Сергеевна</v>
      </c>
      <c r="I638" s="5">
        <f>IFERROR(IF(ISNUMBER(FIND("-",C638)),DATE(VALUE(LEFT(C638,4)),VALUE(MID(C638,6,2)),VALUE(RIGHT(C638,2))),IF(ISNUMBER(FIND(".",C638)),DATE(VALUE(RIGHT(C638,4)),VALUE(MID(C638,4,2)),VALUE(LEFT(C638,2))),DATE(VALUE(RIGHT(C638,4)),VLOOKUP(TRIM(MID(C638,FIND(" ",C638)+1,LEN(C638)-FIND(" ",C638)-5)),Справочники!$M$3:$N$14,2,0),VALUE(LEFT(C638,FIND(" ",C638)-1))))),"")</f>
        <v>33428</v>
      </c>
      <c r="J638" s="6">
        <f t="shared" si="246"/>
        <v>35</v>
      </c>
      <c r="K638" t="str">
        <f t="shared" si="247"/>
        <v>ОК</v>
      </c>
      <c r="L638" s="5">
        <f>IFERROR(IF(ISNUMBER(FIND("-",G638)),DATE(VALUE(LEFT(G638,4)),VALUE(MID(G638,6,2)),VALUE(RIGHT(G638,2))),IF(ISNUMBER(FIND(".",G638)),DATE(VALUE(RIGHT(G638,4)),VALUE(MID(G638,4,2)),VALUE(LEFT(G638,2))),DATE(VALUE(RIGHT(G638,4)),VLOOKUP(TRIM(MID(G638,FIND(" ",G638)+1,LEN(G638)-FIND(" ",G638)-5)),Справочники!$M$3:$N$14,2,0),VALUE(LEFT(G638,FIND(" ",G638)-1))))),"")</f>
        <v>51014</v>
      </c>
      <c r="M638" t="str">
        <f t="shared" si="248"/>
        <v xml:space="preserve">+7 (903) 890-12-34</v>
      </c>
      <c r="N638" t="str">
        <f t="shared" si="249"/>
        <v>saveleva@mail</v>
      </c>
      <c r="O638" t="str">
        <f t="shared" si="250"/>
        <v xml:space="preserve">Ошибка Email</v>
      </c>
      <c r="P638" t="str">
        <f>IFERROR(VLOOKUP(TRIM(SUBSTITUTE(SUBSTITUTE(" "&amp;F638," г "," "),"г.","")),Справочники!$J$3:$K$102,2,0),TRIM(SUBSTITUTE(SUBSTITUTE(" "&amp;F638," г "," "),"г.","")))</f>
        <v>Озёрск</v>
      </c>
    </row>
    <row r="639">
      <c r="A639" s="3" t="s">
        <v>3288</v>
      </c>
      <c r="B639" s="3" t="s">
        <v>6566</v>
      </c>
      <c r="C639" s="3" t="s">
        <v>6567</v>
      </c>
      <c r="D639" s="3" t="s">
        <v>1619</v>
      </c>
      <c r="E639" s="3" t="s">
        <v>4239</v>
      </c>
      <c r="F639" s="3" t="s">
        <v>4415</v>
      </c>
      <c r="G639" s="3" t="s">
        <v>6568</v>
      </c>
      <c r="H639" t="str">
        <f t="shared" si="245"/>
        <v xml:space="preserve">Богданов Андрей Павлович</v>
      </c>
      <c r="I639" s="5">
        <f>IFERROR(IF(ISNUMBER(FIND("-",C639)),DATE(VALUE(LEFT(C639,4)),VALUE(MID(C639,6,2)),VALUE(RIGHT(C639,2))),IF(ISNUMBER(FIND(".",C639)),DATE(VALUE(RIGHT(C639,4)),VALUE(MID(C639,4,2)),VALUE(LEFT(C639,2))),DATE(VALUE(RIGHT(C639,4)),VLOOKUP(TRIM(MID(C639,FIND(" ",C639)+1,LEN(C639)-FIND(" ",C639)-5)),Справочники!$M$3:$N$14,2,0),VALUE(LEFT(C639,FIND(" ",C639)-1))))),"")</f>
        <v>29249</v>
      </c>
      <c r="J639" s="6">
        <f t="shared" si="246"/>
        <v>46</v>
      </c>
      <c r="K639" t="str">
        <f t="shared" si="247"/>
        <v>ОК</v>
      </c>
      <c r="L639" s="5">
        <f>IFERROR(IF(ISNUMBER(FIND("-",G639)),DATE(VALUE(LEFT(G639,4)),VALUE(MID(G639,6,2)),VALUE(RIGHT(G639,2))),IF(ISNUMBER(FIND(".",G639)),DATE(VALUE(RIGHT(G639,4)),VALUE(MID(G639,4,2)),VALUE(LEFT(G639,2))),DATE(VALUE(RIGHT(G639,4)),VLOOKUP(TRIM(MID(G639,FIND(" ",G639)+1,LEN(G639)-FIND(" ",G639)-5)),Справочники!$M$3:$N$14,2,0),VALUE(LEFT(G639,FIND(" ",G639)-1))))),"")</f>
        <v>51028</v>
      </c>
      <c r="M639" t="str">
        <f t="shared" si="248"/>
        <v xml:space="preserve">+7 (903) 890-12-34</v>
      </c>
      <c r="N639" t="str">
        <f t="shared" si="249"/>
        <v>bogdanov@yandex</v>
      </c>
      <c r="O639" t="str">
        <f t="shared" si="250"/>
        <v xml:space="preserve">Ошибка Email</v>
      </c>
      <c r="P639" t="str">
        <f>IFERROR(VLOOKUP(TRIM(SUBSTITUTE(SUBSTITUTE(" "&amp;F639," г "," "),"г.","")),Справочники!$J$3:$K$102,2,0),TRIM(SUBSTITUTE(SUBSTITUTE(" "&amp;F639," г "," "),"г.","")))</f>
        <v>Орел</v>
      </c>
    </row>
    <row r="640">
      <c r="A640" s="3" t="s">
        <v>3290</v>
      </c>
      <c r="B640" s="3" t="s">
        <v>6569</v>
      </c>
      <c r="C640" s="3" t="s">
        <v>6570</v>
      </c>
      <c r="D640" s="3" t="s">
        <v>4018</v>
      </c>
      <c r="E640" s="3" t="s">
        <v>4876</v>
      </c>
      <c r="F640" s="3" t="s">
        <v>4184</v>
      </c>
      <c r="G640" s="3" t="s">
        <v>6571</v>
      </c>
      <c r="H640" t="str">
        <f t="shared" si="245"/>
        <v xml:space="preserve">Петрова Мария Олеговна</v>
      </c>
      <c r="I640" s="5">
        <f>IFERROR(IF(ISNUMBER(FIND("-",C640)),DATE(VALUE(LEFT(C640,4)),VALUE(MID(C640,6,2)),VALUE(RIGHT(C640,2))),IF(ISNUMBER(FIND(".",C640)),DATE(VALUE(RIGHT(C640,4)),VALUE(MID(C640,4,2)),VALUE(LEFT(C640,2))),DATE(VALUE(RIGHT(C640,4)),VLOOKUP(TRIM(MID(C640,FIND(" ",C640)+1,LEN(C640)-FIND(" ",C640)-5)),Справочники!$M$3:$N$14,2,0),VALUE(LEFT(C640,FIND(" ",C640)-1))))),"")</f>
        <v>27381</v>
      </c>
      <c r="J640" s="6">
        <f t="shared" si="246"/>
        <v>51</v>
      </c>
      <c r="K640" t="str">
        <f t="shared" si="247"/>
        <v>ОК</v>
      </c>
      <c r="L640" s="5">
        <f>IFERROR(IF(ISNUMBER(FIND("-",G640)),DATE(VALUE(LEFT(G640,4)),VALUE(MID(G640,6,2)),VALUE(RIGHT(G640,2))),IF(ISNUMBER(FIND(".",G640)),DATE(VALUE(RIGHT(G640,4)),VALUE(MID(G640,4,2)),VALUE(LEFT(G640,2))),DATE(VALUE(RIGHT(G640,4)),VLOOKUP(TRIM(MID(G640,FIND(" ",G640)+1,LEN(G640)-FIND(" ",G640)-5)),Справочники!$M$3:$N$14,2,0),VALUE(LEFT(G640,FIND(" ",G640)-1))))),"")</f>
        <v>51028</v>
      </c>
      <c r="M640" t="str">
        <f t="shared" si="248"/>
        <v xml:space="preserve">+7 (903) 901-23-45</v>
      </c>
      <c r="N640" t="str">
        <f t="shared" si="249"/>
        <v>petrova@gmail</v>
      </c>
      <c r="O640" t="str">
        <f t="shared" si="250"/>
        <v xml:space="preserve">Ошибка Email</v>
      </c>
      <c r="P640" t="str">
        <f>IFERROR(VLOOKUP(TRIM(SUBSTITUTE(SUBSTITUTE(" "&amp;F640," г "," "),"г.","")),Справочники!$J$3:$K$102,2,0),TRIM(SUBSTITUTE(SUBSTITUTE(" "&amp;F640," г "," "),"г.","")))</f>
        <v>Магнитогорск</v>
      </c>
    </row>
    <row r="641">
      <c r="A641" s="3" t="s">
        <v>3292</v>
      </c>
      <c r="B641" s="3" t="s">
        <v>6572</v>
      </c>
      <c r="C641" s="3" t="s">
        <v>6573</v>
      </c>
      <c r="D641" s="3" t="s">
        <v>1626</v>
      </c>
      <c r="E641" s="3" t="s">
        <v>6574</v>
      </c>
      <c r="F641" s="3" t="s">
        <v>4205</v>
      </c>
      <c r="G641" s="3" t="s">
        <v>6575</v>
      </c>
      <c r="H641" t="str">
        <f t="shared" si="245"/>
        <v xml:space="preserve">Лукоянов Денис Викторович</v>
      </c>
      <c r="I641" s="5">
        <f>IFERROR(IF(ISNUMBER(FIND("-",C641)),DATE(VALUE(LEFT(C641,4)),VALUE(MID(C641,6,2)),VALUE(RIGHT(C641,2))),IF(ISNUMBER(FIND(".",C641)),DATE(VALUE(RIGHT(C641,4)),VALUE(MID(C641,4,2)),VALUE(LEFT(C641,2))),DATE(VALUE(RIGHT(C641,4)),VLOOKUP(TRIM(MID(C641,FIND(" ",C641)+1,LEN(C641)-FIND(" ",C641)-5)),Справочники!$M$3:$N$14,2,0),VALUE(LEFT(C641,FIND(" ",C641)-1))))),"")</f>
        <v>30470</v>
      </c>
      <c r="J641" s="6">
        <f t="shared" si="246"/>
        <v>43</v>
      </c>
      <c r="K641" t="str">
        <f t="shared" si="247"/>
        <v>ОК</v>
      </c>
      <c r="L641" s="5">
        <f>IFERROR(IF(ISNUMBER(FIND("-",G641)),DATE(VALUE(LEFT(G641,4)),VALUE(MID(G641,6,2)),VALUE(RIGHT(G641,2))),IF(ISNUMBER(FIND(".",G641)),DATE(VALUE(RIGHT(G641,4)),VALUE(MID(G641,4,2)),VALUE(LEFT(G641,2))),DATE(VALUE(RIGHT(G641,4)),VLOOKUP(TRIM(MID(G641,FIND(" ",G641)+1,LEN(G641)-FIND(" ",G641)-5)),Справочники!$M$3:$N$14,2,0),VALUE(LEFT(G641,FIND(" ",G641)-1))))),"")</f>
        <v>51044</v>
      </c>
      <c r="M641" t="str">
        <f t="shared" si="248"/>
        <v xml:space="preserve">+7 (903) 901-23-45</v>
      </c>
      <c r="N641" t="str">
        <f t="shared" si="249"/>
        <v>lukoyanov@mail</v>
      </c>
      <c r="O641" t="str">
        <f t="shared" si="250"/>
        <v xml:space="preserve">Ошибка Email</v>
      </c>
      <c r="P641" t="str">
        <f>IFERROR(VLOOKUP(TRIM(SUBSTITUTE(SUBSTITUTE(" "&amp;F641," г "," "),"г.","")),Справочники!$J$3:$K$102,2,0),TRIM(SUBSTITUTE(SUBSTITUTE(" "&amp;F641," г "," "),"г.","")))</f>
        <v>Якутск</v>
      </c>
    </row>
    <row r="642">
      <c r="A642" s="3" t="s">
        <v>3294</v>
      </c>
      <c r="B642" s="3" t="s">
        <v>6576</v>
      </c>
      <c r="C642" s="3" t="s">
        <v>6577</v>
      </c>
      <c r="D642" s="3" t="s">
        <v>4176</v>
      </c>
      <c r="E642" s="3" t="s">
        <v>6578</v>
      </c>
      <c r="F642" s="3" t="s">
        <v>4152</v>
      </c>
      <c r="G642" s="3" t="s">
        <v>6579</v>
      </c>
      <c r="H642" t="str">
        <f t="shared" si="245"/>
        <v xml:space="preserve">Толмачева Ольга Павловна</v>
      </c>
      <c r="I642" s="5">
        <f>IFERROR(IF(ISNUMBER(FIND("-",C642)),DATE(VALUE(LEFT(C642,4)),VALUE(MID(C642,6,2)),VALUE(RIGHT(C642,2))),IF(ISNUMBER(FIND(".",C642)),DATE(VALUE(RIGHT(C642,4)),VALUE(MID(C642,4,2)),VALUE(LEFT(C642,2))),DATE(VALUE(RIGHT(C642,4)),VLOOKUP(TRIM(MID(C642,FIND(" ",C642)+1,LEN(C642)-FIND(" ",C642)-5)),Справочники!$M$3:$N$14,2,0),VALUE(LEFT(C642,FIND(" ",C642)-1))))),"")</f>
        <v>32806</v>
      </c>
      <c r="J642" s="6">
        <f t="shared" si="246"/>
        <v>36</v>
      </c>
      <c r="K642" t="str">
        <f t="shared" si="247"/>
        <v>ОК</v>
      </c>
      <c r="L642" s="5">
        <f>IFERROR(IF(ISNUMBER(FIND("-",G642)),DATE(VALUE(LEFT(G642,4)),VALUE(MID(G642,6,2)),VALUE(RIGHT(G642,2))),IF(ISNUMBER(FIND(".",G642)),DATE(VALUE(RIGHT(G642,4)),VALUE(MID(G642,4,2)),VALUE(LEFT(G642,2))),DATE(VALUE(RIGHT(G642,4)),VLOOKUP(TRIM(MID(G642,FIND(" ",G642)+1,LEN(G642)-FIND(" ",G642)-5)),Справочники!$M$3:$N$14,2,0),VALUE(LEFT(G642,FIND(" ",G642)-1))))),"")</f>
        <v>51053</v>
      </c>
      <c r="M642" t="str">
        <f t="shared" si="248"/>
        <v xml:space="preserve">+7 (903) 901-23-45</v>
      </c>
      <c r="N642" t="str">
        <f t="shared" si="249"/>
        <v>tolmacheva@yandex</v>
      </c>
      <c r="O642" t="str">
        <f t="shared" si="250"/>
        <v xml:space="preserve">Ошибка Email</v>
      </c>
      <c r="P642" t="str">
        <f>IFERROR(VLOOKUP(TRIM(SUBSTITUTE(SUBSTITUTE(" "&amp;F642," г "," "),"г.","")),Справочники!$J$3:$K$102,2,0),TRIM(SUBSTITUTE(SUBSTITUTE(" "&amp;F642," г "," "),"г.","")))</f>
        <v>Чебоксары</v>
      </c>
    </row>
    <row r="643">
      <c r="A643" s="3" t="s">
        <v>3296</v>
      </c>
      <c r="B643" s="3" t="s">
        <v>6580</v>
      </c>
      <c r="C643" s="3" t="s">
        <v>6581</v>
      </c>
      <c r="D643" s="3" t="s">
        <v>4182</v>
      </c>
      <c r="E643" s="3" t="s">
        <v>6582</v>
      </c>
      <c r="F643" s="3" t="s">
        <v>4245</v>
      </c>
      <c r="G643" s="3" t="s">
        <v>6583</v>
      </c>
      <c r="H643" t="str">
        <f t="shared" si="245"/>
        <v xml:space="preserve">Зайцев Илья Алексеевич</v>
      </c>
      <c r="I643" s="5">
        <f>IFERROR(IF(ISNUMBER(FIND("-",C643)),DATE(VALUE(LEFT(C643,4)),VALUE(MID(C643,6,2)),VALUE(RIGHT(C643,2))),IF(ISNUMBER(FIND(".",C643)),DATE(VALUE(RIGHT(C643,4)),VALUE(MID(C643,4,2)),VALUE(LEFT(C643,2))),DATE(VALUE(RIGHT(C643,4)),VLOOKUP(TRIM(MID(C643,FIND(" ",C643)+1,LEN(C643)-FIND(" ",C643)-5)),Справочники!$M$3:$N$14,2,0),VALUE(LEFT(C643,FIND(" ",C643)-1))))),"")</f>
        <v>27988</v>
      </c>
      <c r="J643" s="6">
        <f t="shared" si="246"/>
        <v>50</v>
      </c>
      <c r="K643" t="str">
        <f t="shared" si="247"/>
        <v>ОК</v>
      </c>
      <c r="L643" s="5">
        <f>IFERROR(IF(ISNUMBER(FIND("-",G643)),DATE(VALUE(LEFT(G643,4)),VALUE(MID(G643,6,2)),VALUE(RIGHT(G643,2))),IF(ISNUMBER(FIND(".",G643)),DATE(VALUE(RIGHT(G643,4)),VALUE(MID(G643,4,2)),VALUE(LEFT(G643,2))),DATE(VALUE(RIGHT(G643,4)),VLOOKUP(TRIM(MID(G643,FIND(" ",G643)+1,LEN(G643)-FIND(" ",G643)-5)),Справочники!$M$3:$N$14,2,0),VALUE(LEFT(G643,FIND(" ",G643)-1))))),"")</f>
        <v>51053</v>
      </c>
      <c r="M643" t="str">
        <f t="shared" si="248"/>
        <v xml:space="preserve">+7 (903) 012-34-56</v>
      </c>
      <c r="N643" t="str">
        <f t="shared" si="249"/>
        <v>zaytsev@gmail</v>
      </c>
      <c r="O643" t="str">
        <f t="shared" si="250"/>
        <v xml:space="preserve">Ошибка Email</v>
      </c>
      <c r="P643" t="str">
        <f>IFERROR(VLOOKUP(TRIM(SUBSTITUTE(SUBSTITUTE(" "&amp;F643," г "," "),"г.","")),Справочники!$J$3:$K$102,2,0),TRIM(SUBSTITUTE(SUBSTITUTE(" "&amp;F643," г "," "),"г.","")))</f>
        <v>Мурманск</v>
      </c>
    </row>
    <row r="644">
      <c r="A644" s="3" t="s">
        <v>3299</v>
      </c>
      <c r="B644" s="3" t="s">
        <v>6584</v>
      </c>
      <c r="C644" s="3" t="s">
        <v>6585</v>
      </c>
      <c r="D644" s="3" t="s">
        <v>4188</v>
      </c>
      <c r="E644" s="3" t="s">
        <v>6586</v>
      </c>
      <c r="F644" s="3" t="s">
        <v>4235</v>
      </c>
      <c r="G644" s="3" t="s">
        <v>6587</v>
      </c>
      <c r="H644" t="str">
        <f t="shared" si="245"/>
        <v xml:space="preserve">Сидорова Екатерина Сергеевна</v>
      </c>
      <c r="I644" s="5">
        <f>IFERROR(IF(ISNUMBER(FIND("-",C644)),DATE(VALUE(LEFT(C644,4)),VALUE(MID(C644,6,2)),VALUE(RIGHT(C644,2))),IF(ISNUMBER(FIND(".",C644)),DATE(VALUE(RIGHT(C644,4)),VALUE(MID(C644,4,2)),VALUE(LEFT(C644,2))),DATE(VALUE(RIGHT(C644,4)),VLOOKUP(TRIM(MID(C644,FIND(" ",C644)+1,LEN(C644)-FIND(" ",C644)-5)),Справочники!$M$3:$N$14,2,0),VALUE(LEFT(C644,FIND(" ",C644)-1))))),"")</f>
        <v>31544</v>
      </c>
      <c r="J644" s="6">
        <f t="shared" si="246"/>
        <v>40</v>
      </c>
      <c r="K644" t="str">
        <f t="shared" si="247"/>
        <v>ОК</v>
      </c>
      <c r="L644" s="5">
        <f>IFERROR(IF(ISNUMBER(FIND("-",G644)),DATE(VALUE(LEFT(G644,4)),VALUE(MID(G644,6,2)),VALUE(RIGHT(G644,2))),IF(ISNUMBER(FIND(".",G644)),DATE(VALUE(RIGHT(G644,4)),VALUE(MID(G644,4,2)),VALUE(LEFT(G644,2))),DATE(VALUE(RIGHT(G644,4)),VLOOKUP(TRIM(MID(G644,FIND(" ",G644)+1,LEN(G644)-FIND(" ",G644)-5)),Справочники!$M$3:$N$14,2,0),VALUE(LEFT(G644,FIND(" ",G644)-1))))),"")</f>
        <v>51075</v>
      </c>
      <c r="M644" t="str">
        <f t="shared" si="248"/>
        <v xml:space="preserve">+7 (903) 012-34-56</v>
      </c>
      <c r="N644" t="str">
        <f t="shared" si="249"/>
        <v>sidorova@mail</v>
      </c>
      <c r="O644" t="str">
        <f t="shared" si="250"/>
        <v xml:space="preserve">Ошибка Email</v>
      </c>
      <c r="P644" t="str">
        <f>IFERROR(VLOOKUP(TRIM(SUBSTITUTE(SUBSTITUTE(" "&amp;F644," г "," "),"г.","")),Справочники!$J$3:$K$102,2,0),TRIM(SUBSTITUTE(SUBSTITUTE(" "&amp;F644," г "," "),"г.","")))</f>
        <v>Смоленск</v>
      </c>
    </row>
    <row r="645">
      <c r="A645" s="3" t="s">
        <v>3300</v>
      </c>
      <c r="B645" s="3" t="s">
        <v>6588</v>
      </c>
      <c r="C645" s="3" t="s">
        <v>6589</v>
      </c>
      <c r="D645" s="3" t="s">
        <v>1633</v>
      </c>
      <c r="E645" s="3" t="s">
        <v>6590</v>
      </c>
      <c r="F645" s="3" t="s">
        <v>4220</v>
      </c>
      <c r="G645" s="3" t="s">
        <v>6591</v>
      </c>
      <c r="H645" t="str">
        <f t="shared" si="245"/>
        <v xml:space="preserve">Соловьев Андрей Олегович</v>
      </c>
      <c r="I645" s="5">
        <f>IFERROR(IF(ISNUMBER(FIND("-",C645)),DATE(VALUE(LEFT(C645,4)),VALUE(MID(C645,6,2)),VALUE(RIGHT(C645,2))),IF(ISNUMBER(FIND(".",C645)),DATE(VALUE(RIGHT(C645,4)),VALUE(MID(C645,4,2)),VALUE(LEFT(C645,2))),DATE(VALUE(RIGHT(C645,4)),VLOOKUP(TRIM(MID(C645,FIND(" ",C645)+1,LEN(C645)-FIND(" ",C645)-5)),Справочники!$M$3:$N$14,2,0),VALUE(LEFT(C645,FIND(" ",C645)-1))))),"")</f>
        <v>29637</v>
      </c>
      <c r="J645" s="6">
        <f t="shared" si="246"/>
        <v>45</v>
      </c>
      <c r="K645" t="str">
        <f t="shared" si="247"/>
        <v>ОК</v>
      </c>
      <c r="L645" s="5">
        <f>IFERROR(IF(ISNUMBER(FIND("-",G645)),DATE(VALUE(LEFT(G645,4)),VALUE(MID(G645,6,2)),VALUE(RIGHT(G645,2))),IF(ISNUMBER(FIND(".",G645)),DATE(VALUE(RIGHT(G645,4)),VALUE(MID(G645,4,2)),VALUE(LEFT(G645,2))),DATE(VALUE(RIGHT(G645,4)),VLOOKUP(TRIM(MID(G645,FIND(" ",G645)+1,LEN(G645)-FIND(" ",G645)-5)),Справочники!$M$3:$N$14,2,0),VALUE(LEFT(G645,FIND(" ",G645)-1))))),"")</f>
        <v>51089</v>
      </c>
      <c r="M645" t="str">
        <f t="shared" si="248"/>
        <v xml:space="preserve">+7 (903) 012-34-56</v>
      </c>
      <c r="N645" t="str">
        <f t="shared" si="249"/>
        <v>soloviev@yandex</v>
      </c>
      <c r="O645" t="str">
        <f t="shared" si="250"/>
        <v xml:space="preserve">Ошибка Email</v>
      </c>
      <c r="P645" t="str">
        <f>IFERROR(VLOOKUP(TRIM(SUBSTITUTE(SUBSTITUTE(" "&amp;F645," г "," "),"г.","")),Справочники!$J$3:$K$102,2,0),TRIM(SUBSTITUTE(SUBSTITUTE(" "&amp;F645," г "," "),"г.","")))</f>
        <v>Тула</v>
      </c>
    </row>
    <row r="646">
      <c r="A646" s="3" t="s">
        <v>3303</v>
      </c>
      <c r="B646" s="3" t="s">
        <v>6592</v>
      </c>
      <c r="C646" s="3" t="s">
        <v>6593</v>
      </c>
      <c r="D646" s="3" t="s">
        <v>4034</v>
      </c>
      <c r="E646" s="3" t="s">
        <v>6594</v>
      </c>
      <c r="F646" s="3" t="s">
        <v>4225</v>
      </c>
      <c r="G646" s="3" t="s">
        <v>6595</v>
      </c>
      <c r="H646" t="str">
        <f t="shared" si="245"/>
        <v xml:space="preserve">Голубева Мария Владимировна</v>
      </c>
      <c r="I646" s="5">
        <f>IFERROR(IF(ISNUMBER(FIND("-",C646)),DATE(VALUE(LEFT(C646,4)),VALUE(MID(C646,6,2)),VALUE(RIGHT(C646,2))),IF(ISNUMBER(FIND(".",C646)),DATE(VALUE(RIGHT(C646,4)),VALUE(MID(C646,4,2)),VALUE(LEFT(C646,2))),DATE(VALUE(RIGHT(C646,4)),VLOOKUP(TRIM(MID(C646,FIND(" ",C646)+1,LEN(C646)-FIND(" ",C646)-5)),Справочники!$M$3:$N$14,2,0),VALUE(LEFT(C646,FIND(" ",C646)-1))))),"")</f>
        <v>26511</v>
      </c>
      <c r="J646" s="6">
        <f t="shared" si="246"/>
        <v>54</v>
      </c>
      <c r="K646" t="str">
        <f t="shared" si="247"/>
        <v>ОК</v>
      </c>
      <c r="L646" s="5">
        <f>IFERROR(IF(ISNUMBER(FIND("-",G646)),DATE(VALUE(LEFT(G646,4)),VALUE(MID(G646,6,2)),VALUE(RIGHT(G646,2))),IF(ISNUMBER(FIND(".",G646)),DATE(VALUE(RIGHT(G646,4)),VALUE(MID(G646,4,2)),VALUE(LEFT(G646,2))),DATE(VALUE(RIGHT(G646,4)),VLOOKUP(TRIM(MID(G646,FIND(" ",G646)+1,LEN(G646)-FIND(" ",G646)-5)),Справочники!$M$3:$N$14,2,0),VALUE(LEFT(G646,FIND(" ",G646)-1))))),"")</f>
        <v>51089</v>
      </c>
      <c r="M646" t="str">
        <f t="shared" si="248"/>
        <v xml:space="preserve">+7 (903) 123-45-67</v>
      </c>
      <c r="N646" t="str">
        <f t="shared" si="249"/>
        <v>golubeva@gmail</v>
      </c>
      <c r="O646" t="str">
        <f t="shared" si="250"/>
        <v xml:space="preserve">Ошибка Email</v>
      </c>
      <c r="P646" t="str">
        <f>IFERROR(VLOOKUP(TRIM(SUBSTITUTE(SUBSTITUTE(" "&amp;F646," г "," "),"г.","")),Справочники!$J$3:$K$102,2,0),TRIM(SUBSTITUTE(SUBSTITUTE(" "&amp;F646," г "," "),"г.","")))</f>
        <v>Калуга</v>
      </c>
    </row>
    <row r="647">
      <c r="A647" s="3" t="s">
        <v>3304</v>
      </c>
      <c r="B647" s="3" t="s">
        <v>6596</v>
      </c>
      <c r="C647" s="3" t="s">
        <v>6597</v>
      </c>
      <c r="D647" s="3" t="s">
        <v>4040</v>
      </c>
      <c r="E647" s="3" t="s">
        <v>5210</v>
      </c>
      <c r="F647" s="3" t="s">
        <v>4230</v>
      </c>
      <c r="G647" s="3" t="s">
        <v>6598</v>
      </c>
      <c r="H647" t="str">
        <f t="shared" si="245"/>
        <v xml:space="preserve">Харитонов Денис Павлович</v>
      </c>
      <c r="I647" s="5">
        <f>IFERROR(IF(ISNUMBER(FIND("-",C647)),DATE(VALUE(LEFT(C647,4)),VALUE(MID(C647,6,2)),VALUE(RIGHT(C647,2))),IF(ISNUMBER(FIND(".",C647)),DATE(VALUE(RIGHT(C647,4)),VALUE(MID(C647,4,2)),VALUE(LEFT(C647,2))),DATE(VALUE(RIGHT(C647,4)),VLOOKUP(TRIM(MID(C647,FIND(" ",C647)+1,LEN(C647)-FIND(" ",C647)-5)),Справочники!$M$3:$N$14,2,0),VALUE(LEFT(C647,FIND(" ",C647)-1))))),"")</f>
        <v>32429</v>
      </c>
      <c r="J647" s="6">
        <f t="shared" si="246"/>
        <v>38</v>
      </c>
      <c r="K647" t="str">
        <f t="shared" si="247"/>
        <v>ОК</v>
      </c>
      <c r="L647" s="5">
        <f>IFERROR(IF(ISNUMBER(FIND("-",G647)),DATE(VALUE(LEFT(G647,4)),VALUE(MID(G647,6,2)),VALUE(RIGHT(G647,2))),IF(ISNUMBER(FIND(".",G647)),DATE(VALUE(RIGHT(G647,4)),VALUE(MID(G647,4,2)),VALUE(LEFT(G647,2))),DATE(VALUE(RIGHT(G647,4)),VLOOKUP(TRIM(MID(G647,FIND(" ",G647)+1,LEN(G647)-FIND(" ",G647)-5)),Справочники!$M$3:$N$14,2,0),VALUE(LEFT(G647,FIND(" ",G647)-1))))),"")</f>
        <v>51105</v>
      </c>
      <c r="M647" t="str">
        <f t="shared" si="248"/>
        <v xml:space="preserve">+7 (903) 123-45-67</v>
      </c>
      <c r="N647" t="str">
        <f t="shared" si="249"/>
        <v>haritonov@mail</v>
      </c>
      <c r="O647" t="str">
        <f t="shared" si="250"/>
        <v xml:space="preserve">Ошибка Email</v>
      </c>
      <c r="P647" t="str">
        <f>IFERROR(VLOOKUP(TRIM(SUBSTITUTE(SUBSTITUTE(" "&amp;F647," г "," "),"г.","")),Справочники!$J$3:$K$102,2,0),TRIM(SUBSTITUTE(SUBSTITUTE(" "&amp;F647," г "," "),"г.","")))</f>
        <v>Владикавказ</v>
      </c>
    </row>
    <row r="648">
      <c r="A648" s="3" t="s">
        <v>3306</v>
      </c>
      <c r="B648" s="3" t="s">
        <v>6599</v>
      </c>
      <c r="C648" s="3" t="s">
        <v>6600</v>
      </c>
      <c r="D648" s="3" t="s">
        <v>1570</v>
      </c>
      <c r="E648" s="3" t="s">
        <v>5344</v>
      </c>
      <c r="F648" s="3" t="s">
        <v>4235</v>
      </c>
      <c r="G648" s="3" t="s">
        <v>6601</v>
      </c>
      <c r="H648" t="str">
        <f t="shared" si="245"/>
        <v xml:space="preserve">Чернова Ольга Сергеевна</v>
      </c>
      <c r="I648" s="5">
        <f>IFERROR(IF(ISNUMBER(FIND("-",C648)),DATE(VALUE(LEFT(C648,4)),VALUE(MID(C648,6,2)),VALUE(RIGHT(C648,2))),IF(ISNUMBER(FIND(".",C648)),DATE(VALUE(RIGHT(C648,4)),VALUE(MID(C648,4,2)),VALUE(LEFT(C648,2))),DATE(VALUE(RIGHT(C648,4)),VLOOKUP(TRIM(MID(C648,FIND(" ",C648)+1,LEN(C648)-FIND(" ",C648)-5)),Справочники!$M$3:$N$14,2,0),VALUE(LEFT(C648,FIND(" ",C648)-1))))),"")</f>
        <v>34331</v>
      </c>
      <c r="J648" s="6">
        <f t="shared" si="246"/>
        <v>32</v>
      </c>
      <c r="K648" t="str">
        <f t="shared" si="247"/>
        <v>ОК</v>
      </c>
      <c r="L648" s="5">
        <f>IFERROR(IF(ISNUMBER(FIND("-",G648)),DATE(VALUE(LEFT(G648,4)),VALUE(MID(G648,6,2)),VALUE(RIGHT(G648,2))),IF(ISNUMBER(FIND(".",G648)),DATE(VALUE(RIGHT(G648,4)),VALUE(MID(G648,4,2)),VALUE(LEFT(G648,2))),DATE(VALUE(RIGHT(G648,4)),VLOOKUP(TRIM(MID(G648,FIND(" ",G648)+1,LEN(G648)-FIND(" ",G648)-5)),Справочники!$M$3:$N$14,2,0),VALUE(LEFT(G648,FIND(" ",G648)-1))))),"")</f>
        <v>51114</v>
      </c>
      <c r="M648" t="str">
        <f t="shared" si="248"/>
        <v xml:space="preserve">+7 (903) 123-45-67</v>
      </c>
      <c r="N648" t="str">
        <f t="shared" si="249"/>
        <v>chernova@yandex</v>
      </c>
      <c r="O648" t="str">
        <f t="shared" si="250"/>
        <v xml:space="preserve">Ошибка Email</v>
      </c>
      <c r="P648" t="str">
        <f>IFERROR(VLOOKUP(TRIM(SUBSTITUTE(SUBSTITUTE(" "&amp;F648," г "," "),"г.","")),Справочники!$J$3:$K$102,2,0),TRIM(SUBSTITUTE(SUBSTITUTE(" "&amp;F648," г "," "),"г.","")))</f>
        <v>Смоленск</v>
      </c>
    </row>
    <row r="649">
      <c r="A649" s="3" t="s">
        <v>3308</v>
      </c>
      <c r="B649" s="3" t="s">
        <v>6602</v>
      </c>
      <c r="C649" s="3" t="s">
        <v>6603</v>
      </c>
      <c r="D649" s="3" t="s">
        <v>4051</v>
      </c>
      <c r="E649" s="3" t="s">
        <v>6604</v>
      </c>
      <c r="F649" s="3" t="s">
        <v>4240</v>
      </c>
      <c r="G649" s="3" t="s">
        <v>6605</v>
      </c>
      <c r="H649" t="str">
        <f t="shared" si="245"/>
        <v xml:space="preserve">Щербаков Илья Александрович</v>
      </c>
      <c r="I649" s="5">
        <f>IFERROR(IF(ISNUMBER(FIND("-",C649)),DATE(VALUE(LEFT(C649,4)),VALUE(MID(C649,6,2)),VALUE(RIGHT(C649,2))),IF(ISNUMBER(FIND(".",C649)),DATE(VALUE(RIGHT(C649,4)),VALUE(MID(C649,4,2)),VALUE(LEFT(C649,2))),DATE(VALUE(RIGHT(C649,4)),VLOOKUP(TRIM(MID(C649,FIND(" ",C649)+1,LEN(C649)-FIND(" ",C649)-5)),Справочники!$M$3:$N$14,2,0),VALUE(LEFT(C649,FIND(" ",C649)-1))))),"")</f>
        <v>28961</v>
      </c>
      <c r="J649" s="6">
        <f t="shared" si="246"/>
        <v>47</v>
      </c>
      <c r="K649" t="str">
        <f t="shared" si="247"/>
        <v>ОК</v>
      </c>
      <c r="L649" s="5">
        <f>IFERROR(IF(ISNUMBER(FIND("-",G649)),DATE(VALUE(LEFT(G649,4)),VALUE(MID(G649,6,2)),VALUE(RIGHT(G649,2))),IF(ISNUMBER(FIND(".",G649)),DATE(VALUE(RIGHT(G649,4)),VALUE(MID(G649,4,2)),VALUE(LEFT(G649,2))),DATE(VALUE(RIGHT(G649,4)),VLOOKUP(TRIM(MID(G649,FIND(" ",G649)+1,LEN(G649)-FIND(" ",G649)-5)),Справочники!$M$3:$N$14,2,0),VALUE(LEFT(G649,FIND(" ",G649)-1))))),"")</f>
        <v>51114</v>
      </c>
      <c r="M649" t="str">
        <f t="shared" si="248"/>
        <v xml:space="preserve">+7 (903) 234-56-78</v>
      </c>
      <c r="N649" t="str">
        <f t="shared" si="249"/>
        <v>scherbakov@gmail</v>
      </c>
      <c r="O649" t="str">
        <f t="shared" si="250"/>
        <v xml:space="preserve">Ошибка Email</v>
      </c>
      <c r="P649" t="str">
        <f>IFERROR(VLOOKUP(TRIM(SUBSTITUTE(SUBSTITUTE(" "&amp;F649," г "," "),"г.","")),Справочники!$J$3:$K$102,2,0),TRIM(SUBSTITUTE(SUBSTITUTE(" "&amp;F649," г "," "),"г.","")))</f>
        <v>Белгород</v>
      </c>
    </row>
    <row r="650">
      <c r="A650" s="3" t="s">
        <v>3311</v>
      </c>
      <c r="B650" s="3" t="s">
        <v>6606</v>
      </c>
      <c r="C650" s="3" t="s">
        <v>6607</v>
      </c>
      <c r="D650" s="3" t="s">
        <v>4057</v>
      </c>
      <c r="E650" s="3" t="s">
        <v>4156</v>
      </c>
      <c r="F650" s="3" t="s">
        <v>4245</v>
      </c>
      <c r="G650" s="3" t="s">
        <v>6608</v>
      </c>
      <c r="H650" t="str">
        <f t="shared" si="245"/>
        <v xml:space="preserve">Колесникова Екатерина Алексеевна</v>
      </c>
      <c r="I650" s="5">
        <f>IFERROR(IF(ISNUMBER(FIND("-",C650)),DATE(VALUE(LEFT(C650,4)),VALUE(MID(C650,6,2)),VALUE(RIGHT(C650,2))),IF(ISNUMBER(FIND(".",C650)),DATE(VALUE(RIGHT(C650,4)),VALUE(MID(C650,4,2)),VALUE(LEFT(C650,2))),DATE(VALUE(RIGHT(C650,4)),VLOOKUP(TRIM(MID(C650,FIND(" ",C650)+1,LEN(C650)-FIND(" ",C650)-5)),Справочники!$M$3:$N$14,2,0),VALUE(LEFT(C650,FIND(" ",C650)-1))))),"")</f>
        <v>30934</v>
      </c>
      <c r="J650" s="6">
        <f t="shared" si="246"/>
        <v>42</v>
      </c>
      <c r="K650" t="str">
        <f t="shared" si="247"/>
        <v>ОК</v>
      </c>
      <c r="L650" s="5">
        <f>IFERROR(IF(ISNUMBER(FIND("-",G650)),DATE(VALUE(LEFT(G650,4)),VALUE(MID(G650,6,2)),VALUE(RIGHT(G650,2))),IF(ISNUMBER(FIND(".",G650)),DATE(VALUE(RIGHT(G650,4)),VALUE(MID(G650,4,2)),VALUE(LEFT(G650,2))),DATE(VALUE(RIGHT(G650,4)),VLOOKUP(TRIM(MID(G650,FIND(" ",G650)+1,LEN(G650)-FIND(" ",G650)-5)),Справочники!$M$3:$N$14,2,0),VALUE(LEFT(G650,FIND(" ",G650)-1))))),"")</f>
        <v>51136</v>
      </c>
      <c r="M650" t="str">
        <f t="shared" si="248"/>
        <v xml:space="preserve">+7 (903) 234-56-78</v>
      </c>
      <c r="N650" t="str">
        <f t="shared" si="249"/>
        <v>kolesnikova@mail</v>
      </c>
      <c r="O650" t="str">
        <f t="shared" si="250"/>
        <v xml:space="preserve">Ошибка Email</v>
      </c>
      <c r="P650" t="str">
        <f>IFERROR(VLOOKUP(TRIM(SUBSTITUTE(SUBSTITUTE(" "&amp;F650," г "," "),"г.","")),Справочники!$J$3:$K$102,2,0),TRIM(SUBSTITUTE(SUBSTITUTE(" "&amp;F650," г "," "),"г.","")))</f>
        <v>Мурманск</v>
      </c>
    </row>
    <row r="651">
      <c r="A651" s="3" t="s">
        <v>3312</v>
      </c>
      <c r="B651" s="3" t="s">
        <v>6609</v>
      </c>
      <c r="C651" s="3" t="s">
        <v>6610</v>
      </c>
      <c r="D651" s="3" t="s">
        <v>1712</v>
      </c>
      <c r="E651" s="3" t="s">
        <v>4128</v>
      </c>
      <c r="F651" s="3" t="s">
        <v>4250</v>
      </c>
      <c r="G651" s="3" t="s">
        <v>6611</v>
      </c>
      <c r="H651" t="str">
        <f t="shared" si="245"/>
        <v xml:space="preserve">Тихонов Андрей Олегович</v>
      </c>
      <c r="I651" s="5">
        <f>IFERROR(IF(ISNUMBER(FIND("-",C651)),DATE(VALUE(LEFT(C651,4)),VALUE(MID(C651,6,2)),VALUE(RIGHT(C651,2))),IF(ISNUMBER(FIND(".",C651)),DATE(VALUE(RIGHT(C651,4)),VALUE(MID(C651,4,2)),VALUE(LEFT(C651,2))),DATE(VALUE(RIGHT(C651,4)),VLOOKUP(TRIM(MID(C651,FIND(" ",C651)+1,LEN(C651)-FIND(" ",C651)-5)),Справочники!$M$3:$N$14,2,0),VALUE(LEFT(C651,FIND(" ",C651)-1))))),"")</f>
        <v>32102</v>
      </c>
      <c r="J651" s="6">
        <f t="shared" si="246"/>
        <v>38</v>
      </c>
      <c r="K651" t="str">
        <f t="shared" si="247"/>
        <v>ОК</v>
      </c>
      <c r="L651" s="5">
        <f>IFERROR(IF(ISNUMBER(FIND("-",G651)),DATE(VALUE(LEFT(G651,4)),VALUE(MID(G651,6,2)),VALUE(RIGHT(G651,2))),IF(ISNUMBER(FIND(".",G651)),DATE(VALUE(RIGHT(G651,4)),VALUE(MID(G651,4,2)),VALUE(LEFT(G651,2))),DATE(VALUE(RIGHT(G651,4)),VLOOKUP(TRIM(MID(G651,FIND(" ",G651)+1,LEN(G651)-FIND(" ",G651)-5)),Справочники!$M$3:$N$14,2,0),VALUE(LEFT(G651,FIND(" ",G651)-1))))),"")</f>
        <v>51150</v>
      </c>
      <c r="M651" t="str">
        <f t="shared" si="248"/>
        <v xml:space="preserve">+7 (903) 234-56-78</v>
      </c>
      <c r="N651" t="str">
        <f t="shared" si="249"/>
        <v>tihonov@yandex</v>
      </c>
      <c r="O651" t="str">
        <f t="shared" si="250"/>
        <v xml:space="preserve">Ошибка Email</v>
      </c>
      <c r="P651" t="str">
        <f>IFERROR(VLOOKUP(TRIM(SUBSTITUTE(SUBSTITUTE(" "&amp;F651," г "," "),"г.","")),Справочники!$J$3:$K$102,2,0),TRIM(SUBSTITUTE(SUBSTITUTE(" "&amp;F651," г "," "),"г.","")))</f>
        <v>Ставрополь</v>
      </c>
    </row>
    <row r="652">
      <c r="A652" s="3" t="s">
        <v>3315</v>
      </c>
      <c r="B652" s="3" t="s">
        <v>6612</v>
      </c>
      <c r="C652" s="3" t="s">
        <v>6613</v>
      </c>
      <c r="D652" s="3" t="s">
        <v>1584</v>
      </c>
      <c r="E652" s="3" t="s">
        <v>6614</v>
      </c>
      <c r="F652" s="3" t="s">
        <v>4255</v>
      </c>
      <c r="G652" s="3" t="s">
        <v>6615</v>
      </c>
      <c r="H652" t="str">
        <f t="shared" si="245"/>
        <v xml:space="preserve">Дубровина Мария Павловна</v>
      </c>
      <c r="I652" s="5">
        <f>IFERROR(IF(ISNUMBER(FIND("-",C652)),DATE(VALUE(LEFT(C652,4)),VALUE(MID(C652,6,2)),VALUE(RIGHT(C652,2))),IF(ISNUMBER(FIND(".",C652)),DATE(VALUE(RIGHT(C652,4)),VALUE(MID(C652,4,2)),VALUE(LEFT(C652,2))),DATE(VALUE(RIGHT(C652,4)),VLOOKUP(TRIM(MID(C652,FIND(" ",C652)+1,LEN(C652)-FIND(" ",C652)-5)),Справочники!$M$3:$N$14,2,0),VALUE(LEFT(C652,FIND(" ",C652)-1))))),"")</f>
        <v>27577</v>
      </c>
      <c r="J652" s="6">
        <f t="shared" si="246"/>
        <v>51</v>
      </c>
      <c r="K652" t="str">
        <f t="shared" si="247"/>
        <v>ОК</v>
      </c>
      <c r="L652" s="5">
        <f>IFERROR(IF(ISNUMBER(FIND("-",G652)),DATE(VALUE(LEFT(G652,4)),VALUE(MID(G652,6,2)),VALUE(RIGHT(G652,2))),IF(ISNUMBER(FIND(".",G652)),DATE(VALUE(RIGHT(G652,4)),VALUE(MID(G652,4,2)),VALUE(LEFT(G652,2))),DATE(VALUE(RIGHT(G652,4)),VLOOKUP(TRIM(MID(G652,FIND(" ",G652)+1,LEN(G652)-FIND(" ",G652)-5)),Справочники!$M$3:$N$14,2,0),VALUE(LEFT(G652,FIND(" ",G652)-1))))),"")</f>
        <v>51150</v>
      </c>
      <c r="M652" t="str">
        <f t="shared" si="248"/>
        <v xml:space="preserve">+7 (903) 345-67-89</v>
      </c>
      <c r="N652" t="str">
        <f t="shared" si="249"/>
        <v>dubrovina@gmail</v>
      </c>
      <c r="O652" t="str">
        <f t="shared" si="250"/>
        <v xml:space="preserve">Ошибка Email</v>
      </c>
      <c r="P652" t="str">
        <f>IFERROR(VLOOKUP(TRIM(SUBSTITUTE(SUBSTITUTE(" "&amp;F652," г "," "),"г.","")),Справочники!$J$3:$K$102,2,0),TRIM(SUBSTITUTE(SUBSTITUTE(" "&amp;F652," г "," "),"г.","")))</f>
        <v>Севастополь</v>
      </c>
    </row>
    <row r="653">
      <c r="A653" s="3" t="s">
        <v>3316</v>
      </c>
      <c r="B653" s="3" t="s">
        <v>6616</v>
      </c>
      <c r="C653" s="3" t="s">
        <v>6617</v>
      </c>
      <c r="D653" s="3" t="s">
        <v>4073</v>
      </c>
      <c r="E653" s="3" t="s">
        <v>4951</v>
      </c>
      <c r="F653" s="3" t="s">
        <v>4260</v>
      </c>
      <c r="G653" s="3" t="s">
        <v>6618</v>
      </c>
      <c r="H653" t="str">
        <f t="shared" si="245"/>
        <v xml:space="preserve">Ткаченко Денис Викторович</v>
      </c>
      <c r="I653" s="5">
        <f>IFERROR(IF(ISNUMBER(FIND("-",C653)),DATE(VALUE(LEFT(C653,4)),VALUE(MID(C653,6,2)),VALUE(RIGHT(C653,2))),IF(ISNUMBER(FIND(".",C653)),DATE(VALUE(RIGHT(C653,4)),VALUE(MID(C653,4,2)),VALUE(LEFT(C653,2))),DATE(VALUE(RIGHT(C653,4)),VLOOKUP(TRIM(MID(C653,FIND(" ",C653)+1,LEN(C653)-FIND(" ",C653)-5)),Справочники!$M$3:$N$14,2,0),VALUE(LEFT(C653,FIND(" ",C653)-1))))),"")</f>
        <v>30021</v>
      </c>
      <c r="J653" s="6">
        <f t="shared" si="246"/>
        <v>44</v>
      </c>
      <c r="K653" t="str">
        <f t="shared" si="247"/>
        <v>ОК</v>
      </c>
      <c r="L653" s="5">
        <f>IFERROR(IF(ISNUMBER(FIND("-",G653)),DATE(VALUE(LEFT(G653,4)),VALUE(MID(G653,6,2)),VALUE(RIGHT(G653,2))),IF(ISNUMBER(FIND(".",G653)),DATE(VALUE(RIGHT(G653,4)),VALUE(MID(G653,4,2)),VALUE(LEFT(G653,2))),DATE(VALUE(RIGHT(G653,4)),VLOOKUP(TRIM(MID(G653,FIND(" ",G653)+1,LEN(G653)-FIND(" ",G653)-5)),Справочники!$M$3:$N$14,2,0),VALUE(LEFT(G653,FIND(" ",G653)-1))))),"")</f>
        <v>51167</v>
      </c>
      <c r="M653" t="str">
        <f t="shared" si="248"/>
        <v xml:space="preserve">+7 (903) 345-67-89</v>
      </c>
      <c r="N653" t="str">
        <f t="shared" si="249"/>
        <v>tkachenko@mail</v>
      </c>
      <c r="O653" t="str">
        <f t="shared" si="250"/>
        <v xml:space="preserve">Ошибка Email</v>
      </c>
      <c r="P653" t="str">
        <f>IFERROR(VLOOKUP(TRIM(SUBSTITUTE(SUBSTITUTE(" "&amp;F653," г "," "),"г.","")),Справочники!$J$3:$K$102,2,0),TRIM(SUBSTITUTE(SUBSTITUTE(" "&amp;F653," г "," "),"г.","")))</f>
        <v>Сочи</v>
      </c>
    </row>
    <row r="654">
      <c r="A654" s="3" t="s">
        <v>3319</v>
      </c>
      <c r="B654" s="3" t="s">
        <v>6619</v>
      </c>
      <c r="C654" s="3" t="s">
        <v>5389</v>
      </c>
      <c r="D654" s="3" t="s">
        <v>4079</v>
      </c>
      <c r="E654" s="3" t="s">
        <v>5823</v>
      </c>
      <c r="F654" s="3" t="s">
        <v>4265</v>
      </c>
      <c r="G654" s="3" t="s">
        <v>6620</v>
      </c>
      <c r="H654" t="str">
        <f t="shared" si="245"/>
        <v xml:space="preserve">Калинина Ольга Сергеевна</v>
      </c>
      <c r="I654" s="5">
        <f>IFERROR(IF(ISNUMBER(FIND("-",C654)),DATE(VALUE(LEFT(C654,4)),VALUE(MID(C654,6,2)),VALUE(RIGHT(C654,2))),IF(ISNUMBER(FIND(".",C654)),DATE(VALUE(RIGHT(C654,4)),VALUE(MID(C654,4,2)),VALUE(LEFT(C654,2))),DATE(VALUE(RIGHT(C654,4)),VLOOKUP(TRIM(MID(C654,FIND(" ",C654)+1,LEN(C654)-FIND(" ",C654)-5)),Справочники!$M$3:$N$14,2,0),VALUE(LEFT(C654,FIND(" ",C654)-1))))),"")</f>
        <v>33231</v>
      </c>
      <c r="J654" s="6">
        <f t="shared" si="246"/>
        <v>35</v>
      </c>
      <c r="K654" t="str">
        <f t="shared" si="247"/>
        <v>ОК</v>
      </c>
      <c r="L654" s="5">
        <f>IFERROR(IF(ISNUMBER(FIND("-",G654)),DATE(VALUE(LEFT(G654,4)),VALUE(MID(G654,6,2)),VALUE(RIGHT(G654,2))),IF(ISNUMBER(FIND(".",G654)),DATE(VALUE(RIGHT(G654,4)),VALUE(MID(G654,4,2)),VALUE(LEFT(G654,2))),DATE(VALUE(RIGHT(G654,4)),VLOOKUP(TRIM(MID(G654,FIND(" ",G654)+1,LEN(G654)-FIND(" ",G654)-5)),Справочники!$M$3:$N$14,2,0),VALUE(LEFT(G654,FIND(" ",G654)-1))))),"")</f>
        <v>51176</v>
      </c>
      <c r="M654" t="str">
        <f t="shared" si="248"/>
        <v xml:space="preserve">+7 (903) 345-67-89</v>
      </c>
      <c r="N654" t="str">
        <f t="shared" si="249"/>
        <v>kalinina@yandex</v>
      </c>
      <c r="O654" t="str">
        <f t="shared" si="250"/>
        <v xml:space="preserve">Ошибка Email</v>
      </c>
      <c r="P654" t="str">
        <f>IFERROR(VLOOKUP(TRIM(SUBSTITUTE(SUBSTITUTE(" "&amp;F654," г "," "),"г.","")),Справочники!$J$3:$K$102,2,0),TRIM(SUBSTITUTE(SUBSTITUTE(" "&amp;F654," г "," "),"г.","")))</f>
        <v>Симферополь</v>
      </c>
    </row>
    <row r="655">
      <c r="A655" s="3" t="s">
        <v>3321</v>
      </c>
      <c r="B655" s="3" t="s">
        <v>6621</v>
      </c>
      <c r="C655" s="3" t="s">
        <v>6622</v>
      </c>
      <c r="D655" s="3" t="s">
        <v>4085</v>
      </c>
      <c r="E655" s="3" t="s">
        <v>6623</v>
      </c>
      <c r="F655" s="3" t="s">
        <v>4270</v>
      </c>
      <c r="G655" s="3" t="s">
        <v>6624</v>
      </c>
      <c r="H655" t="str">
        <f t="shared" si="245"/>
        <v xml:space="preserve">Макаров Илья Алексеевич</v>
      </c>
      <c r="I655" s="5">
        <f>IFERROR(IF(ISNUMBER(FIND("-",C655)),DATE(VALUE(LEFT(C655,4)),VALUE(MID(C655,6,2)),VALUE(RIGHT(C655,2))),IF(ISNUMBER(FIND(".",C655)),DATE(VALUE(RIGHT(C655,4)),VALUE(MID(C655,4,2)),VALUE(LEFT(C655,2))),DATE(VALUE(RIGHT(C655,4)),VLOOKUP(TRIM(MID(C655,FIND(" ",C655)+1,LEN(C655)-FIND(" ",C655)-5)),Справочники!$M$3:$N$14,2,0),VALUE(LEFT(C655,FIND(" ",C655)-1))))),"")</f>
        <v>26912</v>
      </c>
      <c r="J655" s="6">
        <f t="shared" si="246"/>
        <v>53</v>
      </c>
      <c r="K655" t="str">
        <f t="shared" si="247"/>
        <v>ОК</v>
      </c>
      <c r="L655" s="5">
        <f>IFERROR(IF(ISNUMBER(FIND("-",G655)),DATE(VALUE(LEFT(G655,4)),VALUE(MID(G655,6,2)),VALUE(RIGHT(G655,2))),IF(ISNUMBER(FIND(".",G655)),DATE(VALUE(RIGHT(G655,4)),VALUE(MID(G655,4,2)),VALUE(LEFT(G655,2))),DATE(VALUE(RIGHT(G655,4)),VLOOKUP(TRIM(MID(G655,FIND(" ",G655)+1,LEN(G655)-FIND(" ",G655)-5)),Справочники!$M$3:$N$14,2,0),VALUE(LEFT(G655,FIND(" ",G655)-1))))),"")</f>
        <v>51176</v>
      </c>
      <c r="M655" t="str">
        <f t="shared" si="248"/>
        <v xml:space="preserve">+7 (903) 456-78-90</v>
      </c>
      <c r="N655" t="str">
        <f t="shared" si="249"/>
        <v>makarov@gmail</v>
      </c>
      <c r="O655" t="str">
        <f t="shared" si="250"/>
        <v xml:space="preserve">Ошибка Email</v>
      </c>
      <c r="P655" t="str">
        <f>IFERROR(VLOOKUP(TRIM(SUBSTITUTE(SUBSTITUTE(" "&amp;F655," г "," "),"г.","")),Справочники!$J$3:$K$102,2,0),TRIM(SUBSTITUTE(SUBSTITUTE(" "&amp;F655," г "," "),"г.","")))</f>
        <v>Брянск</v>
      </c>
    </row>
    <row r="656">
      <c r="A656" s="3" t="s">
        <v>3324</v>
      </c>
      <c r="B656" s="3" t="s">
        <v>6625</v>
      </c>
      <c r="C656" s="3" t="s">
        <v>6626</v>
      </c>
      <c r="D656" s="3" t="s">
        <v>1591</v>
      </c>
      <c r="E656" s="3" t="s">
        <v>6627</v>
      </c>
      <c r="F656" s="3" t="s">
        <v>4275</v>
      </c>
      <c r="G656" s="3" t="s">
        <v>6628</v>
      </c>
      <c r="H656" t="str">
        <f t="shared" si="245"/>
        <v xml:space="preserve">Володина Екатерина Владимировна</v>
      </c>
      <c r="I656" s="5">
        <f>IFERROR(IF(ISNUMBER(FIND("-",C656)),DATE(VALUE(LEFT(C656,4)),VALUE(MID(C656,6,2)),VALUE(RIGHT(C656,2))),IF(ISNUMBER(FIND(".",C656)),DATE(VALUE(RIGHT(C656,4)),VALUE(MID(C656,4,2)),VALUE(LEFT(C656,2))),DATE(VALUE(RIGHT(C656,4)),VLOOKUP(TRIM(MID(C656,FIND(" ",C656)+1,LEN(C656)-FIND(" ",C656)-5)),Справочники!$M$3:$N$14,2,0),VALUE(LEFT(C656,FIND(" ",C656)-1))))),"")</f>
        <v>31561</v>
      </c>
      <c r="J656" s="6">
        <f t="shared" si="246"/>
        <v>40</v>
      </c>
      <c r="K656" t="str">
        <f t="shared" si="247"/>
        <v>ОК</v>
      </c>
      <c r="L656" s="5">
        <f>IFERROR(IF(ISNUMBER(FIND("-",G656)),DATE(VALUE(LEFT(G656,4)),VALUE(MID(G656,6,2)),VALUE(RIGHT(G656,2))),IF(ISNUMBER(FIND(".",G656)),DATE(VALUE(RIGHT(G656,4)),VALUE(MID(G656,4,2)),VALUE(LEFT(G656,2))),DATE(VALUE(RIGHT(G656,4)),VLOOKUP(TRIM(MID(G656,FIND(" ",G656)+1,LEN(G656)-FIND(" ",G656)-5)),Справочники!$M$3:$N$14,2,0),VALUE(LEFT(G656,FIND(" ",G656)-1))))),"")</f>
        <v>51196</v>
      </c>
      <c r="M656" t="str">
        <f t="shared" si="248"/>
        <v xml:space="preserve">+7 (903) 456-78-90</v>
      </c>
      <c r="N656" t="str">
        <f t="shared" si="249"/>
        <v>volodina@mail</v>
      </c>
      <c r="O656" t="str">
        <f t="shared" si="250"/>
        <v xml:space="preserve">Ошибка Email</v>
      </c>
      <c r="P656" t="str">
        <f>IFERROR(VLOOKUP(TRIM(SUBSTITUTE(SUBSTITUTE(" "&amp;F656," г "," "),"г.","")),Справочники!$J$3:$K$102,2,0),TRIM(SUBSTITUTE(SUBSTITUTE(" "&amp;F656," г "," "),"г.","")))</f>
        <v>Абакан</v>
      </c>
    </row>
    <row r="657">
      <c r="A657" s="3" t="s">
        <v>3325</v>
      </c>
      <c r="B657" s="3" t="s">
        <v>6629</v>
      </c>
      <c r="C657" s="3" t="s">
        <v>6630</v>
      </c>
      <c r="D657" s="3" t="s">
        <v>1660</v>
      </c>
      <c r="E657" s="3" t="s">
        <v>6631</v>
      </c>
      <c r="F657" s="3" t="s">
        <v>4280</v>
      </c>
      <c r="G657" s="3" t="s">
        <v>6632</v>
      </c>
      <c r="H657" t="str">
        <f t="shared" si="245"/>
        <v xml:space="preserve">Понкратов Андрей Павлович</v>
      </c>
      <c r="I657" s="5">
        <f>IFERROR(IF(ISNUMBER(FIND("-",C657)),DATE(VALUE(LEFT(C657,4)),VALUE(MID(C657,6,2)),VALUE(RIGHT(C657,2))),IF(ISNUMBER(FIND(".",C657)),DATE(VALUE(RIGHT(C657,4)),VALUE(MID(C657,4,2)),VALUE(LEFT(C657,2))),DATE(VALUE(RIGHT(C657,4)),VLOOKUP(TRIM(MID(C657,FIND(" ",C657)+1,LEN(C657)-FIND(" ",C657)-5)),Справочники!$M$3:$N$14,2,0),VALUE(LEFT(C657,FIND(" ",C657)-1))))),"")</f>
        <v>29603</v>
      </c>
      <c r="J657" s="6">
        <f t="shared" si="246"/>
        <v>45</v>
      </c>
      <c r="K657" t="str">
        <f t="shared" si="247"/>
        <v>ОК</v>
      </c>
      <c r="L657" s="5">
        <f>IFERROR(IF(ISNUMBER(FIND("-",G657)),DATE(VALUE(LEFT(G657,4)),VALUE(MID(G657,6,2)),VALUE(RIGHT(G657,2))),IF(ISNUMBER(FIND(".",G657)),DATE(VALUE(RIGHT(G657,4)),VALUE(MID(G657,4,2)),VALUE(LEFT(G657,2))),DATE(VALUE(RIGHT(G657,4)),VLOOKUP(TRIM(MID(G657,FIND(" ",G657)+1,LEN(G657)-FIND(" ",G657)-5)),Справочники!$M$3:$N$14,2,0),VALUE(LEFT(G657,FIND(" ",G657)-1))))),"")</f>
        <v>51210</v>
      </c>
      <c r="M657" t="str">
        <f t="shared" si="248"/>
        <v xml:space="preserve">+7 (903) 456-78-90</v>
      </c>
      <c r="N657" t="str">
        <f t="shared" si="249"/>
        <v>ponkratov@yandex</v>
      </c>
      <c r="O657" t="str">
        <f t="shared" si="250"/>
        <v xml:space="preserve">Ошибка Email</v>
      </c>
      <c r="P657" t="str">
        <f>IFERROR(VLOOKUP(TRIM(SUBSTITUTE(SUBSTITUTE(" "&amp;F657," г "," "),"г.","")),Справочники!$J$3:$K$102,2,0),TRIM(SUBSTITUTE(SUBSTITUTE(" "&amp;F657," г "," "),"г.","")))</f>
        <v>Грозный</v>
      </c>
    </row>
    <row r="658">
      <c r="A658" s="3" t="s">
        <v>3327</v>
      </c>
      <c r="B658" s="3" t="s">
        <v>6633</v>
      </c>
      <c r="C658" s="3" t="s">
        <v>6634</v>
      </c>
      <c r="D658" s="3" t="s">
        <v>3984</v>
      </c>
      <c r="E658" s="3" t="s">
        <v>6635</v>
      </c>
      <c r="F658" s="3" t="s">
        <v>4285</v>
      </c>
      <c r="G658" s="3" t="s">
        <v>6636</v>
      </c>
      <c r="H658" t="str">
        <f t="shared" si="245"/>
        <v xml:space="preserve">Маркина Мария Олеговна</v>
      </c>
      <c r="I658" s="5">
        <f>IFERROR(IF(ISNUMBER(FIND("-",C658)),DATE(VALUE(LEFT(C658,4)),VALUE(MID(C658,6,2)),VALUE(RIGHT(C658,2))),IF(ISNUMBER(FIND(".",C658)),DATE(VALUE(RIGHT(C658,4)),VALUE(MID(C658,4,2)),VALUE(LEFT(C658,2))),DATE(VALUE(RIGHT(C658,4)),VLOOKUP(TRIM(MID(C658,FIND(" ",C658)+1,LEN(C658)-FIND(" ",C658)-5)),Справочники!$M$3:$N$14,2,0),VALUE(LEFT(C658,FIND(" ",C658)-1))))),"")</f>
        <v>28839</v>
      </c>
      <c r="J658" s="6">
        <f t="shared" si="246"/>
        <v>47</v>
      </c>
      <c r="K658" t="str">
        <f t="shared" si="247"/>
        <v>ОК</v>
      </c>
      <c r="L658" s="5">
        <f>IFERROR(IF(ISNUMBER(FIND("-",G658)),DATE(VALUE(LEFT(G658,4)),VALUE(MID(G658,6,2)),VALUE(RIGHT(G658,2))),IF(ISNUMBER(FIND(".",G658)),DATE(VALUE(RIGHT(G658,4)),VALUE(MID(G658,4,2)),VALUE(LEFT(G658,2))),DATE(VALUE(RIGHT(G658,4)),VLOOKUP(TRIM(MID(G658,FIND(" ",G658)+1,LEN(G658)-FIND(" ",G658)-5)),Справочники!$M$3:$N$14,2,0),VALUE(LEFT(G658,FIND(" ",G658)-1))))),"")</f>
        <v>51210</v>
      </c>
      <c r="M658" t="str">
        <f t="shared" si="248"/>
        <v xml:space="preserve">+7 (903) 567-89-01</v>
      </c>
      <c r="N658" t="str">
        <f t="shared" si="249"/>
        <v>markina@gmail</v>
      </c>
      <c r="O658" t="str">
        <f t="shared" si="250"/>
        <v xml:space="preserve">Ошибка Email</v>
      </c>
      <c r="P658" t="str">
        <f>IFERROR(VLOOKUP(TRIM(SUBSTITUTE(SUBSTITUTE(" "&amp;F658," г "," "),"г.","")),Справочники!$J$3:$K$102,2,0),TRIM(SUBSTITUTE(SUBSTITUTE(" "&amp;F658," г "," "),"г.","")))</f>
        <v>Бийск</v>
      </c>
    </row>
    <row r="659">
      <c r="A659" s="3" t="s">
        <v>3328</v>
      </c>
      <c r="B659" s="3" t="s">
        <v>6637</v>
      </c>
      <c r="C659" s="3" t="s">
        <v>6638</v>
      </c>
      <c r="D659" s="3" t="s">
        <v>3990</v>
      </c>
      <c r="E659" s="3" t="s">
        <v>6639</v>
      </c>
      <c r="F659" s="3" t="s">
        <v>4290</v>
      </c>
      <c r="G659" s="3" t="s">
        <v>6640</v>
      </c>
      <c r="H659" t="str">
        <f t="shared" si="245"/>
        <v xml:space="preserve">Гончаров Денис Сергеевич</v>
      </c>
      <c r="I659" s="5">
        <f>IFERROR(IF(ISNUMBER(FIND("-",C659)),DATE(VALUE(LEFT(C659,4)),VALUE(MID(C659,6,2)),VALUE(RIGHT(C659,2))),IF(ISNUMBER(FIND(".",C659)),DATE(VALUE(RIGHT(C659,4)),VALUE(MID(C659,4,2)),VALUE(LEFT(C659,2))),DATE(VALUE(RIGHT(C659,4)),VLOOKUP(TRIM(MID(C659,FIND(" ",C659)+1,LEN(C659)-FIND(" ",C659)-5)),Справочники!$M$3:$N$14,2,0),VALUE(LEFT(C659,FIND(" ",C659)-1))))),"")</f>
        <v>31329</v>
      </c>
      <c r="J659" s="6">
        <f t="shared" si="246"/>
        <v>41</v>
      </c>
      <c r="K659" t="str">
        <f t="shared" si="247"/>
        <v>ОК</v>
      </c>
      <c r="L659" s="5">
        <f>IFERROR(IF(ISNUMBER(FIND("-",G659)),DATE(VALUE(LEFT(G659,4)),VALUE(MID(G659,6,2)),VALUE(RIGHT(G659,2))),IF(ISNUMBER(FIND(".",G659)),DATE(VALUE(RIGHT(G659,4)),VALUE(MID(G659,4,2)),VALUE(LEFT(G659,2))),DATE(VALUE(RIGHT(G659,4)),VLOOKUP(TRIM(MID(G659,FIND(" ",G659)+1,LEN(G659)-FIND(" ",G659)-5)),Справочники!$M$3:$N$14,2,0),VALUE(LEFT(G659,FIND(" ",G659)-1))))),"")</f>
        <v>51227</v>
      </c>
      <c r="M659" t="str">
        <f t="shared" si="248"/>
        <v xml:space="preserve">+7 (903) 567-89-01</v>
      </c>
      <c r="N659" t="str">
        <f t="shared" si="249"/>
        <v>goncharov@mail</v>
      </c>
      <c r="O659" t="str">
        <f t="shared" si="250"/>
        <v xml:space="preserve">Ошибка Email</v>
      </c>
      <c r="P659" t="str">
        <f>IFERROR(VLOOKUP(TRIM(SUBSTITUTE(SUBSTITUTE(" "&amp;F659," г "," "),"г.","")),Справочники!$J$3:$K$102,2,0),TRIM(SUBSTITUTE(SUBSTITUTE(" "&amp;F659," г "," "),"г.","")))</f>
        <v>Йошкар-Ола</v>
      </c>
    </row>
    <row r="660">
      <c r="A660" s="3" t="s">
        <v>3330</v>
      </c>
      <c r="B660" s="3" t="s">
        <v>6641</v>
      </c>
      <c r="C660" s="3" t="s">
        <v>6642</v>
      </c>
      <c r="D660" s="3" t="s">
        <v>1598</v>
      </c>
      <c r="E660" s="3" t="s">
        <v>6643</v>
      </c>
      <c r="F660" s="3" t="s">
        <v>4295</v>
      </c>
      <c r="G660" s="3" t="s">
        <v>6644</v>
      </c>
      <c r="H660" t="str">
        <f t="shared" si="245"/>
        <v xml:space="preserve">Логинова Ольга Павловна</v>
      </c>
      <c r="I660" s="5">
        <f>IFERROR(IF(ISNUMBER(FIND("-",C660)),DATE(VALUE(LEFT(C660,4)),VALUE(MID(C660,6,2)),VALUE(RIGHT(C660,2))),IF(ISNUMBER(FIND(".",C660)),DATE(VALUE(RIGHT(C660,4)),VALUE(MID(C660,4,2)),VALUE(LEFT(C660,2))),DATE(VALUE(RIGHT(C660,4)),VLOOKUP(TRIM(MID(C660,FIND(" ",C660)+1,LEN(C660)-FIND(" ",C660)-5)),Справочники!$M$3:$N$14,2,0),VALUE(LEFT(C660,FIND(" ",C660)-1))))),"")</f>
        <v>33758</v>
      </c>
      <c r="J660" s="6">
        <f t="shared" si="246"/>
        <v>34</v>
      </c>
      <c r="K660" t="str">
        <f t="shared" si="247"/>
        <v>ОК</v>
      </c>
      <c r="L660" s="5">
        <f>IFERROR(IF(ISNUMBER(FIND("-",G660)),DATE(VALUE(LEFT(G660,4)),VALUE(MID(G660,6,2)),VALUE(RIGHT(G660,2))),IF(ISNUMBER(FIND(".",G660)),DATE(VALUE(RIGHT(G660,4)),VALUE(MID(G660,4,2)),VALUE(LEFT(G660,2))),DATE(VALUE(RIGHT(G660,4)),VLOOKUP(TRIM(MID(G660,FIND(" ",G660)+1,LEN(G660)-FIND(" ",G660)-5)),Справочники!$M$3:$N$14,2,0),VALUE(LEFT(G660,FIND(" ",G660)-1))))),"")</f>
        <v>51236</v>
      </c>
      <c r="M660" t="str">
        <f t="shared" si="248"/>
        <v xml:space="preserve">+7 (903) 567-89-01</v>
      </c>
      <c r="N660" t="str">
        <f t="shared" si="249"/>
        <v>loginova@yandex</v>
      </c>
      <c r="O660" t="str">
        <f t="shared" si="250"/>
        <v xml:space="preserve">Ошибка Email</v>
      </c>
      <c r="P660" t="str">
        <f>IFERROR(VLOOKUP(TRIM(SUBSTITUTE(SUBSTITUTE(" "&amp;F660," г "," "),"г.","")),Справочники!$J$3:$K$102,2,0),TRIM(SUBSTITUTE(SUBSTITUTE(" "&amp;F660," г "," "),"г.","")))</f>
        <v>Курган</v>
      </c>
    </row>
    <row r="661">
      <c r="A661" s="3" t="s">
        <v>3331</v>
      </c>
      <c r="B661" s="3" t="s">
        <v>6645</v>
      </c>
      <c r="C661" s="3" t="s">
        <v>6646</v>
      </c>
      <c r="D661" s="3" t="s">
        <v>4116</v>
      </c>
      <c r="E661" s="3" t="s">
        <v>6647</v>
      </c>
      <c r="F661" s="3" t="s">
        <v>4300</v>
      </c>
      <c r="G661" s="3" t="s">
        <v>6648</v>
      </c>
      <c r="H661" t="str">
        <f t="shared" si="245"/>
        <v xml:space="preserve">Ульянов Илья Викторович</v>
      </c>
      <c r="I661" s="5">
        <f>IFERROR(IF(ISNUMBER(FIND("-",C661)),DATE(VALUE(LEFT(C661,4)),VALUE(MID(C661,6,2)),VALUE(RIGHT(C661,2))),IF(ISNUMBER(FIND(".",C661)),DATE(VALUE(RIGHT(C661,4)),VALUE(MID(C661,4,2)),VALUE(LEFT(C661,2))),DATE(VALUE(RIGHT(C661,4)),VLOOKUP(TRIM(MID(C661,FIND(" ",C661)+1,LEN(C661)-FIND(" ",C661)-5)),Справочники!$M$3:$N$14,2,0),VALUE(LEFT(C661,FIND(" ",C661)-1))))),"")</f>
        <v>27106</v>
      </c>
      <c r="J661" s="6">
        <f t="shared" si="246"/>
        <v>52</v>
      </c>
      <c r="K661" t="str">
        <f t="shared" si="247"/>
        <v>ОК</v>
      </c>
      <c r="L661" s="5">
        <f>IFERROR(IF(ISNUMBER(FIND("-",G661)),DATE(VALUE(LEFT(G661,4)),VALUE(MID(G661,6,2)),VALUE(RIGHT(G661,2))),IF(ISNUMBER(FIND(".",G661)),DATE(VALUE(RIGHT(G661,4)),VALUE(MID(G661,4,2)),VALUE(LEFT(G661,2))),DATE(VALUE(RIGHT(G661,4)),VLOOKUP(TRIM(MID(G661,FIND(" ",G661)+1,LEN(G661)-FIND(" ",G661)-5)),Справочники!$M$3:$N$14,2,0),VALUE(LEFT(G661,FIND(" ",G661)-1))))),"")</f>
        <v>51236</v>
      </c>
      <c r="M661" t="str">
        <f t="shared" si="248"/>
        <v xml:space="preserve">+7 (903) 678-90-12</v>
      </c>
      <c r="N661" t="str">
        <f t="shared" si="249"/>
        <v>ulyanov@gmail</v>
      </c>
      <c r="O661" t="str">
        <f t="shared" si="250"/>
        <v xml:space="preserve">Ошибка Email</v>
      </c>
      <c r="P661" t="str">
        <f>IFERROR(VLOOKUP(TRIM(SUBSTITUTE(SUBSTITUTE(" "&amp;F661," г "," "),"г.","")),Справочники!$J$3:$K$102,2,0),TRIM(SUBSTITUTE(SUBSTITUTE(" "&amp;F661," г "," "),"г.","")))</f>
        <v>Архангельск</v>
      </c>
    </row>
    <row r="662">
      <c r="A662" s="3" t="s">
        <v>3334</v>
      </c>
      <c r="B662" s="3" t="s">
        <v>6649</v>
      </c>
      <c r="C662" s="3" t="s">
        <v>6650</v>
      </c>
      <c r="D662" s="3" t="s">
        <v>4122</v>
      </c>
      <c r="E662" s="3" t="s">
        <v>6651</v>
      </c>
      <c r="F662" s="3" t="s">
        <v>4305</v>
      </c>
      <c r="G662" s="3" t="s">
        <v>6652</v>
      </c>
      <c r="H662" t="str">
        <f t="shared" si="245"/>
        <v xml:space="preserve">Пушкарева Екатерина Сергеевна</v>
      </c>
      <c r="I662" s="5">
        <f>IFERROR(IF(ISNUMBER(FIND("-",C662)),DATE(VALUE(LEFT(C662,4)),VALUE(MID(C662,6,2)),VALUE(RIGHT(C662,2))),IF(ISNUMBER(FIND(".",C662)),DATE(VALUE(RIGHT(C662,4)),VALUE(MID(C662,4,2)),VALUE(LEFT(C662,2))),DATE(VALUE(RIGHT(C662,4)),VLOOKUP(TRIM(MID(C662,FIND(" ",C662)+1,LEN(C662)-FIND(" ",C662)-5)),Справочники!$M$3:$N$14,2,0),VALUE(LEFT(C662,FIND(" ",C662)-1))))),"")</f>
        <v>30278</v>
      </c>
      <c r="J662" s="6">
        <f t="shared" si="246"/>
        <v>43</v>
      </c>
      <c r="K662" t="str">
        <f t="shared" si="247"/>
        <v>ОК</v>
      </c>
      <c r="L662" s="5">
        <f>IFERROR(IF(ISNUMBER(FIND("-",G662)),DATE(VALUE(LEFT(G662,4)),VALUE(MID(G662,6,2)),VALUE(RIGHT(G662,2))),IF(ISNUMBER(FIND(".",G662)),DATE(VALUE(RIGHT(G662,4)),VALUE(MID(G662,4,2)),VALUE(LEFT(G662,2))),DATE(VALUE(RIGHT(G662,4)),VLOOKUP(TRIM(MID(G662,FIND(" ",G662)+1,LEN(G662)-FIND(" ",G662)-5)),Справочники!$M$3:$N$14,2,0),VALUE(LEFT(G662,FIND(" ",G662)-1))))),"")</f>
        <v>51257</v>
      </c>
      <c r="M662" t="str">
        <f t="shared" si="248"/>
        <v xml:space="preserve">+7 (903) 678-90-12</v>
      </c>
      <c r="N662" t="str">
        <f t="shared" si="249"/>
        <v>pushkareva@mail</v>
      </c>
      <c r="O662" t="str">
        <f t="shared" si="250"/>
        <v xml:space="preserve">Ошибка Email</v>
      </c>
      <c r="P662" t="str">
        <f>IFERROR(VLOOKUP(TRIM(SUBSTITUTE(SUBSTITUTE(" "&amp;F662," г "," "),"г.","")),Справочники!$J$3:$K$102,2,0),TRIM(SUBSTITUTE(SUBSTITUTE(" "&amp;F662," г "," "),"г.","")))</f>
        <v>Благовещенск</v>
      </c>
    </row>
    <row r="663">
      <c r="A663" s="3" t="s">
        <v>3336</v>
      </c>
      <c r="B663" s="3" t="s">
        <v>6653</v>
      </c>
      <c r="C663" s="3" t="s">
        <v>6654</v>
      </c>
      <c r="D663" s="3" t="s">
        <v>1605</v>
      </c>
      <c r="E663" s="3" t="s">
        <v>6655</v>
      </c>
      <c r="F663" s="3" t="s">
        <v>4310</v>
      </c>
      <c r="G663" s="3" t="s">
        <v>6656</v>
      </c>
      <c r="H663" t="str">
        <f t="shared" si="245"/>
        <v xml:space="preserve">Никитин Андрей Олегович</v>
      </c>
      <c r="I663" s="5">
        <f>IFERROR(IF(ISNUMBER(FIND("-",C663)),DATE(VALUE(LEFT(C663,4)),VALUE(MID(C663,6,2)),VALUE(RIGHT(C663,2))),IF(ISNUMBER(FIND(".",C663)),DATE(VALUE(RIGHT(C663,4)),VALUE(MID(C663,4,2)),VALUE(LEFT(C663,2))),DATE(VALUE(RIGHT(C663,4)),VLOOKUP(TRIM(MID(C663,FIND(" ",C663)+1,LEN(C663)-FIND(" ",C663)-5)),Справочники!$M$3:$N$14,2,0),VALUE(LEFT(C663,FIND(" ",C663)-1))))),"")</f>
        <v>32695</v>
      </c>
      <c r="J663" s="6">
        <f t="shared" si="246"/>
        <v>37</v>
      </c>
      <c r="K663" t="str">
        <f t="shared" si="247"/>
        <v>ОК</v>
      </c>
      <c r="L663" s="5">
        <f>IFERROR(IF(ISNUMBER(FIND("-",G663)),DATE(VALUE(LEFT(G663,4)),VALUE(MID(G663,6,2)),VALUE(RIGHT(G663,2))),IF(ISNUMBER(FIND(".",G663)),DATE(VALUE(RIGHT(G663,4)),VALUE(MID(G663,4,2)),VALUE(LEFT(G663,2))),DATE(VALUE(RIGHT(G663,4)),VLOOKUP(TRIM(MID(G663,FIND(" ",G663)+1,LEN(G663)-FIND(" ",G663)-5)),Справочники!$M$3:$N$14,2,0),VALUE(LEFT(G663,FIND(" ",G663)-1))))),"")</f>
        <v>51271</v>
      </c>
      <c r="M663" t="str">
        <f t="shared" si="248"/>
        <v xml:space="preserve">+7 (903) 678-90-12</v>
      </c>
      <c r="N663" t="str">
        <f t="shared" si="249"/>
        <v>nikitin@yandex</v>
      </c>
      <c r="O663" t="str">
        <f t="shared" si="250"/>
        <v xml:space="preserve">Ошибка Email</v>
      </c>
      <c r="P663" t="str">
        <f>IFERROR(VLOOKUP(TRIM(SUBSTITUTE(SUBSTITUTE(" "&amp;F663," г "," "),"г.","")),Справочники!$J$3:$K$102,2,0),TRIM(SUBSTITUTE(SUBSTITUTE(" "&amp;F663," г "," "),"г.","")))</f>
        <v>Майкоп</v>
      </c>
    </row>
    <row r="664">
      <c r="A664" s="3" t="s">
        <v>3338</v>
      </c>
      <c r="B664" s="3" t="s">
        <v>6657</v>
      </c>
      <c r="C664" s="3" t="s">
        <v>6658</v>
      </c>
      <c r="D664" s="3" t="s">
        <v>4001</v>
      </c>
      <c r="E664" s="3" t="s">
        <v>6659</v>
      </c>
      <c r="F664" s="3" t="s">
        <v>4315</v>
      </c>
      <c r="G664" s="3" t="s">
        <v>6660</v>
      </c>
      <c r="H664" t="str">
        <f t="shared" si="245"/>
        <v xml:space="preserve">Старцева Мария Владимировна</v>
      </c>
      <c r="I664" s="5">
        <f>IFERROR(IF(ISNUMBER(FIND("-",C664)),DATE(VALUE(LEFT(C664,4)),VALUE(MID(C664,6,2)),VALUE(RIGHT(C664,2))),IF(ISNUMBER(FIND(".",C664)),DATE(VALUE(RIGHT(C664,4)),VALUE(MID(C664,4,2)),VALUE(LEFT(C664,2))),DATE(VALUE(RIGHT(C664,4)),VLOOKUP(TRIM(MID(C664,FIND(" ",C664)+1,LEN(C664)-FIND(" ",C664)-5)),Справочники!$M$3:$N$14,2,0),VALUE(LEFT(C664,FIND(" ",C664)-1))))),"")</f>
        <v>27773</v>
      </c>
      <c r="J664" s="6">
        <f t="shared" si="246"/>
        <v>50</v>
      </c>
      <c r="K664" t="str">
        <f t="shared" si="247"/>
        <v>ОК</v>
      </c>
      <c r="L664" s="5">
        <f>IFERROR(IF(ISNUMBER(FIND("-",G664)),DATE(VALUE(LEFT(G664,4)),VALUE(MID(G664,6,2)),VALUE(RIGHT(G664,2))),IF(ISNUMBER(FIND(".",G664)),DATE(VALUE(RIGHT(G664,4)),VALUE(MID(G664,4,2)),VALUE(LEFT(G664,2))),DATE(VALUE(RIGHT(G664,4)),VLOOKUP(TRIM(MID(G664,FIND(" ",G664)+1,LEN(G664)-FIND(" ",G664)-5)),Справочники!$M$3:$N$14,2,0),VALUE(LEFT(G664,FIND(" ",G664)-1))))),"")</f>
        <v>51271</v>
      </c>
      <c r="M664" t="str">
        <f t="shared" si="248"/>
        <v xml:space="preserve">+7 (903) 789-01-23</v>
      </c>
      <c r="N664" t="str">
        <f t="shared" si="249"/>
        <v>startseva@gmail</v>
      </c>
      <c r="O664" t="str">
        <f t="shared" si="250"/>
        <v xml:space="preserve">Ошибка Email</v>
      </c>
      <c r="P664" t="str">
        <f>IFERROR(VLOOKUP(TRIM(SUBSTITUTE(SUBSTITUTE(" "&amp;F664," г "," "),"г.","")),Справочники!$J$3:$K$102,2,0),TRIM(SUBSTITUTE(SUBSTITUTE(" "&amp;F664," г "," "),"г.","")))</f>
        <v>Уссурийск</v>
      </c>
    </row>
    <row r="665">
      <c r="A665" s="3" t="s">
        <v>3340</v>
      </c>
      <c r="B665" s="3" t="s">
        <v>6661</v>
      </c>
      <c r="C665" s="3" t="s">
        <v>6662</v>
      </c>
      <c r="D665" s="3" t="s">
        <v>4138</v>
      </c>
      <c r="E665" s="3" t="s">
        <v>6663</v>
      </c>
      <c r="F665" s="3" t="s">
        <v>4320</v>
      </c>
      <c r="G665" s="3" t="s">
        <v>6664</v>
      </c>
      <c r="H665" t="str">
        <f t="shared" si="245"/>
        <v xml:space="preserve">Моргунов Денис Павлович</v>
      </c>
      <c r="I665" s="5">
        <f>IFERROR(IF(ISNUMBER(FIND("-",C665)),DATE(VALUE(LEFT(C665,4)),VALUE(MID(C665,6,2)),VALUE(RIGHT(C665,2))),IF(ISNUMBER(FIND(".",C665)),DATE(VALUE(RIGHT(C665,4)),VALUE(MID(C665,4,2)),VALUE(LEFT(C665,2))),DATE(VALUE(RIGHT(C665,4)),VLOOKUP(TRIM(MID(C665,FIND(" ",C665)+1,LEN(C665)-FIND(" ",C665)-5)),Справочники!$M$3:$N$14,2,0),VALUE(LEFT(C665,FIND(" ",C665)-1))))),"")</f>
        <v>30586</v>
      </c>
      <c r="J665" s="6">
        <f t="shared" si="246"/>
        <v>43</v>
      </c>
      <c r="K665" t="str">
        <f t="shared" si="247"/>
        <v>ОК</v>
      </c>
      <c r="L665" s="5">
        <f>IFERROR(IF(ISNUMBER(FIND("-",G665)),DATE(VALUE(LEFT(G665,4)),VALUE(MID(G665,6,2)),VALUE(RIGHT(G665,2))),IF(ISNUMBER(FIND(".",G665)),DATE(VALUE(RIGHT(G665,4)),VALUE(MID(G665,4,2)),VALUE(LEFT(G665,2))),DATE(VALUE(RIGHT(G665,4)),VLOOKUP(TRIM(MID(G665,FIND(" ",G665)+1,LEN(G665)-FIND(" ",G665)-5)),Справочники!$M$3:$N$14,2,0),VALUE(LEFT(G665,FIND(" ",G665)-1))))),"")</f>
        <v>51288</v>
      </c>
      <c r="M665" t="str">
        <f t="shared" si="248"/>
        <v xml:space="preserve">+7 (903) 789-01-23</v>
      </c>
      <c r="N665" t="str">
        <f t="shared" si="249"/>
        <v>morgunov@mail</v>
      </c>
      <c r="O665" t="str">
        <f t="shared" si="250"/>
        <v xml:space="preserve">Ошибка Email</v>
      </c>
      <c r="P665" t="str">
        <f>IFERROR(VLOOKUP(TRIM(SUBSTITUTE(SUBSTITUTE(" "&amp;F665," г "," "),"г.","")),Справочники!$J$3:$K$102,2,0),TRIM(SUBSTITUTE(SUBSTITUTE(" "&amp;F665," г "," "),"г.","")))</f>
        <v>Миасс</v>
      </c>
    </row>
    <row r="666">
      <c r="A666" s="3" t="s">
        <v>3342</v>
      </c>
      <c r="B666" s="3" t="s">
        <v>6665</v>
      </c>
      <c r="C666" s="3" t="s">
        <v>6666</v>
      </c>
      <c r="D666" s="3" t="s">
        <v>4144</v>
      </c>
      <c r="E666" s="3" t="s">
        <v>6667</v>
      </c>
      <c r="F666" s="3" t="s">
        <v>4325</v>
      </c>
      <c r="G666" s="3" t="s">
        <v>6668</v>
      </c>
      <c r="H666" t="str">
        <f t="shared" si="245"/>
        <v xml:space="preserve">Астахова Ольга Сергеевна</v>
      </c>
      <c r="I666" s="5">
        <f>IFERROR(IF(ISNUMBER(FIND("-",C666)),DATE(VALUE(LEFT(C666,4)),VALUE(MID(C666,6,2)),VALUE(RIGHT(C666,2))),IF(ISNUMBER(FIND(".",C666)),DATE(VALUE(RIGHT(C666,4)),VALUE(MID(C666,4,2)),VALUE(LEFT(C666,2))),DATE(VALUE(RIGHT(C666,4)),VLOOKUP(TRIM(MID(C666,FIND(" ",C666)+1,LEN(C666)-FIND(" ",C666)-5)),Справочники!$M$3:$N$14,2,0),VALUE(LEFT(C666,FIND(" ",C666)-1))))),"")</f>
        <v>32242</v>
      </c>
      <c r="J666" s="6">
        <f t="shared" si="246"/>
        <v>38</v>
      </c>
      <c r="K666" t="str">
        <f t="shared" si="247"/>
        <v>ОК</v>
      </c>
      <c r="L666" s="5">
        <f>IFERROR(IF(ISNUMBER(FIND("-",G666)),DATE(VALUE(LEFT(G666,4)),VALUE(MID(G666,6,2)),VALUE(RIGHT(G666,2))),IF(ISNUMBER(FIND(".",G666)),DATE(VALUE(RIGHT(G666,4)),VALUE(MID(G666,4,2)),VALUE(LEFT(G666,2))),DATE(VALUE(RIGHT(G666,4)),VLOOKUP(TRIM(MID(G666,FIND(" ",G666)+1,LEN(G666)-FIND(" ",G666)-5)),Справочники!$M$3:$N$14,2,0),VALUE(LEFT(G666,FIND(" ",G666)-1))))),"")</f>
        <v>51297</v>
      </c>
      <c r="M666" t="str">
        <f t="shared" si="248"/>
        <v xml:space="preserve">+7 (903) 789-01-23</v>
      </c>
      <c r="N666" t="str">
        <f t="shared" si="249"/>
        <v>astahova@yandex</v>
      </c>
      <c r="O666" t="str">
        <f t="shared" si="250"/>
        <v xml:space="preserve">Ошибка Email</v>
      </c>
      <c r="P666" t="str">
        <f>IFERROR(VLOOKUP(TRIM(SUBSTITUTE(SUBSTITUTE(" "&amp;F666," г "," "),"г.","")),Справочники!$J$3:$K$102,2,0),TRIM(SUBSTITUTE(SUBSTITUTE(" "&amp;F666," г "," "),"г.","")))</f>
        <v>Кызыл</v>
      </c>
    </row>
    <row r="667">
      <c r="A667" s="3" t="s">
        <v>3343</v>
      </c>
      <c r="B667" s="3" t="s">
        <v>6669</v>
      </c>
      <c r="C667" s="3" t="s">
        <v>6670</v>
      </c>
      <c r="D667" s="3" t="s">
        <v>4150</v>
      </c>
      <c r="E667" s="3" t="s">
        <v>6671</v>
      </c>
      <c r="F667" s="3" t="s">
        <v>4330</v>
      </c>
      <c r="G667" s="3" t="s">
        <v>6672</v>
      </c>
      <c r="H667" t="str">
        <f t="shared" si="245"/>
        <v xml:space="preserve">Кириченко Илья Александрович</v>
      </c>
      <c r="I667" s="5">
        <f>IFERROR(IF(ISNUMBER(FIND("-",C667)),DATE(VALUE(LEFT(C667,4)),VALUE(MID(C667,6,2)),VALUE(RIGHT(C667,2))),IF(ISNUMBER(FIND(".",C667)),DATE(VALUE(RIGHT(C667,4)),VALUE(MID(C667,4,2)),VALUE(LEFT(C667,2))),DATE(VALUE(RIGHT(C667,4)),VLOOKUP(TRIM(MID(C667,FIND(" ",C667)+1,LEN(C667)-FIND(" ",C667)-5)),Справочники!$M$3:$N$14,2,0),VALUE(LEFT(C667,FIND(" ",C667)-1))))),"")</f>
        <v>27625</v>
      </c>
      <c r="J667" s="6">
        <f t="shared" si="246"/>
        <v>51</v>
      </c>
      <c r="K667" t="str">
        <f t="shared" si="247"/>
        <v>ОК</v>
      </c>
      <c r="L667" s="5">
        <f>IFERROR(IF(ISNUMBER(FIND("-",G667)),DATE(VALUE(LEFT(G667,4)),VALUE(MID(G667,6,2)),VALUE(RIGHT(G667,2))),IF(ISNUMBER(FIND(".",G667)),DATE(VALUE(RIGHT(G667,4)),VALUE(MID(G667,4,2)),VALUE(LEFT(G667,2))),DATE(VALUE(RIGHT(G667,4)),VLOOKUP(TRIM(MID(G667,FIND(" ",G667)+1,LEN(G667)-FIND(" ",G667)-5)),Справочники!$M$3:$N$14,2,0),VALUE(LEFT(G667,FIND(" ",G667)-1))))),"")</f>
        <v>51297</v>
      </c>
      <c r="M667" t="str">
        <f t="shared" si="248"/>
        <v xml:space="preserve">+7 (903) 890-12-34</v>
      </c>
      <c r="N667" t="str">
        <f t="shared" si="249"/>
        <v>kirichenko@gmail</v>
      </c>
      <c r="O667" t="str">
        <f t="shared" si="250"/>
        <v xml:space="preserve">Ошибка Email</v>
      </c>
      <c r="P667" t="str">
        <f>IFERROR(VLOOKUP(TRIM(SUBSTITUTE(SUBSTITUTE(" "&amp;F667," г "," "),"г.","")),Справочники!$J$3:$K$102,2,0),TRIM(SUBSTITUTE(SUBSTITUTE(" "&amp;F667," г "," "),"г.","")))</f>
        <v>Калининград</v>
      </c>
    </row>
    <row r="668">
      <c r="A668" s="3" t="s">
        <v>3346</v>
      </c>
      <c r="B668" s="3" t="s">
        <v>6673</v>
      </c>
      <c r="C668" s="3" t="s">
        <v>6674</v>
      </c>
      <c r="D668" s="3" t="s">
        <v>4007</v>
      </c>
      <c r="E668" s="3" t="s">
        <v>6675</v>
      </c>
      <c r="F668" s="3" t="s">
        <v>4335</v>
      </c>
      <c r="G668" s="3" t="s">
        <v>6676</v>
      </c>
      <c r="H668" t="str">
        <f t="shared" si="245"/>
        <v xml:space="preserve">Борисова Екатерина Алексеевна</v>
      </c>
      <c r="I668" s="5">
        <f>IFERROR(IF(ISNUMBER(FIND("-",C668)),DATE(VALUE(LEFT(C668,4)),VALUE(MID(C668,6,2)),VALUE(RIGHT(C668,2))),IF(ISNUMBER(FIND(".",C668)),DATE(VALUE(RIGHT(C668,4)),VALUE(MID(C668,4,2)),VALUE(LEFT(C668,2))),DATE(VALUE(RIGHT(C668,4)),VLOOKUP(TRIM(MID(C668,FIND(" ",C668)+1,LEN(C668)-FIND(" ",C668)-5)),Справочники!$M$3:$N$14,2,0),VALUE(LEFT(C668,FIND(" ",C668)-1))))),"")</f>
        <v>30989</v>
      </c>
      <c r="J668" s="6">
        <f t="shared" si="246"/>
        <v>41</v>
      </c>
      <c r="K668" t="str">
        <f t="shared" si="247"/>
        <v>ОК</v>
      </c>
      <c r="L668" s="5">
        <f>IFERROR(IF(ISNUMBER(FIND("-",G668)),DATE(VALUE(LEFT(G668,4)),VALUE(MID(G668,6,2)),VALUE(RIGHT(G668,2))),IF(ISNUMBER(FIND(".",G668)),DATE(VALUE(RIGHT(G668,4)),VALUE(MID(G668,4,2)),VALUE(LEFT(G668,2))),DATE(VALUE(RIGHT(G668,4)),VLOOKUP(TRIM(MID(G668,FIND(" ",G668)+1,LEN(G668)-FIND(" ",G668)-5)),Справочники!$M$3:$N$14,2,0),VALUE(LEFT(G668,FIND(" ",G668)-1))))),"")</f>
        <v>51318</v>
      </c>
      <c r="M668" t="str">
        <f t="shared" si="248"/>
        <v xml:space="preserve">+7 (903) 890-12-34</v>
      </c>
      <c r="N668" t="str">
        <f t="shared" si="249"/>
        <v>borisova@mail</v>
      </c>
      <c r="O668" t="str">
        <f t="shared" si="250"/>
        <v xml:space="preserve">Ошибка Email</v>
      </c>
      <c r="P668" t="str">
        <f>IFERROR(VLOOKUP(TRIM(SUBSTITUTE(SUBSTITUTE(" "&amp;F668," г "," "),"г.","")),Справочники!$J$3:$K$102,2,0),TRIM(SUBSTITUTE(SUBSTITUTE(" "&amp;F668," г "," "),"г.","")))</f>
        <v>Петрозаводск</v>
      </c>
    </row>
    <row r="669">
      <c r="A669" s="3" t="s">
        <v>3347</v>
      </c>
      <c r="B669" s="3" t="s">
        <v>6677</v>
      </c>
      <c r="C669" s="3" t="s">
        <v>6678</v>
      </c>
      <c r="D669" s="3" t="s">
        <v>1619</v>
      </c>
      <c r="E669" s="3" t="s">
        <v>6679</v>
      </c>
      <c r="F669" s="3" t="s">
        <v>4340</v>
      </c>
      <c r="G669" s="3" t="s">
        <v>6680</v>
      </c>
      <c r="H669" t="str">
        <f t="shared" si="245"/>
        <v xml:space="preserve">Гусев Андрей Олегович</v>
      </c>
      <c r="I669" s="5">
        <f>IFERROR(IF(ISNUMBER(FIND("-",C669)),DATE(VALUE(LEFT(C669,4)),VALUE(MID(C669,6,2)),VALUE(RIGHT(C669,2))),IF(ISNUMBER(FIND(".",C669)),DATE(VALUE(RIGHT(C669,4)),VALUE(MID(C669,4,2)),VALUE(LEFT(C669,2))),DATE(VALUE(RIGHT(C669,4)),VLOOKUP(TRIM(MID(C669,FIND(" ",C669)+1,LEN(C669)-FIND(" ",C669)-5)),Справочники!$M$3:$N$14,2,0),VALUE(LEFT(C669,FIND(" ",C669)-1))))),"")</f>
        <v>33285</v>
      </c>
      <c r="J669" s="6">
        <f t="shared" si="246"/>
        <v>35</v>
      </c>
      <c r="K669" t="str">
        <f t="shared" si="247"/>
        <v>ОК</v>
      </c>
      <c r="L669" s="5">
        <f>IFERROR(IF(ISNUMBER(FIND("-",G669)),DATE(VALUE(LEFT(G669,4)),VALUE(MID(G669,6,2)),VALUE(RIGHT(G669,2))),IF(ISNUMBER(FIND(".",G669)),DATE(VALUE(RIGHT(G669,4)),VALUE(MID(G669,4,2)),VALUE(LEFT(G669,2))),DATE(VALUE(RIGHT(G669,4)),VLOOKUP(TRIM(MID(G669,FIND(" ",G669)+1,LEN(G669)-FIND(" ",G669)-5)),Справочники!$M$3:$N$14,2,0),VALUE(LEFT(G669,FIND(" ",G669)-1))))),"")</f>
        <v>51332</v>
      </c>
      <c r="M669" t="str">
        <f t="shared" si="248"/>
        <v xml:space="preserve">+7 (903) 890-12-34</v>
      </c>
      <c r="N669" t="str">
        <f t="shared" si="249"/>
        <v>gusev@yandex</v>
      </c>
      <c r="O669" t="str">
        <f t="shared" si="250"/>
        <v xml:space="preserve">Ошибка Email</v>
      </c>
      <c r="P669" t="str">
        <f>IFERROR(VLOOKUP(TRIM(SUBSTITUTE(SUBSTITUTE(" "&amp;F669," г "," "),"г.","")),Справочники!$J$3:$K$102,2,0),TRIM(SUBSTITUTE(SUBSTITUTE(" "&amp;F669," г "," "),"г.","")))</f>
        <v>Рубцовск</v>
      </c>
    </row>
    <row r="670">
      <c r="A670" s="3" t="s">
        <v>3350</v>
      </c>
      <c r="B670" s="3" t="s">
        <v>6681</v>
      </c>
      <c r="C670" s="3" t="s">
        <v>6682</v>
      </c>
      <c r="D670" s="3" t="s">
        <v>4018</v>
      </c>
      <c r="E670" s="3" t="s">
        <v>4483</v>
      </c>
      <c r="F670" s="3" t="s">
        <v>4345</v>
      </c>
      <c r="G670" s="3" t="s">
        <v>6683</v>
      </c>
      <c r="H670" t="str">
        <f t="shared" si="245"/>
        <v xml:space="preserve">Серова Мария Павловна</v>
      </c>
      <c r="I670" s="5">
        <f>IFERROR(IF(ISNUMBER(FIND("-",C670)),DATE(VALUE(LEFT(C670,4)),VALUE(MID(C670,6,2)),VALUE(RIGHT(C670,2))),IF(ISNUMBER(FIND(".",C670)),DATE(VALUE(RIGHT(C670,4)),VALUE(MID(C670,4,2)),VALUE(LEFT(C670,2))),DATE(VALUE(RIGHT(C670,4)),VLOOKUP(TRIM(MID(C670,FIND(" ",C670)+1,LEN(C670)-FIND(" ",C670)-5)),Справочники!$M$3:$N$14,2,0),VALUE(LEFT(C670,FIND(" ",C670)-1))))),"")</f>
        <v>28269</v>
      </c>
      <c r="J670" s="6">
        <f t="shared" si="246"/>
        <v>49</v>
      </c>
      <c r="K670" t="str">
        <f t="shared" si="247"/>
        <v>ОК</v>
      </c>
      <c r="L670" s="5">
        <f>IFERROR(IF(ISNUMBER(FIND("-",G670)),DATE(VALUE(LEFT(G670,4)),VALUE(MID(G670,6,2)),VALUE(RIGHT(G670,2))),IF(ISNUMBER(FIND(".",G670)),DATE(VALUE(RIGHT(G670,4)),VALUE(MID(G670,4,2)),VALUE(LEFT(G670,2))),DATE(VALUE(RIGHT(G670,4)),VLOOKUP(TRIM(MID(G670,FIND(" ",G670)+1,LEN(G670)-FIND(" ",G670)-5)),Справочники!$M$3:$N$14,2,0),VALUE(LEFT(G670,FIND(" ",G670)-1))))),"")</f>
        <v>51332</v>
      </c>
      <c r="M670" t="str">
        <f t="shared" si="248"/>
        <v xml:space="preserve">+7 (903) 901-23-45</v>
      </c>
      <c r="N670" t="str">
        <f t="shared" si="249"/>
        <v>serova@gmail</v>
      </c>
      <c r="O670" t="str">
        <f t="shared" si="250"/>
        <v xml:space="preserve">Ошибка Email</v>
      </c>
      <c r="P670" t="str">
        <f>IFERROR(VLOOKUP(TRIM(SUBSTITUTE(SUBSTITUTE(" "&amp;F670," г "," "),"г.","")),Справочники!$J$3:$K$102,2,0),TRIM(SUBSTITUTE(SUBSTITUTE(" "&amp;F670," г "," "),"г.","")))</f>
        <v>Элиста</v>
      </c>
    </row>
    <row r="671">
      <c r="A671" s="3" t="s">
        <v>3351</v>
      </c>
      <c r="B671" s="3" t="s">
        <v>6684</v>
      </c>
      <c r="C671" s="3" t="s">
        <v>6685</v>
      </c>
      <c r="D671" s="3" t="s">
        <v>1626</v>
      </c>
      <c r="E671" s="3" t="s">
        <v>6686</v>
      </c>
      <c r="F671" s="3" t="s">
        <v>4350</v>
      </c>
      <c r="G671" s="3" t="s">
        <v>6687</v>
      </c>
      <c r="H671" t="str">
        <f t="shared" si="245"/>
        <v xml:space="preserve">Чернов Денис Викторович</v>
      </c>
      <c r="I671" s="5">
        <f>IFERROR(IF(ISNUMBER(FIND("-",C671)),DATE(VALUE(LEFT(C671,4)),VALUE(MID(C671,6,2)),VALUE(RIGHT(C671,2))),IF(ISNUMBER(FIND(".",C671)),DATE(VALUE(RIGHT(C671,4)),VALUE(MID(C671,4,2)),VALUE(LEFT(C671,2))),DATE(VALUE(RIGHT(C671,4)),VLOOKUP(TRIM(MID(C671,FIND(" ",C671)+1,LEN(C671)-FIND(" ",C671)-5)),Справочники!$M$3:$N$14,2,0),VALUE(LEFT(C671,FIND(" ",C671)-1))))),"")</f>
        <v>31634</v>
      </c>
      <c r="J671" s="6">
        <f t="shared" si="246"/>
        <v>40</v>
      </c>
      <c r="K671" t="str">
        <f t="shared" si="247"/>
        <v>ОК</v>
      </c>
      <c r="L671" s="5">
        <f>IFERROR(IF(ISNUMBER(FIND("-",G671)),DATE(VALUE(LEFT(G671,4)),VALUE(MID(G671,6,2)),VALUE(RIGHT(G671,2))),IF(ISNUMBER(FIND(".",G671)),DATE(VALUE(RIGHT(G671,4)),VALUE(MID(G671,4,2)),VALUE(LEFT(G671,2))),DATE(VALUE(RIGHT(G671,4)),VLOOKUP(TRIM(MID(G671,FIND(" ",G671)+1,LEN(G671)-FIND(" ",G671)-5)),Справочники!$M$3:$N$14,2,0),VALUE(LEFT(G671,FIND(" ",G671)-1))))),"")</f>
        <v>51349</v>
      </c>
      <c r="M671" t="str">
        <f t="shared" si="248"/>
        <v xml:space="preserve">+7 (903) 901-23-45</v>
      </c>
      <c r="N671" t="str">
        <f t="shared" si="249"/>
        <v>chernov@mail</v>
      </c>
      <c r="O671" t="str">
        <f t="shared" si="250"/>
        <v xml:space="preserve">Ошибка Email</v>
      </c>
      <c r="P671" t="str">
        <f>IFERROR(VLOOKUP(TRIM(SUBSTITUTE(SUBSTITUTE(" "&amp;F671," г "," "),"г.","")),Справочники!$J$3:$K$102,2,0),TRIM(SUBSTITUTE(SUBSTITUTE(" "&amp;F671," г "," "),"г.","")))</f>
        <v>Орск</v>
      </c>
    </row>
    <row r="672">
      <c r="A672" s="3" t="s">
        <v>3353</v>
      </c>
      <c r="B672" s="3" t="s">
        <v>6688</v>
      </c>
      <c r="C672" s="3" t="s">
        <v>6689</v>
      </c>
      <c r="D672" s="3" t="s">
        <v>4176</v>
      </c>
      <c r="E672" s="3" t="s">
        <v>6690</v>
      </c>
      <c r="F672" s="3" t="s">
        <v>4355</v>
      </c>
      <c r="G672" s="3" t="s">
        <v>6691</v>
      </c>
      <c r="H672" t="str">
        <f t="shared" si="245"/>
        <v xml:space="preserve">Козлова Ольга Владимировна</v>
      </c>
      <c r="I672" s="5">
        <f>IFERROR(IF(ISNUMBER(FIND("-",C672)),DATE(VALUE(LEFT(C672,4)),VALUE(MID(C672,6,2)),VALUE(RIGHT(C672,2))),IF(ISNUMBER(FIND(".",C672)),DATE(VALUE(RIGHT(C672,4)),VALUE(MID(C672,4,2)),VALUE(LEFT(C672,2))),DATE(VALUE(RIGHT(C672,4)),VLOOKUP(TRIM(MID(C672,FIND(" ",C672)+1,LEN(C672)-FIND(" ",C672)-5)),Справочники!$M$3:$N$14,2,0),VALUE(LEFT(C672,FIND(" ",C672)-1))))),"")</f>
        <v>29309</v>
      </c>
      <c r="J672" s="6">
        <f t="shared" si="246"/>
        <v>46</v>
      </c>
      <c r="K672" t="str">
        <f t="shared" si="247"/>
        <v>ОК</v>
      </c>
      <c r="L672" s="5">
        <f>IFERROR(IF(ISNUMBER(FIND("-",G672)),DATE(VALUE(LEFT(G672,4)),VALUE(MID(G672,6,2)),VALUE(RIGHT(G672,2))),IF(ISNUMBER(FIND(".",G672)),DATE(VALUE(RIGHT(G672,4)),VALUE(MID(G672,4,2)),VALUE(LEFT(G672,2))),DATE(VALUE(RIGHT(G672,4)),VLOOKUP(TRIM(MID(G672,FIND(" ",G672)+1,LEN(G672)-FIND(" ",G672)-5)),Справочники!$M$3:$N$14,2,0),VALUE(LEFT(G672,FIND(" ",G672)-1))))),"")</f>
        <v>51358</v>
      </c>
      <c r="M672" t="str">
        <f t="shared" si="248"/>
        <v xml:space="preserve">+7 (903) 901-23-45</v>
      </c>
      <c r="N672" t="str">
        <f t="shared" si="249"/>
        <v>kozlova@yandex</v>
      </c>
      <c r="O672" t="str">
        <f t="shared" si="250"/>
        <v xml:space="preserve">Ошибка Email</v>
      </c>
      <c r="P672" t="str">
        <f>IFERROR(VLOOKUP(TRIM(SUBSTITUTE(SUBSTITUTE(" "&amp;F672," г "," "),"г.","")),Справочники!$J$3:$K$102,2,0),TRIM(SUBSTITUTE(SUBSTITUTE(" "&amp;F672," г "," "),"г.","")))</f>
        <v>Нижневартовск</v>
      </c>
    </row>
    <row r="673">
      <c r="A673" s="3" t="s">
        <v>3355</v>
      </c>
      <c r="B673" s="3" t="s">
        <v>6692</v>
      </c>
      <c r="C673" s="3" t="s">
        <v>6693</v>
      </c>
      <c r="D673" s="3" t="s">
        <v>4182</v>
      </c>
      <c r="E673" s="3" t="s">
        <v>6694</v>
      </c>
      <c r="F673" s="3" t="s">
        <v>4360</v>
      </c>
      <c r="G673" s="3" t="s">
        <v>6695</v>
      </c>
      <c r="H673" t="str">
        <f t="shared" si="245"/>
        <v xml:space="preserve">Орлов Илья Алексеевич</v>
      </c>
      <c r="I673" s="5">
        <f>IFERROR(IF(ISNUMBER(FIND("-",C673)),DATE(VALUE(LEFT(C673,4)),VALUE(MID(C673,6,2)),VALUE(RIGHT(C673,2))),IF(ISNUMBER(FIND(".",C673)),DATE(VALUE(RIGHT(C673,4)),VALUE(MID(C673,4,2)),VALUE(LEFT(C673,2))),DATE(VALUE(RIGHT(C673,4)),VLOOKUP(TRIM(MID(C673,FIND(" ",C673)+1,LEN(C673)-FIND(" ",C673)-5)),Справочники!$M$3:$N$14,2,0),VALUE(LEFT(C673,FIND(" ",C673)-1))))),"")</f>
        <v>26649</v>
      </c>
      <c r="J673" s="6">
        <f t="shared" si="246"/>
        <v>53</v>
      </c>
      <c r="K673" t="str">
        <f t="shared" si="247"/>
        <v>ОК</v>
      </c>
      <c r="L673" s="5">
        <f>IFERROR(IF(ISNUMBER(FIND("-",G673)),DATE(VALUE(LEFT(G673,4)),VALUE(MID(G673,6,2)),VALUE(RIGHT(G673,2))),IF(ISNUMBER(FIND(".",G673)),DATE(VALUE(RIGHT(G673,4)),VALUE(MID(G673,4,2)),VALUE(LEFT(G673,2))),DATE(VALUE(RIGHT(G673,4)),VLOOKUP(TRIM(MID(G673,FIND(" ",G673)+1,LEN(G673)-FIND(" ",G673)-5)),Справочники!$M$3:$N$14,2,0),VALUE(LEFT(G673,FIND(" ",G673)-1))))),"")</f>
        <v>51358</v>
      </c>
      <c r="M673" t="str">
        <f t="shared" si="248"/>
        <v xml:space="preserve">+7 (903) 012-34-56</v>
      </c>
      <c r="N673" t="str">
        <f t="shared" si="249"/>
        <v>orlov@gmail</v>
      </c>
      <c r="O673" t="str">
        <f t="shared" si="250"/>
        <v xml:space="preserve">Ошибка Email</v>
      </c>
      <c r="P673" t="str">
        <f>IFERROR(VLOOKUP(TRIM(SUBSTITUTE(SUBSTITUTE(" "&amp;F673," г "," "),"г.","")),Справочники!$J$3:$K$102,2,0),TRIM(SUBSTITUTE(SUBSTITUTE(" "&amp;F673," г "," "),"г.","")))</f>
        <v>Новороссийск</v>
      </c>
    </row>
    <row r="674">
      <c r="A674" s="3" t="s">
        <v>3357</v>
      </c>
      <c r="B674" s="3" t="s">
        <v>6696</v>
      </c>
      <c r="C674" s="3" t="s">
        <v>6697</v>
      </c>
      <c r="D674" s="3" t="s">
        <v>4188</v>
      </c>
      <c r="E674" s="3" t="s">
        <v>6698</v>
      </c>
      <c r="F674" s="3" t="s">
        <v>4365</v>
      </c>
      <c r="G674" s="3" t="s">
        <v>6699</v>
      </c>
      <c r="H674" t="str">
        <f t="shared" si="245"/>
        <v xml:space="preserve">Панфилова Екатерина Сергеевна</v>
      </c>
      <c r="I674" s="5">
        <f>IFERROR(IF(ISNUMBER(FIND("-",C674)),DATE(VALUE(LEFT(C674,4)),VALUE(MID(C674,6,2)),VALUE(RIGHT(C674,2))),IF(ISNUMBER(FIND(".",C674)),DATE(VALUE(RIGHT(C674,4)),VALUE(MID(C674,4,2)),VALUE(LEFT(C674,2))),DATE(VALUE(RIGHT(C674,4)),VLOOKUP(TRIM(MID(C674,FIND(" ",C674)+1,LEN(C674)-FIND(" ",C674)-5)),Справочники!$M$3:$N$14,2,0),VALUE(LEFT(C674,FIND(" ",C674)-1))))),"")</f>
        <v>31240</v>
      </c>
      <c r="J674" s="6">
        <f t="shared" si="246"/>
        <v>41</v>
      </c>
      <c r="K674" t="str">
        <f t="shared" si="247"/>
        <v>ОК</v>
      </c>
      <c r="L674" s="5">
        <f>IFERROR(IF(ISNUMBER(FIND("-",G674)),DATE(VALUE(LEFT(G674,4)),VALUE(MID(G674,6,2)),VALUE(RIGHT(G674,2))),IF(ISNUMBER(FIND(".",G674)),DATE(VALUE(RIGHT(G674,4)),VALUE(MID(G674,4,2)),VALUE(LEFT(G674,2))),DATE(VALUE(RIGHT(G674,4)),VLOOKUP(TRIM(MID(G674,FIND(" ",G674)+1,LEN(G674)-FIND(" ",G674)-5)),Справочники!$M$3:$N$14,2,0),VALUE(LEFT(G674,FIND(" ",G674)-1))))),"")</f>
        <v>51380</v>
      </c>
      <c r="M674" t="str">
        <f t="shared" si="248"/>
        <v xml:space="preserve">+7 (903) 012-34-56</v>
      </c>
      <c r="N674" t="str">
        <f t="shared" si="249"/>
        <v>panfilova@mail</v>
      </c>
      <c r="O674" t="str">
        <f t="shared" si="250"/>
        <v xml:space="preserve">Ошибка Email</v>
      </c>
      <c r="P674" t="str">
        <f>IFERROR(VLOOKUP(TRIM(SUBSTITUTE(SUBSTITUTE(" "&amp;F674," г "," "),"г.","")),Справочники!$J$3:$K$102,2,0),TRIM(SUBSTITUTE(SUBSTITUTE(" "&amp;F674," г "," "),"г.","")))</f>
        <v>Химки</v>
      </c>
    </row>
    <row r="675">
      <c r="A675" s="3" t="s">
        <v>3359</v>
      </c>
      <c r="B675" s="3" t="s">
        <v>6700</v>
      </c>
      <c r="C675" s="3" t="s">
        <v>6701</v>
      </c>
      <c r="D675" s="3" t="s">
        <v>1633</v>
      </c>
      <c r="E675" s="3" t="s">
        <v>6702</v>
      </c>
      <c r="F675" s="3" t="s">
        <v>4370</v>
      </c>
      <c r="G675" s="3" t="s">
        <v>6703</v>
      </c>
      <c r="H675" t="str">
        <f t="shared" si="245"/>
        <v xml:space="preserve">Крутов Андрей Павлович</v>
      </c>
      <c r="I675" s="5">
        <f>IFERROR(IF(ISNUMBER(FIND("-",C675)),DATE(VALUE(LEFT(C675,4)),VALUE(MID(C675,6,2)),VALUE(RIGHT(C675,2))),IF(ISNUMBER(FIND(".",C675)),DATE(VALUE(RIGHT(C675,4)),VALUE(MID(C675,4,2)),VALUE(LEFT(C675,2))),DATE(VALUE(RIGHT(C675,4)),VLOOKUP(TRIM(MID(C675,FIND(" ",C675)+1,LEN(C675)-FIND(" ",C675)-5)),Справочники!$M$3:$N$14,2,0),VALUE(LEFT(C675,FIND(" ",C675)-1))))),"")</f>
        <v>33167</v>
      </c>
      <c r="J675" s="6">
        <f t="shared" si="246"/>
        <v>36</v>
      </c>
      <c r="K675" t="str">
        <f t="shared" si="247"/>
        <v>ОК</v>
      </c>
      <c r="L675" s="5">
        <f>IFERROR(IF(ISNUMBER(FIND("-",G675)),DATE(VALUE(LEFT(G675,4)),VALUE(MID(G675,6,2)),VALUE(RIGHT(G675,2))),IF(ISNUMBER(FIND(".",G675)),DATE(VALUE(RIGHT(G675,4)),VALUE(MID(G675,4,2)),VALUE(LEFT(G675,2))),DATE(VALUE(RIGHT(G675,4)),VLOOKUP(TRIM(MID(G675,FIND(" ",G675)+1,LEN(G675)-FIND(" ",G675)-5)),Справочники!$M$3:$N$14,2,0),VALUE(LEFT(G675,FIND(" ",G675)-1))))),"")</f>
        <v>51394</v>
      </c>
      <c r="M675" t="str">
        <f t="shared" si="248"/>
        <v xml:space="preserve">+7 (903) 012-34-56</v>
      </c>
      <c r="N675" t="str">
        <f t="shared" si="249"/>
        <v>krutov@yandex</v>
      </c>
      <c r="O675" t="str">
        <f t="shared" si="250"/>
        <v xml:space="preserve">Ошибка Email</v>
      </c>
      <c r="P675" t="str">
        <f>IFERROR(VLOOKUP(TRIM(SUBSTITUTE(SUBSTITUTE(" "&amp;F675," г "," "),"г.","")),Справочники!$J$3:$K$102,2,0),TRIM(SUBSTITUTE(SUBSTITUTE(" "&amp;F675," г "," "),"г.","")))</f>
        <v>Подольск</v>
      </c>
    </row>
    <row r="676">
      <c r="A676" s="3" t="s">
        <v>3361</v>
      </c>
      <c r="B676" s="3" t="s">
        <v>6704</v>
      </c>
      <c r="C676" s="3" t="s">
        <v>6705</v>
      </c>
      <c r="D676" s="3" t="s">
        <v>4034</v>
      </c>
      <c r="E676" s="3" t="s">
        <v>6706</v>
      </c>
      <c r="F676" s="3" t="s">
        <v>4375</v>
      </c>
      <c r="G676" s="3" t="s">
        <v>6707</v>
      </c>
      <c r="H676" t="str">
        <f t="shared" ref="H676:H739" si="251">PROPER(TRIM(B676))</f>
        <v xml:space="preserve">Силина Мария Олеговна</v>
      </c>
      <c r="I676" s="5">
        <f>IFERROR(IF(ISNUMBER(FIND("-",C676)),DATE(VALUE(LEFT(C676,4)),VALUE(MID(C676,6,2)),VALUE(RIGHT(C676,2))),IF(ISNUMBER(FIND(".",C676)),DATE(VALUE(RIGHT(C676,4)),VALUE(MID(C676,4,2)),VALUE(LEFT(C676,2))),DATE(VALUE(RIGHT(C676,4)),VLOOKUP(TRIM(MID(C676,FIND(" ",C676)+1,LEN(C676)-FIND(" ",C676)-5)),Справочники!$M$3:$N$14,2,0),VALUE(LEFT(C676,FIND(" ",C676)-1))))),"")</f>
        <v>28649</v>
      </c>
      <c r="J676" s="6">
        <f t="shared" ref="J676:J739" si="252">IF(I676="","",DATEDIF(I676,TODAY(),"Y"))</f>
        <v>48</v>
      </c>
      <c r="K676" t="str">
        <f t="shared" ref="K676:K739" si="253">IF(OR(I676="",J676&lt;18,J676&gt;120),"Ошибка даты рождения","ОК")</f>
        <v>ОК</v>
      </c>
      <c r="L676" s="5">
        <f>IFERROR(IF(ISNUMBER(FIND("-",G676)),DATE(VALUE(LEFT(G676,4)),VALUE(MID(G676,6,2)),VALUE(RIGHT(G676,2))),IF(ISNUMBER(FIND(".",G676)),DATE(VALUE(RIGHT(G676,4)),VALUE(MID(G676,4,2)),VALUE(LEFT(G676,2))),DATE(VALUE(RIGHT(G676,4)),VLOOKUP(TRIM(MID(G676,FIND(" ",G676)+1,LEN(G676)-FIND(" ",G676)-5)),Справочники!$M$3:$N$14,2,0),VALUE(LEFT(G676,FIND(" ",G676)-1))))),"")</f>
        <v>51394</v>
      </c>
      <c r="M676" t="str">
        <f t="shared" ref="M676:M739" si="254">IF(LEN(SUBSTITUTE(SUBSTITUTE(SUBSTITUTE(SUBSTITUTE(SUBSTITUTE(D676,"+",""),"-","")," ",""),"(",""),")",""))&lt;10,"Ошибка телефона","+7 ("&amp;MID(RIGHT(SUBSTITUTE(SUBSTITUTE(SUBSTITUTE(SUBSTITUTE(SUBSTITUTE(D676,"+",""),"-","")," ",""),"(",""),")",""),10),1,3)&amp;") "&amp;MID(RIGHT(SUBSTITUTE(SUBSTITUTE(SUBSTITUTE(SUBSTITUTE(SUBSTITUTE(D676,"+",""),"-","")," ",""),"(",""),")",""),10),4,3)&amp;"-"&amp;MID(RIGHT(SUBSTITUTE(SUBSTITUTE(SUBSTITUTE(SUBSTITUTE(SUBSTITUTE(D676,"+",""),"-","")," ",""),"(",""),")",""),10),7,2)&amp;"-"&amp;RIGHT(SUBSTITUTE(SUBSTITUTE(SUBSTITUTE(SUBSTITUTE(SUBSTITUTE(D676,"+",""),"-","")," ",""),"(",""),")",""),2))</f>
        <v xml:space="preserve">+7 (903) 123-45-67</v>
      </c>
      <c r="N676" t="str">
        <f t="shared" ref="N676:N739" si="255">LOWER(SUBSTITUTE(TRIM(E676)," ",""))</f>
        <v>silina@gmail</v>
      </c>
      <c r="O676" t="str">
        <f t="shared" ref="O676:O739" si="256">IF(AND(ISNUMBER(FIND("@",N676)),ISNUMBER(FIND(".",N676,FIND("@",N676)+2))),"ОК","Ошибка Email")</f>
        <v xml:space="preserve">Ошибка Email</v>
      </c>
      <c r="P676" t="str">
        <f>IFERROR(VLOOKUP(TRIM(SUBSTITUTE(SUBSTITUTE(" "&amp;F676," г "," "),"г.","")),Справочники!$J$3:$K$102,2,0),TRIM(SUBSTITUTE(SUBSTITUTE(" "&amp;F676," г "," "),"г.","")))</f>
        <v>Балашиха</v>
      </c>
    </row>
    <row r="677">
      <c r="A677" s="3" t="s">
        <v>3363</v>
      </c>
      <c r="B677" s="3" t="s">
        <v>6708</v>
      </c>
      <c r="C677" s="3" t="s">
        <v>6709</v>
      </c>
      <c r="D677" s="3" t="s">
        <v>4040</v>
      </c>
      <c r="E677" s="3" t="s">
        <v>6710</v>
      </c>
      <c r="F677" s="3" t="s">
        <v>4380</v>
      </c>
      <c r="G677" s="3" t="s">
        <v>6711</v>
      </c>
      <c r="H677" t="str">
        <f t="shared" si="251"/>
        <v xml:space="preserve">Дорохов Денис Сергеевич</v>
      </c>
      <c r="I677" s="5">
        <f>IFERROR(IF(ISNUMBER(FIND("-",C677)),DATE(VALUE(LEFT(C677,4)),VALUE(MID(C677,6,2)),VALUE(RIGHT(C677,2))),IF(ISNUMBER(FIND(".",C677)),DATE(VALUE(RIGHT(C677,4)),VALUE(MID(C677,4,2)),VALUE(LEFT(C677,2))),DATE(VALUE(RIGHT(C677,4)),VLOOKUP(TRIM(MID(C677,FIND(" ",C677)+1,LEN(C677)-FIND(" ",C677)-5)),Справочники!$M$3:$N$14,2,0),VALUE(LEFT(C677,FIND(" ",C677)-1))))),"")</f>
        <v>30333</v>
      </c>
      <c r="J677" s="6">
        <f t="shared" si="252"/>
        <v>43</v>
      </c>
      <c r="K677" t="str">
        <f t="shared" si="253"/>
        <v>ОК</v>
      </c>
      <c r="L677" s="5">
        <f>IFERROR(IF(ISNUMBER(FIND("-",G677)),DATE(VALUE(LEFT(G677,4)),VALUE(MID(G677,6,2)),VALUE(RIGHT(G677,2))),IF(ISNUMBER(FIND(".",G677)),DATE(VALUE(RIGHT(G677,4)),VALUE(MID(G677,4,2)),VALUE(LEFT(G677,2))),DATE(VALUE(RIGHT(G677,4)),VLOOKUP(TRIM(MID(G677,FIND(" ",G677)+1,LEN(G677)-FIND(" ",G677)-5)),Справочники!$M$3:$N$14,2,0),VALUE(LEFT(G677,FIND(" ",G677)-1))))),"")</f>
        <v>51410</v>
      </c>
      <c r="M677" t="str">
        <f t="shared" si="254"/>
        <v xml:space="preserve">+7 (903) 123-45-67</v>
      </c>
      <c r="N677" t="str">
        <f t="shared" si="255"/>
        <v>dorohov@mail</v>
      </c>
      <c r="O677" t="str">
        <f t="shared" si="256"/>
        <v xml:space="preserve">Ошибка Email</v>
      </c>
      <c r="P677" t="str">
        <f>IFERROR(VLOOKUP(TRIM(SUBSTITUTE(SUBSTITUTE(" "&amp;F677," г "," "),"г.","")),Справочники!$J$3:$K$102,2,0),TRIM(SUBSTITUTE(SUBSTITUTE(" "&amp;F677," г "," "),"г.","")))</f>
        <v>Сургут</v>
      </c>
    </row>
    <row r="678">
      <c r="A678" s="3" t="s">
        <v>3366</v>
      </c>
      <c r="B678" s="3" t="s">
        <v>6712</v>
      </c>
      <c r="C678" s="3" t="s">
        <v>6713</v>
      </c>
      <c r="D678" s="3" t="s">
        <v>1570</v>
      </c>
      <c r="E678" s="3" t="s">
        <v>6714</v>
      </c>
      <c r="F678" s="3" t="s">
        <v>4385</v>
      </c>
      <c r="G678" s="3" t="s">
        <v>6715</v>
      </c>
      <c r="H678" t="str">
        <f t="shared" si="251"/>
        <v xml:space="preserve">Семенова Ольга Павловна</v>
      </c>
      <c r="I678" s="5">
        <f>IFERROR(IF(ISNUMBER(FIND("-",C678)),DATE(VALUE(LEFT(C678,4)),VALUE(MID(C678,6,2)),VALUE(RIGHT(C678,2))),IF(ISNUMBER(FIND(".",C678)),DATE(VALUE(RIGHT(C678,4)),VALUE(MID(C678,4,2)),VALUE(LEFT(C678,2))),DATE(VALUE(RIGHT(C678,4)),VLOOKUP(TRIM(MID(C678,FIND(" ",C678)+1,LEN(C678)-FIND(" ",C678)-5)),Справочники!$M$3:$N$14,2,0),VALUE(LEFT(C678,FIND(" ",C678)-1))))),"")</f>
        <v>31872</v>
      </c>
      <c r="J678" s="6">
        <f t="shared" si="252"/>
        <v>39</v>
      </c>
      <c r="K678" t="str">
        <f t="shared" si="253"/>
        <v>ОК</v>
      </c>
      <c r="L678" s="5">
        <f>IFERROR(IF(ISNUMBER(FIND("-",G678)),DATE(VALUE(LEFT(G678,4)),VALUE(MID(G678,6,2)),VALUE(RIGHT(G678,2))),IF(ISNUMBER(FIND(".",G678)),DATE(VALUE(RIGHT(G678,4)),VALUE(MID(G678,4,2)),VALUE(LEFT(G678,2))),DATE(VALUE(RIGHT(G678,4)),VLOOKUP(TRIM(MID(G678,FIND(" ",G678)+1,LEN(G678)-FIND(" ",G678)-5)),Справочники!$M$3:$N$14,2,0),VALUE(LEFT(G678,FIND(" ",G678)-1))))),"")</f>
        <v>51419</v>
      </c>
      <c r="M678" t="str">
        <f t="shared" si="254"/>
        <v xml:space="preserve">+7 (903) 123-45-67</v>
      </c>
      <c r="N678" t="str">
        <f t="shared" si="255"/>
        <v>semenova@yandex</v>
      </c>
      <c r="O678" t="str">
        <f t="shared" si="256"/>
        <v xml:space="preserve">Ошибка Email</v>
      </c>
      <c r="P678" t="str">
        <f>IFERROR(VLOOKUP(TRIM(SUBSTITUTE(SUBSTITUTE(" "&amp;F678," г "," "),"г.","")),Справочники!$J$3:$K$102,2,0),TRIM(SUBSTITUTE(SUBSTITUTE(" "&amp;F678," г "," "),"г.","")))</f>
        <v>Армавир</v>
      </c>
    </row>
    <row r="679">
      <c r="A679" s="3" t="s">
        <v>3368</v>
      </c>
      <c r="B679" s="3" t="s">
        <v>6716</v>
      </c>
      <c r="C679" s="3" t="s">
        <v>6717</v>
      </c>
      <c r="D679" s="3" t="s">
        <v>4051</v>
      </c>
      <c r="E679" s="3" t="s">
        <v>6718</v>
      </c>
      <c r="F679" s="3" t="s">
        <v>4390</v>
      </c>
      <c r="G679" s="3" t="s">
        <v>6719</v>
      </c>
      <c r="H679" t="str">
        <f t="shared" si="251"/>
        <v xml:space="preserve">Потапов Илья Викторович</v>
      </c>
      <c r="I679" s="5">
        <f>IFERROR(IF(ISNUMBER(FIND("-",C679)),DATE(VALUE(LEFT(C679,4)),VALUE(MID(C679,6,2)),VALUE(RIGHT(C679,2))),IF(ISNUMBER(FIND(".",C679)),DATE(VALUE(RIGHT(C679,4)),VALUE(MID(C679,4,2)),VALUE(LEFT(C679,2))),DATE(VALUE(RIGHT(C679,4)),VLOOKUP(TRIM(MID(C679,FIND(" ",C679)+1,LEN(C679)-FIND(" ",C679)-5)),Справочники!$M$3:$N$14,2,0),VALUE(LEFT(C679,FIND(" ",C679)-1))))),"")</f>
        <v>27232</v>
      </c>
      <c r="J679" s="6">
        <f t="shared" si="252"/>
        <v>52</v>
      </c>
      <c r="K679" t="str">
        <f t="shared" si="253"/>
        <v>ОК</v>
      </c>
      <c r="L679" s="5">
        <f>IFERROR(IF(ISNUMBER(FIND("-",G679)),DATE(VALUE(LEFT(G679,4)),VALUE(MID(G679,6,2)),VALUE(RIGHT(G679,2))),IF(ISNUMBER(FIND(".",G679)),DATE(VALUE(RIGHT(G679,4)),VALUE(MID(G679,4,2)),VALUE(LEFT(G679,2))),DATE(VALUE(RIGHT(G679,4)),VLOOKUP(TRIM(MID(G679,FIND(" ",G679)+1,LEN(G679)-FIND(" ",G679)-5)),Справочники!$M$3:$N$14,2,0),VALUE(LEFT(G679,FIND(" ",G679)-1))))),"")</f>
        <v>51419</v>
      </c>
      <c r="M679" t="str">
        <f t="shared" si="254"/>
        <v xml:space="preserve">+7 (903) 234-56-78</v>
      </c>
      <c r="N679" t="str">
        <f t="shared" si="255"/>
        <v>potapov@gmail</v>
      </c>
      <c r="O679" t="str">
        <f t="shared" si="256"/>
        <v xml:space="preserve">Ошибка Email</v>
      </c>
      <c r="P679" t="str">
        <f>IFERROR(VLOOKUP(TRIM(SUBSTITUTE(SUBSTITUTE(" "&amp;F679," г "," "),"г.","")),Справочники!$J$3:$K$102,2,0),TRIM(SUBSTITUTE(SUBSTITUTE(" "&amp;F679," г "," "),"г.","")))</f>
        <v>Волжский</v>
      </c>
    </row>
    <row r="680">
      <c r="A680" s="3" t="s">
        <v>3371</v>
      </c>
      <c r="B680" s="3" t="s">
        <v>6720</v>
      </c>
      <c r="C680" s="3" t="s">
        <v>6721</v>
      </c>
      <c r="D680" s="3" t="s">
        <v>4057</v>
      </c>
      <c r="E680" s="3" t="s">
        <v>6722</v>
      </c>
      <c r="F680" s="3" t="s">
        <v>4395</v>
      </c>
      <c r="G680" s="3" t="s">
        <v>6723</v>
      </c>
      <c r="H680" t="str">
        <f t="shared" si="251"/>
        <v xml:space="preserve">Кудряшова Екатерина Алексеевна</v>
      </c>
      <c r="I680" s="5">
        <f>IFERROR(IF(ISNUMBER(FIND("-",C680)),DATE(VALUE(LEFT(C680,4)),VALUE(MID(C680,6,2)),VALUE(RIGHT(C680,2))),IF(ISNUMBER(FIND(".",C680)),DATE(VALUE(RIGHT(C680,4)),VALUE(MID(C680,4,2)),VALUE(LEFT(C680,2))),DATE(VALUE(RIGHT(C680,4)),VLOOKUP(TRIM(MID(C680,FIND(" ",C680)+1,LEN(C680)-FIND(" ",C680)-5)),Справочники!$M$3:$N$14,2,0),VALUE(LEFT(C680,FIND(" ",C680)-1))))),"")</f>
        <v>30238</v>
      </c>
      <c r="J680" s="6">
        <f t="shared" si="252"/>
        <v>44</v>
      </c>
      <c r="K680" t="str">
        <f t="shared" si="253"/>
        <v>ОК</v>
      </c>
      <c r="L680" s="5">
        <f>IFERROR(IF(ISNUMBER(FIND("-",G680)),DATE(VALUE(LEFT(G680,4)),VALUE(MID(G680,6,2)),VALUE(RIGHT(G680,2))),IF(ISNUMBER(FIND(".",G680)),DATE(VALUE(RIGHT(G680,4)),VALUE(MID(G680,4,2)),VALUE(LEFT(G680,2))),DATE(VALUE(RIGHT(G680,4)),VLOOKUP(TRIM(MID(G680,FIND(" ",G680)+1,LEN(G680)-FIND(" ",G680)-5)),Справочники!$M$3:$N$14,2,0),VALUE(LEFT(G680,FIND(" ",G680)-1))))),"")</f>
        <v>51441</v>
      </c>
      <c r="M680" t="str">
        <f t="shared" si="254"/>
        <v xml:space="preserve">+7 (903) 234-56-78</v>
      </c>
      <c r="N680" t="str">
        <f t="shared" si="255"/>
        <v>kudryashova@mail</v>
      </c>
      <c r="O680" t="str">
        <f t="shared" si="256"/>
        <v xml:space="preserve">Ошибка Email</v>
      </c>
      <c r="P680" t="str">
        <f>IFERROR(VLOOKUP(TRIM(SUBSTITUTE(SUBSTITUTE(" "&amp;F680," г "," "),"г.","")),Справочники!$J$3:$K$102,2,0),TRIM(SUBSTITUTE(SUBSTITUTE(" "&amp;F680," г "," "),"г.","")))</f>
        <v>Шахты</v>
      </c>
    </row>
    <row r="681">
      <c r="A681" s="3" t="s">
        <v>3372</v>
      </c>
      <c r="B681" s="3" t="s">
        <v>6724</v>
      </c>
      <c r="C681" s="3" t="s">
        <v>6725</v>
      </c>
      <c r="D681" s="3" t="s">
        <v>1712</v>
      </c>
      <c r="E681" s="3" t="s">
        <v>6726</v>
      </c>
      <c r="F681" s="3" t="s">
        <v>4400</v>
      </c>
      <c r="G681" s="3" t="s">
        <v>6727</v>
      </c>
      <c r="H681" t="str">
        <f t="shared" si="251"/>
        <v xml:space="preserve">Семенюк Андрей Олегович</v>
      </c>
      <c r="I681" s="5">
        <f>IFERROR(IF(ISNUMBER(FIND("-",C681)),DATE(VALUE(LEFT(C681,4)),VALUE(MID(C681,6,2)),VALUE(RIGHT(C681,2))),IF(ISNUMBER(FIND(".",C681)),DATE(VALUE(RIGHT(C681,4)),VALUE(MID(C681,4,2)),VALUE(LEFT(C681,2))),DATE(VALUE(RIGHT(C681,4)),VLOOKUP(TRIM(MID(C681,FIND(" ",C681)+1,LEN(C681)-FIND(" ",C681)-5)),Справочники!$M$3:$N$14,2,0),VALUE(LEFT(C681,FIND(" ",C681)-1))))),"")</f>
        <v>32547</v>
      </c>
      <c r="J681" s="6">
        <f t="shared" si="252"/>
        <v>37</v>
      </c>
      <c r="K681" t="str">
        <f t="shared" si="253"/>
        <v>ОК</v>
      </c>
      <c r="L681" s="5">
        <f>IFERROR(IF(ISNUMBER(FIND("-",G681)),DATE(VALUE(LEFT(G681,4)),VALUE(MID(G681,6,2)),VALUE(RIGHT(G681,2))),IF(ISNUMBER(FIND(".",G681)),DATE(VALUE(RIGHT(G681,4)),VALUE(MID(G681,4,2)),VALUE(LEFT(G681,2))),DATE(VALUE(RIGHT(G681,4)),VLOOKUP(TRIM(MID(G681,FIND(" ",G681)+1,LEN(G681)-FIND(" ",G681)-5)),Справочники!$M$3:$N$14,2,0),VALUE(LEFT(G681,FIND(" ",G681)-1))))),"")</f>
        <v>51455</v>
      </c>
      <c r="M681" t="str">
        <f t="shared" si="254"/>
        <v xml:space="preserve">+7 (903) 234-56-78</v>
      </c>
      <c r="N681" t="str">
        <f t="shared" si="255"/>
        <v>semenyuk@yandex</v>
      </c>
      <c r="O681" t="str">
        <f t="shared" si="256"/>
        <v xml:space="preserve">Ошибка Email</v>
      </c>
      <c r="P681" t="str">
        <f>IFERROR(VLOOKUP(TRIM(SUBSTITUTE(SUBSTITUTE(" "&amp;F681," г "," "),"г.","")),Справочники!$J$3:$K$102,2,0),TRIM(SUBSTITUTE(SUBSTITUTE(" "&amp;F681," г "," "),"г.","")))</f>
        <v>Златоуст</v>
      </c>
    </row>
    <row r="682">
      <c r="A682" s="3" t="s">
        <v>3374</v>
      </c>
      <c r="B682" s="3" t="s">
        <v>6728</v>
      </c>
      <c r="C682" s="3" t="s">
        <v>6729</v>
      </c>
      <c r="D682" s="3" t="s">
        <v>1584</v>
      </c>
      <c r="E682" s="3" t="s">
        <v>6730</v>
      </c>
      <c r="F682" s="3" t="s">
        <v>4405</v>
      </c>
      <c r="G682" s="3" t="s">
        <v>6731</v>
      </c>
      <c r="H682" t="str">
        <f t="shared" si="251"/>
        <v xml:space="preserve">Устинова Мария Владимировна</v>
      </c>
      <c r="I682" s="5">
        <f>IFERROR(IF(ISNUMBER(FIND("-",C682)),DATE(VALUE(LEFT(C682,4)),VALUE(MID(C682,6,2)),VALUE(RIGHT(C682,2))),IF(ISNUMBER(FIND(".",C682)),DATE(VALUE(RIGHT(C682,4)),VALUE(MID(C682,4,2)),VALUE(LEFT(C682,2))),DATE(VALUE(RIGHT(C682,4)),VLOOKUP(TRIM(MID(C682,FIND(" ",C682)+1,LEN(C682)-FIND(" ",C682)-5)),Справочники!$M$3:$N$14,2,0),VALUE(LEFT(C682,FIND(" ",C682)-1))))),"")</f>
        <v>29002</v>
      </c>
      <c r="J682" s="6">
        <f t="shared" si="252"/>
        <v>47</v>
      </c>
      <c r="K682" t="str">
        <f t="shared" si="253"/>
        <v>ОК</v>
      </c>
      <c r="L682" s="5">
        <f>IFERROR(IF(ISNUMBER(FIND("-",G682)),DATE(VALUE(LEFT(G682,4)),VALUE(MID(G682,6,2)),VALUE(RIGHT(G682,2))),IF(ISNUMBER(FIND(".",G682)),DATE(VALUE(RIGHT(G682,4)),VALUE(MID(G682,4,2)),VALUE(LEFT(G682,2))),DATE(VALUE(RIGHT(G682,4)),VLOOKUP(TRIM(MID(G682,FIND(" ",G682)+1,LEN(G682)-FIND(" ",G682)-5)),Справочники!$M$3:$N$14,2,0),VALUE(LEFT(G682,FIND(" ",G682)-1))))),"")</f>
        <v>51455</v>
      </c>
      <c r="M682" t="str">
        <f t="shared" si="254"/>
        <v xml:space="preserve">+7 (903) 345-67-89</v>
      </c>
      <c r="N682" t="str">
        <f t="shared" si="255"/>
        <v>ustinova@gmail</v>
      </c>
      <c r="O682" t="str">
        <f t="shared" si="256"/>
        <v xml:space="preserve">Ошибка Email</v>
      </c>
      <c r="P682" t="str">
        <f>IFERROR(VLOOKUP(TRIM(SUBSTITUTE(SUBSTITUTE(" "&amp;F682," г "," "),"г.","")),Справочники!$J$3:$K$102,2,0),TRIM(SUBSTITUTE(SUBSTITUTE(" "&amp;F682," г "," "),"г.","")))</f>
        <v>Ангарск</v>
      </c>
    </row>
    <row r="683">
      <c r="A683" s="3" t="s">
        <v>3375</v>
      </c>
      <c r="B683" s="3" t="s">
        <v>6732</v>
      </c>
      <c r="C683" s="3" t="s">
        <v>6733</v>
      </c>
      <c r="D683" s="3" t="s">
        <v>4073</v>
      </c>
      <c r="E683" s="3" t="s">
        <v>6734</v>
      </c>
      <c r="F683" s="3" t="s">
        <v>4410</v>
      </c>
      <c r="G683" s="3" t="s">
        <v>6735</v>
      </c>
      <c r="H683" t="str">
        <f t="shared" si="251"/>
        <v xml:space="preserve">Баев Денис Павлович</v>
      </c>
      <c r="I683" s="5">
        <f>IFERROR(IF(ISNUMBER(FIND("-",C683)),DATE(VALUE(LEFT(C683,4)),VALUE(MID(C683,6,2)),VALUE(RIGHT(C683,2))),IF(ISNUMBER(FIND(".",C683)),DATE(VALUE(RIGHT(C683,4)),VALUE(MID(C683,4,2)),VALUE(LEFT(C683,2))),DATE(VALUE(RIGHT(C683,4)),VLOOKUP(TRIM(MID(C683,FIND(" ",C683)+1,LEN(C683)-FIND(" ",C683)-5)),Справочники!$M$3:$N$14,2,0),VALUE(LEFT(C683,FIND(" ",C683)-1))))),"")</f>
        <v>31399</v>
      </c>
      <c r="J683" s="6">
        <f t="shared" si="252"/>
        <v>40</v>
      </c>
      <c r="K683" t="str">
        <f t="shared" si="253"/>
        <v>ОК</v>
      </c>
      <c r="L683" s="5">
        <f>IFERROR(IF(ISNUMBER(FIND("-",G683)),DATE(VALUE(LEFT(G683,4)),VALUE(MID(G683,6,2)),VALUE(RIGHT(G683,2))),IF(ISNUMBER(FIND(".",G683)),DATE(VALUE(RIGHT(G683,4)),VALUE(MID(G683,4,2)),VALUE(LEFT(G683,2))),DATE(VALUE(RIGHT(G683,4)),VLOOKUP(TRIM(MID(G683,FIND(" ",G683)+1,LEN(G683)-FIND(" ",G683)-5)),Справочники!$M$3:$N$14,2,0),VALUE(LEFT(G683,FIND(" ",G683)-1))))),"")</f>
        <v>51471</v>
      </c>
      <c r="M683" t="str">
        <f t="shared" si="254"/>
        <v xml:space="preserve">+7 (903) 345-67-89</v>
      </c>
      <c r="N683" t="str">
        <f t="shared" si="255"/>
        <v>baev@mail</v>
      </c>
      <c r="O683" t="str">
        <f t="shared" si="256"/>
        <v xml:space="preserve">Ошибка Email</v>
      </c>
      <c r="P683" t="str">
        <f>IFERROR(VLOOKUP(TRIM(SUBSTITUTE(SUBSTITUTE(" "&amp;F683," г "," "),"г.","")),Справочники!$J$3:$K$102,2,0),TRIM(SUBSTITUTE(SUBSTITUTE(" "&amp;F683," г "," "),"г.","")))</f>
        <v>Озёрск</v>
      </c>
    </row>
    <row r="684">
      <c r="A684" s="3" t="s">
        <v>3378</v>
      </c>
      <c r="B684" s="3" t="s">
        <v>6736</v>
      </c>
      <c r="C684" s="3" t="s">
        <v>6737</v>
      </c>
      <c r="D684" s="3" t="s">
        <v>4079</v>
      </c>
      <c r="E684" s="3" t="s">
        <v>6738</v>
      </c>
      <c r="F684" s="3" t="s">
        <v>4415</v>
      </c>
      <c r="G684" s="3" t="s">
        <v>6739</v>
      </c>
      <c r="H684" t="str">
        <f t="shared" si="251"/>
        <v xml:space="preserve">Хрусталева Ольга Сергеевна</v>
      </c>
      <c r="I684" s="5">
        <f>IFERROR(IF(ISNUMBER(FIND("-",C684)),DATE(VALUE(LEFT(C684,4)),VALUE(MID(C684,6,2)),VALUE(RIGHT(C684,2))),IF(ISNUMBER(FIND(".",C684)),DATE(VALUE(RIGHT(C684,4)),VALUE(MID(C684,4,2)),VALUE(LEFT(C684,2))),DATE(VALUE(RIGHT(C684,4)),VLOOKUP(TRIM(MID(C684,FIND(" ",C684)+1,LEN(C684)-FIND(" ",C684)-5)),Справочники!$M$3:$N$14,2,0),VALUE(LEFT(C684,FIND(" ",C684)-1))))),"")</f>
        <v>33817</v>
      </c>
      <c r="J684" s="6">
        <f t="shared" si="252"/>
        <v>34</v>
      </c>
      <c r="K684" t="str">
        <f t="shared" si="253"/>
        <v>ОК</v>
      </c>
      <c r="L684" s="5">
        <f>IFERROR(IF(ISNUMBER(FIND("-",G684)),DATE(VALUE(LEFT(G684,4)),VALUE(MID(G684,6,2)),VALUE(RIGHT(G684,2))),IF(ISNUMBER(FIND(".",G684)),DATE(VALUE(RIGHT(G684,4)),VALUE(MID(G684,4,2)),VALUE(LEFT(G684,2))),DATE(VALUE(RIGHT(G684,4)),VLOOKUP(TRIM(MID(G684,FIND(" ",G684)+1,LEN(G684)-FIND(" ",G684)-5)),Справочники!$M$3:$N$14,2,0),VALUE(LEFT(G684,FIND(" ",G684)-1))))),"")</f>
        <v>51480</v>
      </c>
      <c r="M684" t="str">
        <f t="shared" si="254"/>
        <v xml:space="preserve">+7 (903) 345-67-89</v>
      </c>
      <c r="N684" t="str">
        <f t="shared" si="255"/>
        <v>hrustaleva@yandex</v>
      </c>
      <c r="O684" t="str">
        <f t="shared" si="256"/>
        <v xml:space="preserve">Ошибка Email</v>
      </c>
      <c r="P684" t="str">
        <f>IFERROR(VLOOKUP(TRIM(SUBSTITUTE(SUBSTITUTE(" "&amp;F684," г "," "),"г.","")),Справочники!$J$3:$K$102,2,0),TRIM(SUBSTITUTE(SUBSTITUTE(" "&amp;F684," г "," "),"г.","")))</f>
        <v>Орел</v>
      </c>
    </row>
    <row r="685">
      <c r="A685" s="3" t="s">
        <v>3380</v>
      </c>
      <c r="B685" s="3" t="s">
        <v>6740</v>
      </c>
      <c r="C685" s="3" t="s">
        <v>6741</v>
      </c>
      <c r="D685" s="3" t="s">
        <v>4085</v>
      </c>
      <c r="E685" s="3" t="s">
        <v>6742</v>
      </c>
      <c r="F685" s="3" t="s">
        <v>4184</v>
      </c>
      <c r="G685" s="3" t="s">
        <v>6743</v>
      </c>
      <c r="H685" t="str">
        <f t="shared" si="251"/>
        <v xml:space="preserve">Романов Илья Александрович</v>
      </c>
      <c r="I685" s="5">
        <f>IFERROR(IF(ISNUMBER(FIND("-",C685)),DATE(VALUE(LEFT(C685,4)),VALUE(MID(C685,6,2)),VALUE(RIGHT(C685,2))),IF(ISNUMBER(FIND(".",C685)),DATE(VALUE(RIGHT(C685,4)),VALUE(MID(C685,4,2)),VALUE(LEFT(C685,2))),DATE(VALUE(RIGHT(C685,4)),VLOOKUP(TRIM(MID(C685,FIND(" ",C685)+1,LEN(C685)-FIND(" ",C685)-5)),Справочники!$M$3:$N$14,2,0),VALUE(LEFT(C685,FIND(" ",C685)-1))))),"")</f>
        <v>27842</v>
      </c>
      <c r="J685" s="6">
        <f t="shared" si="252"/>
        <v>50</v>
      </c>
      <c r="K685" t="str">
        <f t="shared" si="253"/>
        <v>ОК</v>
      </c>
      <c r="L685" s="5">
        <f>IFERROR(IF(ISNUMBER(FIND("-",G685)),DATE(VALUE(LEFT(G685,4)),VALUE(MID(G685,6,2)),VALUE(RIGHT(G685,2))),IF(ISNUMBER(FIND(".",G685)),DATE(VALUE(RIGHT(G685,4)),VALUE(MID(G685,4,2)),VALUE(LEFT(G685,2))),DATE(VALUE(RIGHT(G685,4)),VLOOKUP(TRIM(MID(G685,FIND(" ",G685)+1,LEN(G685)-FIND(" ",G685)-5)),Справочники!$M$3:$N$14,2,0),VALUE(LEFT(G685,FIND(" ",G685)-1))))),"")</f>
        <v>51480</v>
      </c>
      <c r="M685" t="str">
        <f t="shared" si="254"/>
        <v xml:space="preserve">+7 (903) 456-78-90</v>
      </c>
      <c r="N685" t="str">
        <f t="shared" si="255"/>
        <v>romanov@gmail</v>
      </c>
      <c r="O685" t="str">
        <f t="shared" si="256"/>
        <v xml:space="preserve">Ошибка Email</v>
      </c>
      <c r="P685" t="str">
        <f>IFERROR(VLOOKUP(TRIM(SUBSTITUTE(SUBSTITUTE(" "&amp;F685," г "," "),"г.","")),Справочники!$J$3:$K$102,2,0),TRIM(SUBSTITUTE(SUBSTITUTE(" "&amp;F685," г "," "),"г.","")))</f>
        <v>Магнитогорск</v>
      </c>
    </row>
    <row r="686">
      <c r="A686" s="3" t="s">
        <v>3382</v>
      </c>
      <c r="B686" s="3" t="s">
        <v>6744</v>
      </c>
      <c r="C686" s="3" t="s">
        <v>6745</v>
      </c>
      <c r="D686" s="3" t="s">
        <v>1591</v>
      </c>
      <c r="E686" s="3" t="s">
        <v>6746</v>
      </c>
      <c r="F686" s="3" t="s">
        <v>4205</v>
      </c>
      <c r="G686" s="3" t="s">
        <v>6747</v>
      </c>
      <c r="H686" t="str">
        <f t="shared" si="251"/>
        <v xml:space="preserve">Добрынина Екатерина Владимировна</v>
      </c>
      <c r="I686" s="5">
        <f>IFERROR(IF(ISNUMBER(FIND("-",C686)),DATE(VALUE(LEFT(C686,4)),VALUE(MID(C686,6,2)),VALUE(RIGHT(C686,2))),IF(ISNUMBER(FIND(".",C686)),DATE(VALUE(RIGHT(C686,4)),VALUE(MID(C686,4,2)),VALUE(LEFT(C686,2))),DATE(VALUE(RIGHT(C686,4)),VLOOKUP(TRIM(MID(C686,FIND(" ",C686)+1,LEN(C686)-FIND(" ",C686)-5)),Справочники!$M$3:$N$14,2,0),VALUE(LEFT(C686,FIND(" ",C686)-1))))),"")</f>
        <v>29897</v>
      </c>
      <c r="J686" s="6">
        <f t="shared" si="252"/>
        <v>44</v>
      </c>
      <c r="K686" t="str">
        <f t="shared" si="253"/>
        <v>ОК</v>
      </c>
      <c r="L686" s="5">
        <f>IFERROR(IF(ISNUMBER(FIND("-",G686)),DATE(VALUE(LEFT(G686,4)),VALUE(MID(G686,6,2)),VALUE(RIGHT(G686,2))),IF(ISNUMBER(FIND(".",G686)),DATE(VALUE(RIGHT(G686,4)),VALUE(MID(G686,4,2)),VALUE(LEFT(G686,2))),DATE(VALUE(RIGHT(G686,4)),VLOOKUP(TRIM(MID(G686,FIND(" ",G686)+1,LEN(G686)-FIND(" ",G686)-5)),Справочники!$M$3:$N$14,2,0),VALUE(LEFT(G686,FIND(" ",G686)-1))))),"")</f>
        <v>51502</v>
      </c>
      <c r="M686" t="str">
        <f t="shared" si="254"/>
        <v xml:space="preserve">+7 (903) 456-78-90</v>
      </c>
      <c r="N686" t="str">
        <f t="shared" si="255"/>
        <v>dobrynina@mail</v>
      </c>
      <c r="O686" t="str">
        <f t="shared" si="256"/>
        <v xml:space="preserve">Ошибка Email</v>
      </c>
      <c r="P686" t="str">
        <f>IFERROR(VLOOKUP(TRIM(SUBSTITUTE(SUBSTITUTE(" "&amp;F686," г "," "),"г.","")),Справочники!$J$3:$K$102,2,0),TRIM(SUBSTITUTE(SUBSTITUTE(" "&amp;F686," г "," "),"г.","")))</f>
        <v>Якутск</v>
      </c>
    </row>
    <row r="687">
      <c r="A687" s="3" t="s">
        <v>3383</v>
      </c>
      <c r="B687" s="3" t="s">
        <v>6748</v>
      </c>
      <c r="C687" s="3" t="s">
        <v>6749</v>
      </c>
      <c r="D687" s="3" t="s">
        <v>1660</v>
      </c>
      <c r="E687" s="3" t="s">
        <v>6750</v>
      </c>
      <c r="F687" s="3" t="s">
        <v>4152</v>
      </c>
      <c r="G687" s="3" t="s">
        <v>6751</v>
      </c>
      <c r="H687" t="str">
        <f t="shared" si="251"/>
        <v xml:space="preserve">Некрасов Андрей Олегович</v>
      </c>
      <c r="I687" s="5">
        <f>IFERROR(IF(ISNUMBER(FIND("-",C687)),DATE(VALUE(LEFT(C687,4)),VALUE(MID(C687,6,2)),VALUE(RIGHT(C687,2))),IF(ISNUMBER(FIND(".",C687)),DATE(VALUE(RIGHT(C687,4)),VALUE(MID(C687,4,2)),VALUE(LEFT(C687,2))),DATE(VALUE(RIGHT(C687,4)),VLOOKUP(TRIM(MID(C687,FIND(" ",C687)+1,LEN(C687)-FIND(" ",C687)-5)),Справочники!$M$3:$N$14,2,0),VALUE(LEFT(C687,FIND(" ",C687)-1))))),"")</f>
        <v>32401</v>
      </c>
      <c r="J687" s="6">
        <f t="shared" si="252"/>
        <v>38</v>
      </c>
      <c r="K687" t="str">
        <f t="shared" si="253"/>
        <v>ОК</v>
      </c>
      <c r="L687" s="5">
        <f>IFERROR(IF(ISNUMBER(FIND("-",G687)),DATE(VALUE(LEFT(G687,4)),VALUE(MID(G687,6,2)),VALUE(RIGHT(G687,2))),IF(ISNUMBER(FIND(".",G687)),DATE(VALUE(RIGHT(G687,4)),VALUE(MID(G687,4,2)),VALUE(LEFT(G687,2))),DATE(VALUE(RIGHT(G687,4)),VLOOKUP(TRIM(MID(G687,FIND(" ",G687)+1,LEN(G687)-FIND(" ",G687)-5)),Справочники!$M$3:$N$14,2,0),VALUE(LEFT(G687,FIND(" ",G687)-1))))),"")</f>
        <v>51516</v>
      </c>
      <c r="M687" t="str">
        <f t="shared" si="254"/>
        <v xml:space="preserve">+7 (903) 456-78-90</v>
      </c>
      <c r="N687" t="str">
        <f t="shared" si="255"/>
        <v>nekrasov@yandex</v>
      </c>
      <c r="O687" t="str">
        <f t="shared" si="256"/>
        <v xml:space="preserve">Ошибка Email</v>
      </c>
      <c r="P687" t="str">
        <f>IFERROR(VLOOKUP(TRIM(SUBSTITUTE(SUBSTITUTE(" "&amp;F687," г "," "),"г.","")),Справочники!$J$3:$K$102,2,0),TRIM(SUBSTITUTE(SUBSTITUTE(" "&amp;F687," г "," "),"г.","")))</f>
        <v>Чебоксары</v>
      </c>
    </row>
    <row r="688">
      <c r="A688" s="3" t="s">
        <v>3385</v>
      </c>
      <c r="B688" s="3" t="s">
        <v>6752</v>
      </c>
      <c r="C688" s="3" t="s">
        <v>6753</v>
      </c>
      <c r="D688" s="3" t="s">
        <v>3984</v>
      </c>
      <c r="E688" s="3" t="s">
        <v>6754</v>
      </c>
      <c r="F688" s="3" t="s">
        <v>4245</v>
      </c>
      <c r="G688" s="3" t="s">
        <v>6755</v>
      </c>
      <c r="H688" t="str">
        <f t="shared" si="251"/>
        <v xml:space="preserve">Круглова Мария Павловна</v>
      </c>
      <c r="I688" s="5">
        <f>IFERROR(IF(ISNUMBER(FIND("-",C688)),DATE(VALUE(LEFT(C688,4)),VALUE(MID(C688,6,2)),VALUE(RIGHT(C688,2))),IF(ISNUMBER(FIND(".",C688)),DATE(VALUE(RIGHT(C688,4)),VALUE(MID(C688,4,2)),VALUE(LEFT(C688,2))),DATE(VALUE(RIGHT(C688,4)),VLOOKUP(TRIM(MID(C688,FIND(" ",C688)+1,LEN(C688)-FIND(" ",C688)-5)),Справочники!$M$3:$N$14,2,0),VALUE(LEFT(C688,FIND(" ",C688)-1))))),"")</f>
        <v>26723</v>
      </c>
      <c r="J688" s="6">
        <f t="shared" si="252"/>
        <v>53</v>
      </c>
      <c r="K688" t="str">
        <f t="shared" si="253"/>
        <v>ОК</v>
      </c>
      <c r="L688" s="5">
        <f>IFERROR(IF(ISNUMBER(FIND("-",G688)),DATE(VALUE(LEFT(G688,4)),VALUE(MID(G688,6,2)),VALUE(RIGHT(G688,2))),IF(ISNUMBER(FIND(".",G688)),DATE(VALUE(RIGHT(G688,4)),VALUE(MID(G688,4,2)),VALUE(LEFT(G688,2))),DATE(VALUE(RIGHT(G688,4)),VLOOKUP(TRIM(MID(G688,FIND(" ",G688)+1,LEN(G688)-FIND(" ",G688)-5)),Справочники!$M$3:$N$14,2,0),VALUE(LEFT(G688,FIND(" ",G688)-1))))),"")</f>
        <v>51516</v>
      </c>
      <c r="M688" t="str">
        <f t="shared" si="254"/>
        <v xml:space="preserve">+7 (903) 567-89-01</v>
      </c>
      <c r="N688" t="str">
        <f t="shared" si="255"/>
        <v>kruglova@gmail</v>
      </c>
      <c r="O688" t="str">
        <f t="shared" si="256"/>
        <v xml:space="preserve">Ошибка Email</v>
      </c>
      <c r="P688" t="str">
        <f>IFERROR(VLOOKUP(TRIM(SUBSTITUTE(SUBSTITUTE(" "&amp;F688," г "," "),"г.","")),Справочники!$J$3:$K$102,2,0),TRIM(SUBSTITUTE(SUBSTITUTE(" "&amp;F688," г "," "),"г.","")))</f>
        <v>Мурманск</v>
      </c>
    </row>
    <row r="689">
      <c r="A689" s="3" t="s">
        <v>3387</v>
      </c>
      <c r="B689" s="3" t="s">
        <v>6756</v>
      </c>
      <c r="C689" s="3" t="s">
        <v>6757</v>
      </c>
      <c r="D689" s="3" t="s">
        <v>3990</v>
      </c>
      <c r="E689" s="3" t="s">
        <v>6758</v>
      </c>
      <c r="F689" s="3" t="s">
        <v>4235</v>
      </c>
      <c r="G689" s="3" t="s">
        <v>6759</v>
      </c>
      <c r="H689" t="str">
        <f t="shared" si="251"/>
        <v xml:space="preserve">Артамонов Денис Викторович</v>
      </c>
      <c r="I689" s="5">
        <f>IFERROR(IF(ISNUMBER(FIND("-",C689)),DATE(VALUE(LEFT(C689,4)),VALUE(MID(C689,6,2)),VALUE(RIGHT(C689,2))),IF(ISNUMBER(FIND(".",C689)),DATE(VALUE(RIGHT(C689,4)),VALUE(MID(C689,4,2)),VALUE(LEFT(C689,2))),DATE(VALUE(RIGHT(C689,4)),VLOOKUP(TRIM(MID(C689,FIND(" ",C689)+1,LEN(C689)-FIND(" ",C689)-5)),Справочники!$M$3:$N$14,2,0),VALUE(LEFT(C689,FIND(" ",C689)-1))))),"")</f>
        <v>31218</v>
      </c>
      <c r="J689" s="6">
        <f t="shared" si="252"/>
        <v>41</v>
      </c>
      <c r="K689" t="str">
        <f t="shared" si="253"/>
        <v>ОК</v>
      </c>
      <c r="L689" s="5">
        <f>IFERROR(IF(ISNUMBER(FIND("-",G689)),DATE(VALUE(LEFT(G689,4)),VALUE(MID(G689,6,2)),VALUE(RIGHT(G689,2))),IF(ISNUMBER(FIND(".",G689)),DATE(VALUE(RIGHT(G689,4)),VALUE(MID(G689,4,2)),VALUE(LEFT(G689,2))),DATE(VALUE(RIGHT(G689,4)),VLOOKUP(TRIM(MID(G689,FIND(" ",G689)+1,LEN(G689)-FIND(" ",G689)-5)),Справочники!$M$3:$N$14,2,0),VALUE(LEFT(G689,FIND(" ",G689)-1))))),"")</f>
        <v>51533</v>
      </c>
      <c r="M689" t="str">
        <f t="shared" si="254"/>
        <v xml:space="preserve">+7 (903) 567-89-01</v>
      </c>
      <c r="N689" t="str">
        <f t="shared" si="255"/>
        <v>artamonov@mail</v>
      </c>
      <c r="O689" t="str">
        <f t="shared" si="256"/>
        <v xml:space="preserve">Ошибка Email</v>
      </c>
      <c r="P689" t="str">
        <f>IFERROR(VLOOKUP(TRIM(SUBSTITUTE(SUBSTITUTE(" "&amp;F689," г "," "),"г.","")),Справочники!$J$3:$K$102,2,0),TRIM(SUBSTITUTE(SUBSTITUTE(" "&amp;F689," г "," "),"г.","")))</f>
        <v>Смоленск</v>
      </c>
    </row>
    <row r="690">
      <c r="A690" s="3" t="s">
        <v>3390</v>
      </c>
      <c r="B690" s="3" t="s">
        <v>6760</v>
      </c>
      <c r="C690" s="3" t="s">
        <v>6761</v>
      </c>
      <c r="D690" s="3" t="s">
        <v>1598</v>
      </c>
      <c r="E690" s="3" t="s">
        <v>4740</v>
      </c>
      <c r="F690" s="3" t="s">
        <v>4220</v>
      </c>
      <c r="G690" s="3" t="s">
        <v>6762</v>
      </c>
      <c r="H690" t="str">
        <f t="shared" si="251"/>
        <v xml:space="preserve">Горюнова Ольга Сергеевна</v>
      </c>
      <c r="I690" s="5">
        <f>IFERROR(IF(ISNUMBER(FIND("-",C690)),DATE(VALUE(LEFT(C690,4)),VALUE(MID(C690,6,2)),VALUE(RIGHT(C690,2))),IF(ISNUMBER(FIND(".",C690)),DATE(VALUE(RIGHT(C690,4)),VALUE(MID(C690,4,2)),VALUE(LEFT(C690,2))),DATE(VALUE(RIGHT(C690,4)),VLOOKUP(TRIM(MID(C690,FIND(" ",C690)+1,LEN(C690)-FIND(" ",C690)-5)),Справочники!$M$3:$N$14,2,0),VALUE(LEFT(C690,FIND(" ",C690)-1))))),"")</f>
        <v>33216</v>
      </c>
      <c r="J690" s="6">
        <f t="shared" si="252"/>
        <v>35</v>
      </c>
      <c r="K690" t="str">
        <f t="shared" si="253"/>
        <v>ОК</v>
      </c>
      <c r="L690" s="5">
        <f>IFERROR(IF(ISNUMBER(FIND("-",G690)),DATE(VALUE(LEFT(G690,4)),VALUE(MID(G690,6,2)),VALUE(RIGHT(G690,2))),IF(ISNUMBER(FIND(".",G690)),DATE(VALUE(RIGHT(G690,4)),VALUE(MID(G690,4,2)),VALUE(LEFT(G690,2))),DATE(VALUE(RIGHT(G690,4)),VLOOKUP(TRIM(MID(G690,FIND(" ",G690)+1,LEN(G690)-FIND(" ",G690)-5)),Справочники!$M$3:$N$14,2,0),VALUE(LEFT(G690,FIND(" ",G690)-1))))),"")</f>
        <v>51542</v>
      </c>
      <c r="M690" t="str">
        <f t="shared" si="254"/>
        <v xml:space="preserve">+7 (903) 567-89-01</v>
      </c>
      <c r="N690" t="str">
        <f t="shared" si="255"/>
        <v>goryunova@yandex</v>
      </c>
      <c r="O690" t="str">
        <f t="shared" si="256"/>
        <v xml:space="preserve">Ошибка Email</v>
      </c>
      <c r="P690" t="str">
        <f>IFERROR(VLOOKUP(TRIM(SUBSTITUTE(SUBSTITUTE(" "&amp;F690," г "," "),"г.","")),Справочники!$J$3:$K$102,2,0),TRIM(SUBSTITUTE(SUBSTITUTE(" "&amp;F690," г "," "),"г.","")))</f>
        <v>Тула</v>
      </c>
    </row>
    <row r="691">
      <c r="A691" s="3" t="s">
        <v>3391</v>
      </c>
      <c r="B691" s="3" t="s">
        <v>6763</v>
      </c>
      <c r="C691" s="3" t="s">
        <v>6764</v>
      </c>
      <c r="D691" s="3" t="s">
        <v>4116</v>
      </c>
      <c r="E691" s="3" t="s">
        <v>6765</v>
      </c>
      <c r="F691" s="3" t="s">
        <v>4225</v>
      </c>
      <c r="G691" s="3" t="s">
        <v>6766</v>
      </c>
      <c r="H691" t="str">
        <f t="shared" si="251"/>
        <v xml:space="preserve">Мерзляков Илья Алексеевич</v>
      </c>
      <c r="I691" s="5">
        <f>IFERROR(IF(ISNUMBER(FIND("-",C691)),DATE(VALUE(LEFT(C691,4)),VALUE(MID(C691,6,2)),VALUE(RIGHT(C691,2))),IF(ISNUMBER(FIND(".",C691)),DATE(VALUE(RIGHT(C691,4)),VALUE(MID(C691,4,2)),VALUE(LEFT(C691,2))),DATE(VALUE(RIGHT(C691,4)),VLOOKUP(TRIM(MID(C691,FIND(" ",C691)+1,LEN(C691)-FIND(" ",C691)-5)),Справочники!$M$3:$N$14,2,0),VALUE(LEFT(C691,FIND(" ",C691)-1))))),"")</f>
        <v>27144</v>
      </c>
      <c r="J691" s="6">
        <f t="shared" si="252"/>
        <v>52</v>
      </c>
      <c r="K691" t="str">
        <f t="shared" si="253"/>
        <v>ОК</v>
      </c>
      <c r="L691" s="5">
        <f>IFERROR(IF(ISNUMBER(FIND("-",G691)),DATE(VALUE(LEFT(G691,4)),VALUE(MID(G691,6,2)),VALUE(RIGHT(G691,2))),IF(ISNUMBER(FIND(".",G691)),DATE(VALUE(RIGHT(G691,4)),VALUE(MID(G691,4,2)),VALUE(LEFT(G691,2))),DATE(VALUE(RIGHT(G691,4)),VLOOKUP(TRIM(MID(G691,FIND(" ",G691)+1,LEN(G691)-FIND(" ",G691)-5)),Справочники!$M$3:$N$14,2,0),VALUE(LEFT(G691,FIND(" ",G691)-1))))),"")</f>
        <v>51542</v>
      </c>
      <c r="M691" t="str">
        <f t="shared" si="254"/>
        <v xml:space="preserve">+7 (903) 678-90-12</v>
      </c>
      <c r="N691" t="str">
        <f t="shared" si="255"/>
        <v>merzlyakov@gmail</v>
      </c>
      <c r="O691" t="str">
        <f t="shared" si="256"/>
        <v xml:space="preserve">Ошибка Email</v>
      </c>
      <c r="P691" t="str">
        <f>IFERROR(VLOOKUP(TRIM(SUBSTITUTE(SUBSTITUTE(" "&amp;F691," г "," "),"г.","")),Справочники!$J$3:$K$102,2,0),TRIM(SUBSTITUTE(SUBSTITUTE(" "&amp;F691," г "," "),"г.","")))</f>
        <v>Калуга</v>
      </c>
    </row>
    <row r="692">
      <c r="A692" s="3" t="s">
        <v>3394</v>
      </c>
      <c r="B692" s="3" t="s">
        <v>6767</v>
      </c>
      <c r="C692" s="3" t="s">
        <v>6768</v>
      </c>
      <c r="D692" s="3" t="s">
        <v>4122</v>
      </c>
      <c r="E692" s="3" t="s">
        <v>6769</v>
      </c>
      <c r="F692" s="3" t="s">
        <v>4230</v>
      </c>
      <c r="G692" s="3" t="s">
        <v>6770</v>
      </c>
      <c r="H692" t="str">
        <f t="shared" si="251"/>
        <v xml:space="preserve">Андрианова Екатерина Сергеевна</v>
      </c>
      <c r="I692" s="5">
        <f>IFERROR(IF(ISNUMBER(FIND("-",C692)),DATE(VALUE(LEFT(C692,4)),VALUE(MID(C692,6,2)),VALUE(RIGHT(C692,2))),IF(ISNUMBER(FIND(".",C692)),DATE(VALUE(RIGHT(C692,4)),VALUE(MID(C692,4,2)),VALUE(LEFT(C692,2))),DATE(VALUE(RIGHT(C692,4)),VLOOKUP(TRIM(MID(C692,FIND(" ",C692)+1,LEN(C692)-FIND(" ",C692)-5)),Справочники!$M$3:$N$14,2,0),VALUE(LEFT(C692,FIND(" ",C692)-1))))),"")</f>
        <v>30148</v>
      </c>
      <c r="J692" s="6">
        <f t="shared" si="252"/>
        <v>44</v>
      </c>
      <c r="K692" t="str">
        <f t="shared" si="253"/>
        <v>ОК</v>
      </c>
      <c r="L692" s="5">
        <f>IFERROR(IF(ISNUMBER(FIND("-",G692)),DATE(VALUE(LEFT(G692,4)),VALUE(MID(G692,6,2)),VALUE(RIGHT(G692,2))),IF(ISNUMBER(FIND(".",G692)),DATE(VALUE(RIGHT(G692,4)),VALUE(MID(G692,4,2)),VALUE(LEFT(G692,2))),DATE(VALUE(RIGHT(G692,4)),VLOOKUP(TRIM(MID(G692,FIND(" ",G692)+1,LEN(G692)-FIND(" ",G692)-5)),Справочники!$M$3:$N$14,2,0),VALUE(LEFT(G692,FIND(" ",G692)-1))))),"")</f>
        <v>51561</v>
      </c>
      <c r="M692" t="str">
        <f t="shared" si="254"/>
        <v xml:space="preserve">+7 (903) 678-90-12</v>
      </c>
      <c r="N692" t="str">
        <f t="shared" si="255"/>
        <v>andrianova@mail</v>
      </c>
      <c r="O692" t="str">
        <f t="shared" si="256"/>
        <v xml:space="preserve">Ошибка Email</v>
      </c>
      <c r="P692" t="str">
        <f>IFERROR(VLOOKUP(TRIM(SUBSTITUTE(SUBSTITUTE(" "&amp;F692," г "," "),"г.","")),Справочники!$J$3:$K$102,2,0),TRIM(SUBSTITUTE(SUBSTITUTE(" "&amp;F692," г "," "),"г.","")))</f>
        <v>Владикавказ</v>
      </c>
    </row>
    <row r="693">
      <c r="A693" s="3" t="s">
        <v>3395</v>
      </c>
      <c r="B693" s="3" t="s">
        <v>6771</v>
      </c>
      <c r="C693" s="3" t="s">
        <v>6772</v>
      </c>
      <c r="D693" s="3" t="s">
        <v>1605</v>
      </c>
      <c r="E693" s="3" t="s">
        <v>6773</v>
      </c>
      <c r="F693" s="3" t="s">
        <v>4235</v>
      </c>
      <c r="G693" s="3" t="s">
        <v>6774</v>
      </c>
      <c r="H693" t="str">
        <f t="shared" si="251"/>
        <v xml:space="preserve">Рябов Андрей Павлович</v>
      </c>
      <c r="I693" s="5">
        <f>IFERROR(IF(ISNUMBER(FIND("-",C693)),DATE(VALUE(LEFT(C693,4)),VALUE(MID(C693,6,2)),VALUE(RIGHT(C693,2))),IF(ISNUMBER(FIND(".",C693)),DATE(VALUE(RIGHT(C693,4)),VALUE(MID(C693,4,2)),VALUE(LEFT(C693,2))),DATE(VALUE(RIGHT(C693,4)),VLOOKUP(TRIM(MID(C693,FIND(" ",C693)+1,LEN(C693)-FIND(" ",C693)-5)),Справочники!$M$3:$N$14,2,0),VALUE(LEFT(C693,FIND(" ",C693)-1))))),"")</f>
        <v>32792</v>
      </c>
      <c r="J693" s="6">
        <f t="shared" si="252"/>
        <v>37</v>
      </c>
      <c r="K693" t="str">
        <f t="shared" si="253"/>
        <v>ОК</v>
      </c>
      <c r="L693" s="5">
        <f>IFERROR(IF(ISNUMBER(FIND("-",G693)),DATE(VALUE(LEFT(G693,4)),VALUE(MID(G693,6,2)),VALUE(RIGHT(G693,2))),IF(ISNUMBER(FIND(".",G693)),DATE(VALUE(RIGHT(G693,4)),VALUE(MID(G693,4,2)),VALUE(LEFT(G693,2))),DATE(VALUE(RIGHT(G693,4)),VLOOKUP(TRIM(MID(G693,FIND(" ",G693)+1,LEN(G693)-FIND(" ",G693)-5)),Справочники!$M$3:$N$14,2,0),VALUE(LEFT(G693,FIND(" ",G693)-1))))),"")</f>
        <v>51575</v>
      </c>
      <c r="M693" t="str">
        <f t="shared" si="254"/>
        <v xml:space="preserve">+7 (903) 678-90-12</v>
      </c>
      <c r="N693" t="str">
        <f t="shared" si="255"/>
        <v>ryabov@yandex</v>
      </c>
      <c r="O693" t="str">
        <f t="shared" si="256"/>
        <v xml:space="preserve">Ошибка Email</v>
      </c>
      <c r="P693" t="str">
        <f>IFERROR(VLOOKUP(TRIM(SUBSTITUTE(SUBSTITUTE(" "&amp;F693," г "," "),"г.","")),Справочники!$J$3:$K$102,2,0),TRIM(SUBSTITUTE(SUBSTITUTE(" "&amp;F693," г "," "),"г.","")))</f>
        <v>Смоленск</v>
      </c>
    </row>
    <row r="694">
      <c r="A694" s="3" t="s">
        <v>3397</v>
      </c>
      <c r="B694" s="3" t="s">
        <v>6775</v>
      </c>
      <c r="C694" s="3" t="s">
        <v>6776</v>
      </c>
      <c r="D694" s="3" t="s">
        <v>4001</v>
      </c>
      <c r="E694" s="3" t="s">
        <v>6777</v>
      </c>
      <c r="F694" s="3" t="s">
        <v>4240</v>
      </c>
      <c r="G694" s="3" t="s">
        <v>6778</v>
      </c>
      <c r="H694" t="str">
        <f t="shared" si="251"/>
        <v xml:space="preserve">Саввина Мария Олеговна</v>
      </c>
      <c r="I694" s="5">
        <f>IFERROR(IF(ISNUMBER(FIND("-",C694)),DATE(VALUE(LEFT(C694,4)),VALUE(MID(C694,6,2)),VALUE(RIGHT(C694,2))),IF(ISNUMBER(FIND(".",C694)),DATE(VALUE(RIGHT(C694,4)),VALUE(MID(C694,4,2)),VALUE(LEFT(C694,2))),DATE(VALUE(RIGHT(C694,4)),VLOOKUP(TRIM(MID(C694,FIND(" ",C694)+1,LEN(C694)-FIND(" ",C694)-5)),Справочники!$M$3:$N$14,2,0),VALUE(LEFT(C694,FIND(" ",C694)-1))))),"")</f>
        <v>27517</v>
      </c>
      <c r="J694" s="6">
        <f t="shared" si="252"/>
        <v>51</v>
      </c>
      <c r="K694" t="str">
        <f t="shared" si="253"/>
        <v>ОК</v>
      </c>
      <c r="L694" s="5">
        <f>IFERROR(IF(ISNUMBER(FIND("-",G694)),DATE(VALUE(LEFT(G694,4)),VALUE(MID(G694,6,2)),VALUE(RIGHT(G694,2))),IF(ISNUMBER(FIND(".",G694)),DATE(VALUE(RIGHT(G694,4)),VALUE(MID(G694,4,2)),VALUE(LEFT(G694,2))),DATE(VALUE(RIGHT(G694,4)),VLOOKUP(TRIM(MID(G694,FIND(" ",G694)+1,LEN(G694)-FIND(" ",G694)-5)),Справочники!$M$3:$N$14,2,0),VALUE(LEFT(G694,FIND(" ",G694)-1))))),"")</f>
        <v>51575</v>
      </c>
      <c r="M694" t="str">
        <f t="shared" si="254"/>
        <v xml:space="preserve">+7 (903) 789-01-23</v>
      </c>
      <c r="N694" t="str">
        <f t="shared" si="255"/>
        <v>savvina@gmail</v>
      </c>
      <c r="O694" t="str">
        <f t="shared" si="256"/>
        <v xml:space="preserve">Ошибка Email</v>
      </c>
      <c r="P694" t="str">
        <f>IFERROR(VLOOKUP(TRIM(SUBSTITUTE(SUBSTITUTE(" "&amp;F694," г "," "),"г.","")),Справочники!$J$3:$K$102,2,0),TRIM(SUBSTITUTE(SUBSTITUTE(" "&amp;F694," г "," "),"г.","")))</f>
        <v>Белгород</v>
      </c>
    </row>
    <row r="695">
      <c r="A695" s="3" t="s">
        <v>3398</v>
      </c>
      <c r="B695" s="3" t="s">
        <v>6779</v>
      </c>
      <c r="C695" s="3" t="s">
        <v>6780</v>
      </c>
      <c r="D695" s="3" t="s">
        <v>4138</v>
      </c>
      <c r="E695" s="3" t="s">
        <v>6781</v>
      </c>
      <c r="F695" s="3" t="s">
        <v>4245</v>
      </c>
      <c r="G695" s="3" t="s">
        <v>6782</v>
      </c>
      <c r="H695" t="str">
        <f t="shared" si="251"/>
        <v xml:space="preserve">Степанов Денис Викторович</v>
      </c>
      <c r="I695" s="5">
        <f>IFERROR(IF(ISNUMBER(FIND("-",C695)),DATE(VALUE(LEFT(C695,4)),VALUE(MID(C695,6,2)),VALUE(RIGHT(C695,2))),IF(ISNUMBER(FIND(".",C695)),DATE(VALUE(RIGHT(C695,4)),VALUE(MID(C695,4,2)),VALUE(LEFT(C695,2))),DATE(VALUE(RIGHT(C695,4)),VLOOKUP(TRIM(MID(C695,FIND(" ",C695)+1,LEN(C695)-FIND(" ",C695)-5)),Справочники!$M$3:$N$14,2,0),VALUE(LEFT(C695,FIND(" ",C695)-1))))),"")</f>
        <v>30920</v>
      </c>
      <c r="J695" s="6">
        <f t="shared" si="252"/>
        <v>42</v>
      </c>
      <c r="K695" t="str">
        <f t="shared" si="253"/>
        <v>ОК</v>
      </c>
      <c r="L695" s="5">
        <f>IFERROR(IF(ISNUMBER(FIND("-",G695)),DATE(VALUE(LEFT(G695,4)),VALUE(MID(G695,6,2)),VALUE(RIGHT(G695,2))),IF(ISNUMBER(FIND(".",G695)),DATE(VALUE(RIGHT(G695,4)),VALUE(MID(G695,4,2)),VALUE(LEFT(G695,2))),DATE(VALUE(RIGHT(G695,4)),VLOOKUP(TRIM(MID(G695,FIND(" ",G695)+1,LEN(G695)-FIND(" ",G695)-5)),Справочники!$M$3:$N$14,2,0),VALUE(LEFT(G695,FIND(" ",G695)-1))))),"")</f>
        <v>51592</v>
      </c>
      <c r="M695" t="str">
        <f t="shared" si="254"/>
        <v xml:space="preserve">+7 (903) 789-01-23</v>
      </c>
      <c r="N695" t="str">
        <f t="shared" si="255"/>
        <v>stepanov@mail</v>
      </c>
      <c r="O695" t="str">
        <f t="shared" si="256"/>
        <v xml:space="preserve">Ошибка Email</v>
      </c>
      <c r="P695" t="str">
        <f>IFERROR(VLOOKUP(TRIM(SUBSTITUTE(SUBSTITUTE(" "&amp;F695," г "," "),"г.","")),Справочники!$J$3:$K$102,2,0),TRIM(SUBSTITUTE(SUBSTITUTE(" "&amp;F695," г "," "),"г.","")))</f>
        <v>Мурманск</v>
      </c>
    </row>
    <row r="696">
      <c r="A696" s="3" t="s">
        <v>3400</v>
      </c>
      <c r="B696" s="3" t="s">
        <v>6783</v>
      </c>
      <c r="C696" s="3" t="s">
        <v>6784</v>
      </c>
      <c r="D696" s="3" t="s">
        <v>4144</v>
      </c>
      <c r="E696" s="3" t="s">
        <v>6785</v>
      </c>
      <c r="F696" s="3" t="s">
        <v>4250</v>
      </c>
      <c r="G696" s="3" t="s">
        <v>6786</v>
      </c>
      <c r="H696" t="str">
        <f t="shared" si="251"/>
        <v xml:space="preserve">Гаврилова Ольга Павловна</v>
      </c>
      <c r="I696" s="5">
        <f>IFERROR(IF(ISNUMBER(FIND("-",C696)),DATE(VALUE(LEFT(C696,4)),VALUE(MID(C696,6,2)),VALUE(RIGHT(C696,2))),IF(ISNUMBER(FIND(".",C696)),DATE(VALUE(RIGHT(C696,4)),VALUE(MID(C696,4,2)),VALUE(LEFT(C696,2))),DATE(VALUE(RIGHT(C696,4)),VLOOKUP(TRIM(MID(C696,FIND(" ",C696)+1,LEN(C696)-FIND(" ",C696)-5)),Справочники!$M$3:$N$14,2,0),VALUE(LEFT(C696,FIND(" ",C696)-1))))),"")</f>
        <v>33257</v>
      </c>
      <c r="J696" s="6">
        <f t="shared" si="252"/>
        <v>35</v>
      </c>
      <c r="K696" t="str">
        <f t="shared" si="253"/>
        <v>ОК</v>
      </c>
      <c r="L696" s="5">
        <f>IFERROR(IF(ISNUMBER(FIND("-",G696)),DATE(VALUE(LEFT(G696,4)),VALUE(MID(G696,6,2)),VALUE(RIGHT(G696,2))),IF(ISNUMBER(FIND(".",G696)),DATE(VALUE(RIGHT(G696,4)),VALUE(MID(G696,4,2)),VALUE(LEFT(G696,2))),DATE(VALUE(RIGHT(G696,4)),VLOOKUP(TRIM(MID(G696,FIND(" ",G696)+1,LEN(G696)-FIND(" ",G696)-5)),Справочники!$M$3:$N$14,2,0),VALUE(LEFT(G696,FIND(" ",G696)-1))))),"")</f>
        <v>51601</v>
      </c>
      <c r="M696" t="str">
        <f t="shared" si="254"/>
        <v xml:space="preserve">+7 (903) 789-01-23</v>
      </c>
      <c r="N696" t="str">
        <f t="shared" si="255"/>
        <v>gavrilova@yandex</v>
      </c>
      <c r="O696" t="str">
        <f t="shared" si="256"/>
        <v xml:space="preserve">Ошибка Email</v>
      </c>
      <c r="P696" t="str">
        <f>IFERROR(VLOOKUP(TRIM(SUBSTITUTE(SUBSTITUTE(" "&amp;F696," г "," "),"г.","")),Справочники!$J$3:$K$102,2,0),TRIM(SUBSTITUTE(SUBSTITUTE(" "&amp;F696," г "," "),"г.","")))</f>
        <v>Ставрополь</v>
      </c>
    </row>
    <row r="697">
      <c r="A697" s="3" t="s">
        <v>3402</v>
      </c>
      <c r="B697" s="3" t="s">
        <v>6787</v>
      </c>
      <c r="C697" s="3" t="s">
        <v>6788</v>
      </c>
      <c r="D697" s="3" t="s">
        <v>4150</v>
      </c>
      <c r="E697" s="3" t="s">
        <v>6789</v>
      </c>
      <c r="F697" s="3" t="s">
        <v>4255</v>
      </c>
      <c r="G697" s="3" t="s">
        <v>6790</v>
      </c>
      <c r="H697" t="str">
        <f t="shared" si="251"/>
        <v xml:space="preserve">Кулешова Екатерина Алексеевна</v>
      </c>
      <c r="I697" s="5">
        <f>IFERROR(IF(ISNUMBER(FIND("-",C697)),DATE(VALUE(LEFT(C697,4)),VALUE(MID(C697,6,2)),VALUE(RIGHT(C697,2))),IF(ISNUMBER(FIND(".",C697)),DATE(VALUE(RIGHT(C697,4)),VALUE(MID(C697,4,2)),VALUE(LEFT(C697,2))),DATE(VALUE(RIGHT(C697,4)),VLOOKUP(TRIM(MID(C697,FIND(" ",C697)+1,LEN(C697)-FIND(" ",C697)-5)),Справочники!$M$3:$N$14,2,0),VALUE(LEFT(C697,FIND(" ",C697)-1))))),"")</f>
        <v>28816</v>
      </c>
      <c r="J697" s="6">
        <f t="shared" si="252"/>
        <v>47</v>
      </c>
      <c r="K697" t="str">
        <f t="shared" si="253"/>
        <v>ОК</v>
      </c>
      <c r="L697" s="5">
        <f>IFERROR(IF(ISNUMBER(FIND("-",G697)),DATE(VALUE(LEFT(G697,4)),VALUE(MID(G697,6,2)),VALUE(RIGHT(G697,2))),IF(ISNUMBER(FIND(".",G697)),DATE(VALUE(RIGHT(G697,4)),VALUE(MID(G697,4,2)),VALUE(LEFT(G697,2))),DATE(VALUE(RIGHT(G697,4)),VLOOKUP(TRIM(MID(G697,FIND(" ",G697)+1,LEN(G697)-FIND(" ",G697)-5)),Справочники!$M$3:$N$14,2,0),VALUE(LEFT(G697,FIND(" ",G697)-1))))),"")</f>
        <v>51601</v>
      </c>
      <c r="M697" t="str">
        <f t="shared" si="254"/>
        <v xml:space="preserve">+7 (903) 890-12-34</v>
      </c>
      <c r="N697" t="str">
        <f t="shared" si="255"/>
        <v>kuleshova@gmail</v>
      </c>
      <c r="O697" t="str">
        <f t="shared" si="256"/>
        <v xml:space="preserve">Ошибка Email</v>
      </c>
      <c r="P697" t="str">
        <f>IFERROR(VLOOKUP(TRIM(SUBSTITUTE(SUBSTITUTE(" "&amp;F697," г "," "),"г.","")),Справочники!$J$3:$K$102,2,0),TRIM(SUBSTITUTE(SUBSTITUTE(" "&amp;F697," г "," "),"г.","")))</f>
        <v>Севастополь</v>
      </c>
    </row>
    <row r="698">
      <c r="A698" s="3" t="s">
        <v>3404</v>
      </c>
      <c r="B698" s="3" t="s">
        <v>6791</v>
      </c>
      <c r="C698" s="3" t="s">
        <v>6792</v>
      </c>
      <c r="D698" s="3" t="s">
        <v>4007</v>
      </c>
      <c r="E698" s="3" t="s">
        <v>6793</v>
      </c>
      <c r="F698" s="3" t="s">
        <v>4260</v>
      </c>
      <c r="G698" s="3" t="s">
        <v>6794</v>
      </c>
      <c r="H698" t="str">
        <f t="shared" si="251"/>
        <v xml:space="preserve">Молчанов Илья Александрович</v>
      </c>
      <c r="I698" s="5">
        <f>IFERROR(IF(ISNUMBER(FIND("-",C698)),DATE(VALUE(LEFT(C698,4)),VALUE(MID(C698,6,2)),VALUE(RIGHT(C698,2))),IF(ISNUMBER(FIND(".",C698)),DATE(VALUE(RIGHT(C698,4)),VALUE(MID(C698,4,2)),VALUE(LEFT(C698,2))),DATE(VALUE(RIGHT(C698,4)),VLOOKUP(TRIM(MID(C698,FIND(" ",C698)+1,LEN(C698)-FIND(" ",C698)-5)),Справочники!$M$3:$N$14,2,0),VALUE(LEFT(C698,FIND(" ",C698)-1))))),"")</f>
        <v>31669</v>
      </c>
      <c r="J698" s="6">
        <f t="shared" si="252"/>
        <v>40</v>
      </c>
      <c r="K698" t="str">
        <f t="shared" si="253"/>
        <v>ОК</v>
      </c>
      <c r="L698" s="5">
        <f>IFERROR(IF(ISNUMBER(FIND("-",G698)),DATE(VALUE(LEFT(G698,4)),VALUE(MID(G698,6,2)),VALUE(RIGHT(G698,2))),IF(ISNUMBER(FIND(".",G698)),DATE(VALUE(RIGHT(G698,4)),VALUE(MID(G698,4,2)),VALUE(LEFT(G698,2))),DATE(VALUE(RIGHT(G698,4)),VLOOKUP(TRIM(MID(G698,FIND(" ",G698)+1,LEN(G698)-FIND(" ",G698)-5)),Справочники!$M$3:$N$14,2,0),VALUE(LEFT(G698,FIND(" ",G698)-1))))),"")</f>
        <v>51622</v>
      </c>
      <c r="M698" t="str">
        <f t="shared" si="254"/>
        <v xml:space="preserve">+7 (903) 890-12-34</v>
      </c>
      <c r="N698" t="str">
        <f t="shared" si="255"/>
        <v>molchanov@mail</v>
      </c>
      <c r="O698" t="str">
        <f t="shared" si="256"/>
        <v xml:space="preserve">Ошибка Email</v>
      </c>
      <c r="P698" t="str">
        <f>IFERROR(VLOOKUP(TRIM(SUBSTITUTE(SUBSTITUTE(" "&amp;F698," г "," "),"г.","")),Справочники!$J$3:$K$102,2,0),TRIM(SUBSTITUTE(SUBSTITUTE(" "&amp;F698," г "," "),"г.","")))</f>
        <v>Сочи</v>
      </c>
    </row>
    <row r="699">
      <c r="A699" s="3" t="s">
        <v>3405</v>
      </c>
      <c r="B699" s="3" t="s">
        <v>6795</v>
      </c>
      <c r="C699" s="3" t="s">
        <v>6796</v>
      </c>
      <c r="D699" s="3" t="s">
        <v>1619</v>
      </c>
      <c r="E699" s="3" t="s">
        <v>6797</v>
      </c>
      <c r="F699" s="3" t="s">
        <v>4265</v>
      </c>
      <c r="G699" s="3" t="s">
        <v>6798</v>
      </c>
      <c r="H699" t="str">
        <f t="shared" si="251"/>
        <v xml:space="preserve">Пестова Мария Владимировна</v>
      </c>
      <c r="I699" s="5">
        <f>IFERROR(IF(ISNUMBER(FIND("-",C699)),DATE(VALUE(LEFT(C699,4)),VALUE(MID(C699,6,2)),VALUE(RIGHT(C699,2))),IF(ISNUMBER(FIND(".",C699)),DATE(VALUE(RIGHT(C699,4)),VALUE(MID(C699,4,2)),VALUE(LEFT(C699,2))),DATE(VALUE(RIGHT(C699,4)),VLOOKUP(TRIM(MID(C699,FIND(" ",C699)+1,LEN(C699)-FIND(" ",C699)-5)),Справочники!$M$3:$N$14,2,0),VALUE(LEFT(C699,FIND(" ",C699)-1))))),"")</f>
        <v>30475</v>
      </c>
      <c r="J699" s="6">
        <f t="shared" si="252"/>
        <v>43</v>
      </c>
      <c r="K699" t="str">
        <f t="shared" si="253"/>
        <v>ОК</v>
      </c>
      <c r="L699" s="5">
        <f>IFERROR(IF(ISNUMBER(FIND("-",G699)),DATE(VALUE(LEFT(G699,4)),VALUE(MID(G699,6,2)),VALUE(RIGHT(G699,2))),IF(ISNUMBER(FIND(".",G699)),DATE(VALUE(RIGHT(G699,4)),VALUE(MID(G699,4,2)),VALUE(LEFT(G699,2))),DATE(VALUE(RIGHT(G699,4)),VLOOKUP(TRIM(MID(G699,FIND(" ",G699)+1,LEN(G699)-FIND(" ",G699)-5)),Справочники!$M$3:$N$14,2,0),VALUE(LEFT(G699,FIND(" ",G699)-1))))),"")</f>
        <v>51636</v>
      </c>
      <c r="M699" t="str">
        <f t="shared" si="254"/>
        <v xml:space="preserve">+7 (903) 890-12-34</v>
      </c>
      <c r="N699" t="str">
        <f t="shared" si="255"/>
        <v>pestova@yandex</v>
      </c>
      <c r="O699" t="str">
        <f t="shared" si="256"/>
        <v xml:space="preserve">Ошибка Email</v>
      </c>
      <c r="P699" t="str">
        <f>IFERROR(VLOOKUP(TRIM(SUBSTITUTE(SUBSTITUTE(" "&amp;F699," г "," "),"г.","")),Справочники!$J$3:$K$102,2,0),TRIM(SUBSTITUTE(SUBSTITUTE(" "&amp;F699," г "," "),"г.","")))</f>
        <v>Симферополь</v>
      </c>
    </row>
    <row r="700">
      <c r="A700" s="3" t="s">
        <v>3408</v>
      </c>
      <c r="B700" s="3" t="s">
        <v>6799</v>
      </c>
      <c r="C700" s="3" t="s">
        <v>6800</v>
      </c>
      <c r="D700" s="3" t="s">
        <v>4018</v>
      </c>
      <c r="E700" s="3" t="s">
        <v>6801</v>
      </c>
      <c r="F700" s="3" t="s">
        <v>4270</v>
      </c>
      <c r="G700" s="3" t="s">
        <v>6802</v>
      </c>
      <c r="H700" t="str">
        <f t="shared" si="251"/>
        <v xml:space="preserve">Дроздов Андрей Олегович</v>
      </c>
      <c r="I700" s="5">
        <f>IFERROR(IF(ISNUMBER(FIND("-",C700)),DATE(VALUE(LEFT(C700,4)),VALUE(MID(C700,6,2)),VALUE(RIGHT(C700,2))),IF(ISNUMBER(FIND(".",C700)),DATE(VALUE(RIGHT(C700,4)),VALUE(MID(C700,4,2)),VALUE(LEFT(C700,2))),DATE(VALUE(RIGHT(C700,4)),VLOOKUP(TRIM(MID(C700,FIND(" ",C700)+1,LEN(C700)-FIND(" ",C700)-5)),Справочники!$M$3:$N$14,2,0),VALUE(LEFT(C700,FIND(" ",C700)-1))))),"")</f>
        <v>28489</v>
      </c>
      <c r="J700" s="6">
        <f t="shared" si="252"/>
        <v>48</v>
      </c>
      <c r="K700" t="str">
        <f t="shared" si="253"/>
        <v>ОК</v>
      </c>
      <c r="L700" s="5">
        <f>IFERROR(IF(ISNUMBER(FIND("-",G700)),DATE(VALUE(LEFT(G700,4)),VALUE(MID(G700,6,2)),VALUE(RIGHT(G700,2))),IF(ISNUMBER(FIND(".",G700)),DATE(VALUE(RIGHT(G700,4)),VALUE(MID(G700,4,2)),VALUE(LEFT(G700,2))),DATE(VALUE(RIGHT(G700,4)),VLOOKUP(TRIM(MID(G700,FIND(" ",G700)+1,LEN(G700)-FIND(" ",G700)-5)),Справочники!$M$3:$N$14,2,0),VALUE(LEFT(G700,FIND(" ",G700)-1))))),"")</f>
        <v>51636</v>
      </c>
      <c r="M700" t="str">
        <f t="shared" si="254"/>
        <v xml:space="preserve">+7 (903) 901-23-45</v>
      </c>
      <c r="N700" t="str">
        <f t="shared" si="255"/>
        <v>drozdov@gmail</v>
      </c>
      <c r="O700" t="str">
        <f t="shared" si="256"/>
        <v xml:space="preserve">Ошибка Email</v>
      </c>
      <c r="P700" t="str">
        <f>IFERROR(VLOOKUP(TRIM(SUBSTITUTE(SUBSTITUTE(" "&amp;F700," г "," "),"г.","")),Справочники!$J$3:$K$102,2,0),TRIM(SUBSTITUTE(SUBSTITUTE(" "&amp;F700," г "," "),"г.","")))</f>
        <v>Брянск</v>
      </c>
    </row>
    <row r="701">
      <c r="A701" s="3" t="s">
        <v>3409</v>
      </c>
      <c r="B701" s="3" t="s">
        <v>6803</v>
      </c>
      <c r="C701" s="3" t="s">
        <v>6804</v>
      </c>
      <c r="D701" s="3" t="s">
        <v>1626</v>
      </c>
      <c r="E701" s="3" t="s">
        <v>6805</v>
      </c>
      <c r="F701" s="3" t="s">
        <v>4275</v>
      </c>
      <c r="G701" s="3" t="s">
        <v>6806</v>
      </c>
      <c r="H701" t="str">
        <f t="shared" si="251"/>
        <v xml:space="preserve">Дубинина Ольга Сергеевна</v>
      </c>
      <c r="I701" s="5">
        <f>IFERROR(IF(ISNUMBER(FIND("-",C701)),DATE(VALUE(LEFT(C701,4)),VALUE(MID(C701,6,2)),VALUE(RIGHT(C701,2))),IF(ISNUMBER(FIND(".",C701)),DATE(VALUE(RIGHT(C701,4)),VALUE(MID(C701,4,2)),VALUE(LEFT(C701,2))),DATE(VALUE(RIGHT(C701,4)),VLOOKUP(TRIM(MID(C701,FIND(" ",C701)+1,LEN(C701)-FIND(" ",C701)-5)),Справочники!$M$3:$N$14,2,0),VALUE(LEFT(C701,FIND(" ",C701)-1))))),"")</f>
        <v>32225</v>
      </c>
      <c r="J701" s="6">
        <f t="shared" si="252"/>
        <v>38</v>
      </c>
      <c r="K701" t="str">
        <f t="shared" si="253"/>
        <v>ОК</v>
      </c>
      <c r="L701" s="5">
        <f>IFERROR(IF(ISNUMBER(FIND("-",G701)),DATE(VALUE(LEFT(G701,4)),VALUE(MID(G701,6,2)),VALUE(RIGHT(G701,2))),IF(ISNUMBER(FIND(".",G701)),DATE(VALUE(RIGHT(G701,4)),VALUE(MID(G701,4,2)),VALUE(LEFT(G701,2))),DATE(VALUE(RIGHT(G701,4)),VLOOKUP(TRIM(MID(G701,FIND(" ",G701)+1,LEN(G701)-FIND(" ",G701)-5)),Справочники!$M$3:$N$14,2,0),VALUE(LEFT(G701,FIND(" ",G701)-1))))),"")</f>
        <v>51653</v>
      </c>
      <c r="M701" t="str">
        <f t="shared" si="254"/>
        <v xml:space="preserve">+7 (903) 901-23-45</v>
      </c>
      <c r="N701" t="str">
        <f t="shared" si="255"/>
        <v>dubinina@mail</v>
      </c>
      <c r="O701" t="str">
        <f t="shared" si="256"/>
        <v xml:space="preserve">Ошибка Email</v>
      </c>
      <c r="P701" t="str">
        <f>IFERROR(VLOOKUP(TRIM(SUBSTITUTE(SUBSTITUTE(" "&amp;F701," г "," "),"г.","")),Справочники!$J$3:$K$102,2,0),TRIM(SUBSTITUTE(SUBSTITUTE(" "&amp;F701," г "," "),"г.","")))</f>
        <v>Абакан</v>
      </c>
    </row>
    <row r="702">
      <c r="A702" s="3" t="s">
        <v>3412</v>
      </c>
      <c r="B702" s="3" t="s">
        <v>6807</v>
      </c>
      <c r="C702" s="3" t="s">
        <v>6808</v>
      </c>
      <c r="D702" s="3" t="s">
        <v>4176</v>
      </c>
      <c r="E702" s="3" t="s">
        <v>6809</v>
      </c>
      <c r="F702" s="3" t="s">
        <v>4280</v>
      </c>
      <c r="G702" s="3" t="s">
        <v>6810</v>
      </c>
      <c r="H702" t="str">
        <f t="shared" si="251"/>
        <v xml:space="preserve">Корнилов Денис Павлович</v>
      </c>
      <c r="I702" s="5">
        <f>IFERROR(IF(ISNUMBER(FIND("-",C702)),DATE(VALUE(LEFT(C702,4)),VALUE(MID(C702,6,2)),VALUE(RIGHT(C702,2))),IF(ISNUMBER(FIND(".",C702)),DATE(VALUE(RIGHT(C702,4)),VALUE(MID(C702,4,2)),VALUE(LEFT(C702,2))),DATE(VALUE(RIGHT(C702,4)),VLOOKUP(TRIM(MID(C702,FIND(" ",C702)+1,LEN(C702)-FIND(" ",C702)-5)),Справочники!$M$3:$N$14,2,0),VALUE(LEFT(C702,FIND(" ",C702)-1))))),"")</f>
        <v>29784</v>
      </c>
      <c r="J702" s="6">
        <f t="shared" si="252"/>
        <v>45</v>
      </c>
      <c r="K702" t="str">
        <f t="shared" si="253"/>
        <v>ОК</v>
      </c>
      <c r="L702" s="5">
        <f>IFERROR(IF(ISNUMBER(FIND("-",G702)),DATE(VALUE(LEFT(G702,4)),VALUE(MID(G702,6,2)),VALUE(RIGHT(G702,2))),IF(ISNUMBER(FIND(".",G702)),DATE(VALUE(RIGHT(G702,4)),VALUE(MID(G702,4,2)),VALUE(LEFT(G702,2))),DATE(VALUE(RIGHT(G702,4)),VLOOKUP(TRIM(MID(G702,FIND(" ",G702)+1,LEN(G702)-FIND(" ",G702)-5)),Справочники!$M$3:$N$14,2,0),VALUE(LEFT(G702,FIND(" ",G702)-1))))),"")</f>
        <v>51662</v>
      </c>
      <c r="M702" t="str">
        <f t="shared" si="254"/>
        <v xml:space="preserve">+7 (903) 901-23-45</v>
      </c>
      <c r="N702" t="str">
        <f t="shared" si="255"/>
        <v>kornilov@yandex</v>
      </c>
      <c r="O702" t="str">
        <f t="shared" si="256"/>
        <v xml:space="preserve">Ошибка Email</v>
      </c>
      <c r="P702" t="str">
        <f>IFERROR(VLOOKUP(TRIM(SUBSTITUTE(SUBSTITUTE(" "&amp;F702," г "," "),"г.","")),Справочники!$J$3:$K$102,2,0),TRIM(SUBSTITUTE(SUBSTITUTE(" "&amp;F702," г "," "),"г.","")))</f>
        <v>Грозный</v>
      </c>
    </row>
    <row r="703">
      <c r="A703" s="3" t="s">
        <v>3413</v>
      </c>
      <c r="B703" s="3" t="s">
        <v>6811</v>
      </c>
      <c r="C703" s="3" t="s">
        <v>6812</v>
      </c>
      <c r="D703" s="3" t="s">
        <v>4182</v>
      </c>
      <c r="E703" s="3" t="s">
        <v>6813</v>
      </c>
      <c r="F703" s="3" t="s">
        <v>4285</v>
      </c>
      <c r="G703" s="3" t="s">
        <v>6814</v>
      </c>
      <c r="H703" t="str">
        <f t="shared" si="251"/>
        <v xml:space="preserve">Соколова Екатерина Владимировна</v>
      </c>
      <c r="I703" s="5">
        <f>IFERROR(IF(ISNUMBER(FIND("-",C703)),DATE(VALUE(LEFT(C703,4)),VALUE(MID(C703,6,2)),VALUE(RIGHT(C703,2))),IF(ISNUMBER(FIND(".",C703)),DATE(VALUE(RIGHT(C703,4)),VALUE(MID(C703,4,2)),VALUE(LEFT(C703,2))),DATE(VALUE(RIGHT(C703,4)),VLOOKUP(TRIM(MID(C703,FIND(" ",C703)+1,LEN(C703)-FIND(" ",C703)-5)),Справочники!$M$3:$N$14,2,0),VALUE(LEFT(C703,FIND(" ",C703)-1))))),"")</f>
        <v>28039</v>
      </c>
      <c r="J703" s="6">
        <f t="shared" si="252"/>
        <v>50</v>
      </c>
      <c r="K703" t="str">
        <f t="shared" si="253"/>
        <v>ОК</v>
      </c>
      <c r="L703" s="5">
        <f>IFERROR(IF(ISNUMBER(FIND("-",G703)),DATE(VALUE(LEFT(G703,4)),VALUE(MID(G703,6,2)),VALUE(RIGHT(G703,2))),IF(ISNUMBER(FIND(".",G703)),DATE(VALUE(RIGHT(G703,4)),VALUE(MID(G703,4,2)),VALUE(LEFT(G703,2))),DATE(VALUE(RIGHT(G703,4)),VLOOKUP(TRIM(MID(G703,FIND(" ",G703)+1,LEN(G703)-FIND(" ",G703)-5)),Справочники!$M$3:$N$14,2,0),VALUE(LEFT(G703,FIND(" ",G703)-1))))),"")</f>
        <v>51662</v>
      </c>
      <c r="M703" t="str">
        <f t="shared" si="254"/>
        <v xml:space="preserve">+7 (903) 012-34-56</v>
      </c>
      <c r="N703" t="str">
        <f t="shared" si="255"/>
        <v>sokolova@gmail</v>
      </c>
      <c r="O703" t="str">
        <f t="shared" si="256"/>
        <v xml:space="preserve">Ошибка Email</v>
      </c>
      <c r="P703" t="str">
        <f>IFERROR(VLOOKUP(TRIM(SUBSTITUTE(SUBSTITUTE(" "&amp;F703," г "," "),"г.","")),Справочники!$J$3:$K$102,2,0),TRIM(SUBSTITUTE(SUBSTITUTE(" "&amp;F703," г "," "),"г.","")))</f>
        <v>Бийск</v>
      </c>
    </row>
    <row r="704">
      <c r="A704" s="3" t="s">
        <v>3415</v>
      </c>
      <c r="B704" s="3" t="s">
        <v>6815</v>
      </c>
      <c r="C704" s="3" t="s">
        <v>6816</v>
      </c>
      <c r="D704" s="3" t="s">
        <v>4188</v>
      </c>
      <c r="E704" s="3" t="s">
        <v>6817</v>
      </c>
      <c r="F704" s="3" t="s">
        <v>4290</v>
      </c>
      <c r="G704" s="3" t="s">
        <v>6818</v>
      </c>
      <c r="H704" t="str">
        <f t="shared" si="251"/>
        <v xml:space="preserve">Ушаков Илья Александрович</v>
      </c>
      <c r="I704" s="5">
        <f>IFERROR(IF(ISNUMBER(FIND("-",C704)),DATE(VALUE(LEFT(C704,4)),VALUE(MID(C704,6,2)),VALUE(RIGHT(C704,2))),IF(ISNUMBER(FIND(".",C704)),DATE(VALUE(RIGHT(C704,4)),VALUE(MID(C704,4,2)),VALUE(LEFT(C704,2))),DATE(VALUE(RIGHT(C704,4)),VLOOKUP(TRIM(MID(C704,FIND(" ",C704)+1,LEN(C704)-FIND(" ",C704)-5)),Справочники!$M$3:$N$14,2,0),VALUE(LEFT(C704,FIND(" ",C704)-1))))),"")</f>
        <v>31018</v>
      </c>
      <c r="J704" s="6">
        <f t="shared" si="252"/>
        <v>41</v>
      </c>
      <c r="K704" t="str">
        <f t="shared" si="253"/>
        <v>ОК</v>
      </c>
      <c r="L704" s="5">
        <f>IFERROR(IF(ISNUMBER(FIND("-",G704)),DATE(VALUE(LEFT(G704,4)),VALUE(MID(G704,6,2)),VALUE(RIGHT(G704,2))),IF(ISNUMBER(FIND(".",G704)),DATE(VALUE(RIGHT(G704,4)),VALUE(MID(G704,4,2)),VALUE(LEFT(G704,2))),DATE(VALUE(RIGHT(G704,4)),VLOOKUP(TRIM(MID(G704,FIND(" ",G704)+1,LEN(G704)-FIND(" ",G704)-5)),Справочники!$M$3:$N$14,2,0),VALUE(LEFT(G704,FIND(" ",G704)-1))))),"")</f>
        <v>51683</v>
      </c>
      <c r="M704" t="str">
        <f t="shared" si="254"/>
        <v xml:space="preserve">+7 (903) 012-34-56</v>
      </c>
      <c r="N704" t="str">
        <f t="shared" si="255"/>
        <v>ushakov@mail</v>
      </c>
      <c r="O704" t="str">
        <f t="shared" si="256"/>
        <v xml:space="preserve">Ошибка Email</v>
      </c>
      <c r="P704" t="str">
        <f>IFERROR(VLOOKUP(TRIM(SUBSTITUTE(SUBSTITUTE(" "&amp;F704," г "," "),"г.","")),Справочники!$J$3:$K$102,2,0),TRIM(SUBSTITUTE(SUBSTITUTE(" "&amp;F704," г "," "),"г.","")))</f>
        <v>Йошкар-Ола</v>
      </c>
    </row>
    <row r="705">
      <c r="A705" s="3" t="s">
        <v>3416</v>
      </c>
      <c r="B705" s="3" t="s">
        <v>6819</v>
      </c>
      <c r="C705" s="3" t="s">
        <v>6820</v>
      </c>
      <c r="D705" s="3" t="s">
        <v>1633</v>
      </c>
      <c r="E705" s="3" t="s">
        <v>6821</v>
      </c>
      <c r="F705" s="3" t="s">
        <v>4295</v>
      </c>
      <c r="G705" s="3" t="s">
        <v>6822</v>
      </c>
      <c r="H705" t="str">
        <f t="shared" si="251"/>
        <v xml:space="preserve">Минаева Мария Павловна</v>
      </c>
      <c r="I705" s="5">
        <f>IFERROR(IF(ISNUMBER(FIND("-",C705)),DATE(VALUE(LEFT(C705,4)),VALUE(MID(C705,6,2)),VALUE(RIGHT(C705,2))),IF(ISNUMBER(FIND(".",C705)),DATE(VALUE(RIGHT(C705,4)),VALUE(MID(C705,4,2)),VALUE(LEFT(C705,2))),DATE(VALUE(RIGHT(C705,4)),VLOOKUP(TRIM(MID(C705,FIND(" ",C705)+1,LEN(C705)-FIND(" ",C705)-5)),Справочники!$M$3:$N$14,2,0),VALUE(LEFT(C705,FIND(" ",C705)-1))))),"")</f>
        <v>33837</v>
      </c>
      <c r="J705" s="6">
        <f t="shared" si="252"/>
        <v>34</v>
      </c>
      <c r="K705" t="str">
        <f t="shared" si="253"/>
        <v>ОК</v>
      </c>
      <c r="L705" s="5">
        <f>IFERROR(IF(ISNUMBER(FIND("-",G705)),DATE(VALUE(LEFT(G705,4)),VALUE(MID(G705,6,2)),VALUE(RIGHT(G705,2))),IF(ISNUMBER(FIND(".",G705)),DATE(VALUE(RIGHT(G705,4)),VALUE(MID(G705,4,2)),VALUE(LEFT(G705,2))),DATE(VALUE(RIGHT(G705,4)),VLOOKUP(TRIM(MID(G705,FIND(" ",G705)+1,LEN(G705)-FIND(" ",G705)-5)),Справочники!$M$3:$N$14,2,0),VALUE(LEFT(G705,FIND(" ",G705)-1))))),"")</f>
        <v>51697</v>
      </c>
      <c r="M705" t="str">
        <f t="shared" si="254"/>
        <v xml:space="preserve">+7 (903) 012-34-56</v>
      </c>
      <c r="N705" t="str">
        <f t="shared" si="255"/>
        <v>minaeva@yandex</v>
      </c>
      <c r="O705" t="str">
        <f t="shared" si="256"/>
        <v xml:space="preserve">Ошибка Email</v>
      </c>
      <c r="P705" t="str">
        <f>IFERROR(VLOOKUP(TRIM(SUBSTITUTE(SUBSTITUTE(" "&amp;F705," г "," "),"г.","")),Справочники!$J$3:$K$102,2,0),TRIM(SUBSTITUTE(SUBSTITUTE(" "&amp;F705," г "," "),"г.","")))</f>
        <v>Курган</v>
      </c>
    </row>
    <row r="706">
      <c r="A706" s="3" t="s">
        <v>3419</v>
      </c>
      <c r="B706" s="3" t="s">
        <v>6823</v>
      </c>
      <c r="C706" s="3" t="s">
        <v>6824</v>
      </c>
      <c r="D706" s="3" t="s">
        <v>4034</v>
      </c>
      <c r="E706" s="3" t="s">
        <v>6825</v>
      </c>
      <c r="F706" s="3" t="s">
        <v>4300</v>
      </c>
      <c r="G706" s="3" t="s">
        <v>6826</v>
      </c>
      <c r="H706" t="str">
        <f t="shared" si="251"/>
        <v xml:space="preserve">Герасимова Ольга Сергеевна</v>
      </c>
      <c r="I706" s="5">
        <f>IFERROR(IF(ISNUMBER(FIND("-",C706)),DATE(VALUE(LEFT(C706,4)),VALUE(MID(C706,6,2)),VALUE(RIGHT(C706,2))),IF(ISNUMBER(FIND(".",C706)),DATE(VALUE(RIGHT(C706,4)),VALUE(MID(C706,4,2)),VALUE(LEFT(C706,2))),DATE(VALUE(RIGHT(C706,4)),VLOOKUP(TRIM(MID(C706,FIND(" ",C706)+1,LEN(C706)-FIND(" ",C706)-5)),Справочники!$M$3:$N$14,2,0),VALUE(LEFT(C706,FIND(" ",C706)-1))))),"")</f>
        <v>28959</v>
      </c>
      <c r="J706" s="6">
        <f t="shared" si="252"/>
        <v>47</v>
      </c>
      <c r="K706" t="str">
        <f t="shared" si="253"/>
        <v>ОК</v>
      </c>
      <c r="L706" s="5">
        <f>IFERROR(IF(ISNUMBER(FIND("-",G706)),DATE(VALUE(LEFT(G706,4)),VALUE(MID(G706,6,2)),VALUE(RIGHT(G706,2))),IF(ISNUMBER(FIND(".",G706)),DATE(VALUE(RIGHT(G706,4)),VALUE(MID(G706,4,2)),VALUE(LEFT(G706,2))),DATE(VALUE(RIGHT(G706,4)),VLOOKUP(TRIM(MID(G706,FIND(" ",G706)+1,LEN(G706)-FIND(" ",G706)-5)),Справочники!$M$3:$N$14,2,0),VALUE(LEFT(G706,FIND(" ",G706)-1))))),"")</f>
        <v>51697</v>
      </c>
      <c r="M706" t="str">
        <f t="shared" si="254"/>
        <v xml:space="preserve">+7 (903) 123-45-67</v>
      </c>
      <c r="N706" t="str">
        <f t="shared" si="255"/>
        <v>gerasimova@gmail</v>
      </c>
      <c r="O706" t="str">
        <f t="shared" si="256"/>
        <v xml:space="preserve">Ошибка Email</v>
      </c>
      <c r="P706" t="str">
        <f>IFERROR(VLOOKUP(TRIM(SUBSTITUTE(SUBSTITUTE(" "&amp;F706," г "," "),"г.","")),Справочники!$J$3:$K$102,2,0),TRIM(SUBSTITUTE(SUBSTITUTE(" "&amp;F706," г "," "),"г.","")))</f>
        <v>Архангельск</v>
      </c>
    </row>
    <row r="707">
      <c r="A707" s="3" t="s">
        <v>3420</v>
      </c>
      <c r="B707" s="3" t="s">
        <v>6827</v>
      </c>
      <c r="C707" s="3" t="s">
        <v>6828</v>
      </c>
      <c r="D707" s="3" t="s">
        <v>4040</v>
      </c>
      <c r="E707" s="3" t="s">
        <v>6829</v>
      </c>
      <c r="F707" s="3" t="s">
        <v>4305</v>
      </c>
      <c r="G707" s="3" t="s">
        <v>6830</v>
      </c>
      <c r="H707" t="str">
        <f t="shared" si="251"/>
        <v xml:space="preserve">Печерский Денис Викторович</v>
      </c>
      <c r="I707" s="5">
        <f>IFERROR(IF(ISNUMBER(FIND("-",C707)),DATE(VALUE(LEFT(C707,4)),VALUE(MID(C707,6,2)),VALUE(RIGHT(C707,2))),IF(ISNUMBER(FIND(".",C707)),DATE(VALUE(RIGHT(C707,4)),VALUE(MID(C707,4,2)),VALUE(LEFT(C707,2))),DATE(VALUE(RIGHT(C707,4)),VLOOKUP(TRIM(MID(C707,FIND(" ",C707)+1,LEN(C707)-FIND(" ",C707)-5)),Справочники!$M$3:$N$14,2,0),VALUE(LEFT(C707,FIND(" ",C707)-1))))),"")</f>
        <v>31226</v>
      </c>
      <c r="J707" s="6">
        <f t="shared" si="252"/>
        <v>41</v>
      </c>
      <c r="K707" t="str">
        <f t="shared" si="253"/>
        <v>ОК</v>
      </c>
      <c r="L707" s="5">
        <f>IFERROR(IF(ISNUMBER(FIND("-",G707)),DATE(VALUE(LEFT(G707,4)),VALUE(MID(G707,6,2)),VALUE(RIGHT(G707,2))),IF(ISNUMBER(FIND(".",G707)),DATE(VALUE(RIGHT(G707,4)),VALUE(MID(G707,4,2)),VALUE(LEFT(G707,2))),DATE(VALUE(RIGHT(G707,4)),VLOOKUP(TRIM(MID(G707,FIND(" ",G707)+1,LEN(G707)-FIND(" ",G707)-5)),Справочники!$M$3:$N$14,2,0),VALUE(LEFT(G707,FIND(" ",G707)-1))))),"")</f>
        <v>51714</v>
      </c>
      <c r="M707" t="str">
        <f t="shared" si="254"/>
        <v xml:space="preserve">+7 (903) 123-45-67</v>
      </c>
      <c r="N707" t="str">
        <f t="shared" si="255"/>
        <v>pechersky@mail</v>
      </c>
      <c r="O707" t="str">
        <f t="shared" si="256"/>
        <v xml:space="preserve">Ошибка Email</v>
      </c>
      <c r="P707" t="str">
        <f>IFERROR(VLOOKUP(TRIM(SUBSTITUTE(SUBSTITUTE(" "&amp;F707," г "," "),"г.","")),Справочники!$J$3:$K$102,2,0),TRIM(SUBSTITUTE(SUBSTITUTE(" "&amp;F707," г "," "),"г.","")))</f>
        <v>Благовещенск</v>
      </c>
    </row>
    <row r="708">
      <c r="A708" s="3" t="s">
        <v>3423</v>
      </c>
      <c r="B708" s="3" t="s">
        <v>6831</v>
      </c>
      <c r="C708" s="3" t="s">
        <v>6832</v>
      </c>
      <c r="D708" s="3" t="s">
        <v>1570</v>
      </c>
      <c r="E708" s="3" t="s">
        <v>6833</v>
      </c>
      <c r="F708" s="3" t="s">
        <v>4310</v>
      </c>
      <c r="G708" s="3" t="s">
        <v>6834</v>
      </c>
      <c r="H708" t="str">
        <f t="shared" si="251"/>
        <v xml:space="preserve">Карасева Екатерина Алексеевна</v>
      </c>
      <c r="I708" s="5">
        <f>IFERROR(IF(ISNUMBER(FIND("-",C708)),DATE(VALUE(LEFT(C708,4)),VALUE(MID(C708,6,2)),VALUE(RIGHT(C708,2))),IF(ISNUMBER(FIND(".",C708)),DATE(VALUE(RIGHT(C708,4)),VALUE(MID(C708,4,2)),VALUE(LEFT(C708,2))),DATE(VALUE(RIGHT(C708,4)),VLOOKUP(TRIM(MID(C708,FIND(" ",C708)+1,LEN(C708)-FIND(" ",C708)-5)),Справочники!$M$3:$N$14,2,0),VALUE(LEFT(C708,FIND(" ",C708)-1))))),"")</f>
        <v>33224</v>
      </c>
      <c r="J708" s="6">
        <f t="shared" si="252"/>
        <v>35</v>
      </c>
      <c r="K708" t="str">
        <f t="shared" si="253"/>
        <v>ОК</v>
      </c>
      <c r="L708" s="5">
        <f>IFERROR(IF(ISNUMBER(FIND("-",G708)),DATE(VALUE(LEFT(G708,4)),VALUE(MID(G708,6,2)),VALUE(RIGHT(G708,2))),IF(ISNUMBER(FIND(".",G708)),DATE(VALUE(RIGHT(G708,4)),VALUE(MID(G708,4,2)),VALUE(LEFT(G708,2))),DATE(VALUE(RIGHT(G708,4)),VLOOKUP(TRIM(MID(G708,FIND(" ",G708)+1,LEN(G708)-FIND(" ",G708)-5)),Справочники!$M$3:$N$14,2,0),VALUE(LEFT(G708,FIND(" ",G708)-1))))),"")</f>
        <v>51723</v>
      </c>
      <c r="M708" t="str">
        <f t="shared" si="254"/>
        <v xml:space="preserve">+7 (903) 123-45-67</v>
      </c>
      <c r="N708" t="str">
        <f t="shared" si="255"/>
        <v>karaseva@yandex</v>
      </c>
      <c r="O708" t="str">
        <f t="shared" si="256"/>
        <v xml:space="preserve">Ошибка Email</v>
      </c>
      <c r="P708" t="str">
        <f>IFERROR(VLOOKUP(TRIM(SUBSTITUTE(SUBSTITUTE(" "&amp;F708," г "," "),"г.","")),Справочники!$J$3:$K$102,2,0),TRIM(SUBSTITUTE(SUBSTITUTE(" "&amp;F708," г "," "),"г.","")))</f>
        <v>Майкоп</v>
      </c>
    </row>
    <row r="709">
      <c r="A709" s="3" t="s">
        <v>3424</v>
      </c>
      <c r="B709" s="3" t="s">
        <v>6835</v>
      </c>
      <c r="C709" s="3" t="s">
        <v>6836</v>
      </c>
      <c r="D709" s="3" t="s">
        <v>4051</v>
      </c>
      <c r="E709" s="3" t="s">
        <v>4780</v>
      </c>
      <c r="F709" s="3" t="s">
        <v>4315</v>
      </c>
      <c r="G709" s="3" t="s">
        <v>6837</v>
      </c>
      <c r="H709" t="str">
        <f t="shared" si="251"/>
        <v xml:space="preserve">Лукин Андрей Олегович</v>
      </c>
      <c r="I709" s="5">
        <f>IFERROR(IF(ISNUMBER(FIND("-",C709)),DATE(VALUE(LEFT(C709,4)),VALUE(MID(C709,6,2)),VALUE(RIGHT(C709,2))),IF(ISNUMBER(FIND(".",C709)),DATE(VALUE(RIGHT(C709,4)),VALUE(MID(C709,4,2)),VALUE(LEFT(C709,2))),DATE(VALUE(RIGHT(C709,4)),VLOOKUP(TRIM(MID(C709,FIND(" ",C709)+1,LEN(C709)-FIND(" ",C709)-5)),Справочники!$M$3:$N$14,2,0),VALUE(LEFT(C709,FIND(" ",C709)-1))))),"")</f>
        <v>28165</v>
      </c>
      <c r="J709" s="6">
        <f t="shared" si="252"/>
        <v>49</v>
      </c>
      <c r="K709" t="str">
        <f t="shared" si="253"/>
        <v>ОК</v>
      </c>
      <c r="L709" s="5">
        <f>IFERROR(IF(ISNUMBER(FIND("-",G709)),DATE(VALUE(LEFT(G709,4)),VALUE(MID(G709,6,2)),VALUE(RIGHT(G709,2))),IF(ISNUMBER(FIND(".",G709)),DATE(VALUE(RIGHT(G709,4)),VALUE(MID(G709,4,2)),VALUE(LEFT(G709,2))),DATE(VALUE(RIGHT(G709,4)),VLOOKUP(TRIM(MID(G709,FIND(" ",G709)+1,LEN(G709)-FIND(" ",G709)-5)),Справочники!$M$3:$N$14,2,0),VALUE(LEFT(G709,FIND(" ",G709)-1))))),"")</f>
        <v>51723</v>
      </c>
      <c r="M709" t="str">
        <f t="shared" si="254"/>
        <v xml:space="preserve">+7 (903) 234-56-78</v>
      </c>
      <c r="N709" t="str">
        <f t="shared" si="255"/>
        <v>lukin@gmail</v>
      </c>
      <c r="O709" t="str">
        <f t="shared" si="256"/>
        <v xml:space="preserve">Ошибка Email</v>
      </c>
      <c r="P709" t="str">
        <f>IFERROR(VLOOKUP(TRIM(SUBSTITUTE(SUBSTITUTE(" "&amp;F709," г "," "),"г.","")),Справочники!$J$3:$K$102,2,0),TRIM(SUBSTITUTE(SUBSTITUTE(" "&amp;F709," г "," "),"г.","")))</f>
        <v>Уссурийск</v>
      </c>
    </row>
    <row r="710">
      <c r="A710" s="3" t="s">
        <v>3426</v>
      </c>
      <c r="B710" s="3" t="s">
        <v>6838</v>
      </c>
      <c r="C710" s="3" t="s">
        <v>6839</v>
      </c>
      <c r="D710" s="3" t="s">
        <v>4057</v>
      </c>
      <c r="E710" s="3" t="s">
        <v>6840</v>
      </c>
      <c r="F710" s="3" t="s">
        <v>4320</v>
      </c>
      <c r="G710" s="3" t="s">
        <v>6841</v>
      </c>
      <c r="H710" t="str">
        <f t="shared" si="251"/>
        <v xml:space="preserve">Седова Мария Владимировна</v>
      </c>
      <c r="I710" s="5">
        <f>IFERROR(IF(ISNUMBER(FIND("-",C710)),DATE(VALUE(LEFT(C710,4)),VALUE(MID(C710,6,2)),VALUE(RIGHT(C710,2))),IF(ISNUMBER(FIND(".",C710)),DATE(VALUE(RIGHT(C710,4)),VALUE(MID(C710,4,2)),VALUE(LEFT(C710,2))),DATE(VALUE(RIGHT(C710,4)),VLOOKUP(TRIM(MID(C710,FIND(" ",C710)+1,LEN(C710)-FIND(" ",C710)-5)),Справочники!$M$3:$N$14,2,0),VALUE(LEFT(C710,FIND(" ",C710)-1))))),"")</f>
        <v>30521</v>
      </c>
      <c r="J710" s="6">
        <f t="shared" si="252"/>
        <v>43</v>
      </c>
      <c r="K710" t="str">
        <f t="shared" si="253"/>
        <v>ОК</v>
      </c>
      <c r="L710" s="5">
        <f>IFERROR(IF(ISNUMBER(FIND("-",G710)),DATE(VALUE(LEFT(G710,4)),VALUE(MID(G710,6,2)),VALUE(RIGHT(G710,2))),IF(ISNUMBER(FIND(".",G710)),DATE(VALUE(RIGHT(G710,4)),VALUE(MID(G710,4,2)),VALUE(LEFT(G710,2))),DATE(VALUE(RIGHT(G710,4)),VLOOKUP(TRIM(MID(G710,FIND(" ",G710)+1,LEN(G710)-FIND(" ",G710)-5)),Справочники!$M$3:$N$14,2,0),VALUE(LEFT(G710,FIND(" ",G710)-1))))),"")</f>
        <v>51745</v>
      </c>
      <c r="M710" t="str">
        <f t="shared" si="254"/>
        <v xml:space="preserve">+7 (903) 234-56-78</v>
      </c>
      <c r="N710" t="str">
        <f t="shared" si="255"/>
        <v>sedova@mail</v>
      </c>
      <c r="O710" t="str">
        <f t="shared" si="256"/>
        <v xml:space="preserve">Ошибка Email</v>
      </c>
      <c r="P710" t="str">
        <f>IFERROR(VLOOKUP(TRIM(SUBSTITUTE(SUBSTITUTE(" "&amp;F710," г "," "),"г.","")),Справочники!$J$3:$K$102,2,0),TRIM(SUBSTITUTE(SUBSTITUTE(" "&amp;F710," г "," "),"г.","")))</f>
        <v>Миасс</v>
      </c>
    </row>
    <row r="711">
      <c r="A711" s="3" t="s">
        <v>3427</v>
      </c>
      <c r="B711" s="3" t="s">
        <v>6842</v>
      </c>
      <c r="C711" s="3" t="s">
        <v>6843</v>
      </c>
      <c r="D711" s="3" t="s">
        <v>1712</v>
      </c>
      <c r="E711" s="3" t="s">
        <v>6844</v>
      </c>
      <c r="F711" s="3" t="s">
        <v>4325</v>
      </c>
      <c r="G711" s="3" t="s">
        <v>6845</v>
      </c>
      <c r="H711" t="str">
        <f t="shared" si="251"/>
        <v xml:space="preserve">Новожилов Илья Алексеевич</v>
      </c>
      <c r="I711" s="5">
        <f>IFERROR(IF(ISNUMBER(FIND("-",C711)),DATE(VALUE(LEFT(C711,4)),VALUE(MID(C711,6,2)),VALUE(RIGHT(C711,2))),IF(ISNUMBER(FIND(".",C711)),DATE(VALUE(RIGHT(C711,4)),VALUE(MID(C711,4,2)),VALUE(LEFT(C711,2))),DATE(VALUE(RIGHT(C711,4)),VLOOKUP(TRIM(MID(C711,FIND(" ",C711)+1,LEN(C711)-FIND(" ",C711)-5)),Справочники!$M$3:$N$14,2,0),VALUE(LEFT(C711,FIND(" ",C711)-1))))),"")</f>
        <v>32217</v>
      </c>
      <c r="J711" s="6">
        <f t="shared" si="252"/>
        <v>38</v>
      </c>
      <c r="K711" t="str">
        <f t="shared" si="253"/>
        <v>ОК</v>
      </c>
      <c r="L711" s="5">
        <f>IFERROR(IF(ISNUMBER(FIND("-",G711)),DATE(VALUE(LEFT(G711,4)),VALUE(MID(G711,6,2)),VALUE(RIGHT(G711,2))),IF(ISNUMBER(FIND(".",G711)),DATE(VALUE(RIGHT(G711,4)),VALUE(MID(G711,4,2)),VALUE(LEFT(G711,2))),DATE(VALUE(RIGHT(G711,4)),VLOOKUP(TRIM(MID(G711,FIND(" ",G711)+1,LEN(G711)-FIND(" ",G711)-5)),Справочники!$M$3:$N$14,2,0),VALUE(LEFT(G711,FIND(" ",G711)-1))))),"")</f>
        <v>51759</v>
      </c>
      <c r="M711" t="str">
        <f t="shared" si="254"/>
        <v xml:space="preserve">+7 (903) 234-56-78</v>
      </c>
      <c r="N711" t="str">
        <f t="shared" si="255"/>
        <v>novozhilov@yandex</v>
      </c>
      <c r="O711" t="str">
        <f t="shared" si="256"/>
        <v xml:space="preserve">Ошибка Email</v>
      </c>
      <c r="P711" t="str">
        <f>IFERROR(VLOOKUP(TRIM(SUBSTITUTE(SUBSTITUTE(" "&amp;F711," г "," "),"г.","")),Справочники!$J$3:$K$102,2,0),TRIM(SUBSTITUTE(SUBSTITUTE(" "&amp;F711," г "," "),"г.","")))</f>
        <v>Кызыл</v>
      </c>
    </row>
    <row r="712">
      <c r="A712" s="3" t="s">
        <v>3429</v>
      </c>
      <c r="B712" s="3" t="s">
        <v>6846</v>
      </c>
      <c r="C712" s="3" t="s">
        <v>6847</v>
      </c>
      <c r="D712" s="3" t="s">
        <v>1584</v>
      </c>
      <c r="E712" s="3" t="s">
        <v>6848</v>
      </c>
      <c r="F712" s="3" t="s">
        <v>4330</v>
      </c>
      <c r="G712" s="3" t="s">
        <v>6849</v>
      </c>
      <c r="H712" t="str">
        <f t="shared" si="251"/>
        <v xml:space="preserve">Терентьева Ольга Павловна</v>
      </c>
      <c r="I712" s="5">
        <f>IFERROR(IF(ISNUMBER(FIND("-",C712)),DATE(VALUE(LEFT(C712,4)),VALUE(MID(C712,6,2)),VALUE(RIGHT(C712,2))),IF(ISNUMBER(FIND(".",C712)),DATE(VALUE(RIGHT(C712,4)),VALUE(MID(C712,4,2)),VALUE(LEFT(C712,2))),DATE(VALUE(RIGHT(C712,4)),VLOOKUP(TRIM(MID(C712,FIND(" ",C712)+1,LEN(C712)-FIND(" ",C712)-5)),Справочники!$M$3:$N$14,2,0),VALUE(LEFT(C712,FIND(" ",C712)-1))))),"")</f>
        <v>27334</v>
      </c>
      <c r="J712" s="6">
        <f t="shared" si="252"/>
        <v>51</v>
      </c>
      <c r="K712" t="str">
        <f t="shared" si="253"/>
        <v>ОК</v>
      </c>
      <c r="L712" s="5">
        <f>IFERROR(IF(ISNUMBER(FIND("-",G712)),DATE(VALUE(LEFT(G712,4)),VALUE(MID(G712,6,2)),VALUE(RIGHT(G712,2))),IF(ISNUMBER(FIND(".",G712)),DATE(VALUE(RIGHT(G712,4)),VALUE(MID(G712,4,2)),VALUE(LEFT(G712,2))),DATE(VALUE(RIGHT(G712,4)),VLOOKUP(TRIM(MID(G712,FIND(" ",G712)+1,LEN(G712)-FIND(" ",G712)-5)),Справочники!$M$3:$N$14,2,0),VALUE(LEFT(G712,FIND(" ",G712)-1))))),"")</f>
        <v>51759</v>
      </c>
      <c r="M712" t="str">
        <f t="shared" si="254"/>
        <v xml:space="preserve">+7 (903) 345-67-89</v>
      </c>
      <c r="N712" t="str">
        <f t="shared" si="255"/>
        <v>terenteva@gmail</v>
      </c>
      <c r="O712" t="str">
        <f t="shared" si="256"/>
        <v xml:space="preserve">Ошибка Email</v>
      </c>
      <c r="P712" t="str">
        <f>IFERROR(VLOOKUP(TRIM(SUBSTITUTE(SUBSTITUTE(" "&amp;F712," г "," "),"г.","")),Справочники!$J$3:$K$102,2,0),TRIM(SUBSTITUTE(SUBSTITUTE(" "&amp;F712," г "," "),"г.","")))</f>
        <v>Калининград</v>
      </c>
    </row>
    <row r="713">
      <c r="A713" s="3" t="s">
        <v>3431</v>
      </c>
      <c r="B713" s="3" t="s">
        <v>6850</v>
      </c>
      <c r="C713" s="3" t="s">
        <v>6851</v>
      </c>
      <c r="D713" s="3" t="s">
        <v>4073</v>
      </c>
      <c r="E713" s="3" t="s">
        <v>6852</v>
      </c>
      <c r="F713" s="3" t="s">
        <v>4335</v>
      </c>
      <c r="G713" s="3" t="s">
        <v>6853</v>
      </c>
      <c r="H713" t="str">
        <f t="shared" si="251"/>
        <v xml:space="preserve">Горбатов Денис Сергеевич</v>
      </c>
      <c r="I713" s="5">
        <f>IFERROR(IF(ISNUMBER(FIND("-",C713)),DATE(VALUE(LEFT(C713,4)),VALUE(MID(C713,6,2)),VALUE(RIGHT(C713,2))),IF(ISNUMBER(FIND(".",C713)),DATE(VALUE(RIGHT(C713,4)),VALUE(MID(C713,4,2)),VALUE(LEFT(C713,2))),DATE(VALUE(RIGHT(C713,4)),VLOOKUP(TRIM(MID(C713,FIND(" ",C713)+1,LEN(C713)-FIND(" ",C713)-5)),Справочники!$M$3:$N$14,2,0),VALUE(LEFT(C713,FIND(" ",C713)-1))))),"")</f>
        <v>30246</v>
      </c>
      <c r="J713" s="6">
        <f t="shared" si="252"/>
        <v>44</v>
      </c>
      <c r="K713" t="str">
        <f t="shared" si="253"/>
        <v>ОК</v>
      </c>
      <c r="L713" s="5">
        <f>IFERROR(IF(ISNUMBER(FIND("-",G713)),DATE(VALUE(LEFT(G713,4)),VALUE(MID(G713,6,2)),VALUE(RIGHT(G713,2))),IF(ISNUMBER(FIND(".",G713)),DATE(VALUE(RIGHT(G713,4)),VALUE(MID(G713,4,2)),VALUE(LEFT(G713,2))),DATE(VALUE(RIGHT(G713,4)),VLOOKUP(TRIM(MID(G713,FIND(" ",G713)+1,LEN(G713)-FIND(" ",G713)-5)),Справочники!$M$3:$N$14,2,0),VALUE(LEFT(G713,FIND(" ",G713)-1))))),"")</f>
        <v>51775</v>
      </c>
      <c r="M713" t="str">
        <f t="shared" si="254"/>
        <v xml:space="preserve">+7 (903) 345-67-89</v>
      </c>
      <c r="N713" t="str">
        <f t="shared" si="255"/>
        <v>gorbatov@mail</v>
      </c>
      <c r="O713" t="str">
        <f t="shared" si="256"/>
        <v xml:space="preserve">Ошибка Email</v>
      </c>
      <c r="P713" t="str">
        <f>IFERROR(VLOOKUP(TRIM(SUBSTITUTE(SUBSTITUTE(" "&amp;F713," г "," "),"г.","")),Справочники!$J$3:$K$102,2,0),TRIM(SUBSTITUTE(SUBSTITUTE(" "&amp;F713," г "," "),"г.","")))</f>
        <v>Петрозаводск</v>
      </c>
    </row>
    <row r="714">
      <c r="A714" s="3" t="s">
        <v>3434</v>
      </c>
      <c r="B714" s="3" t="s">
        <v>6854</v>
      </c>
      <c r="C714" s="3" t="s">
        <v>6855</v>
      </c>
      <c r="D714" s="3" t="s">
        <v>4079</v>
      </c>
      <c r="E714" s="3" t="s">
        <v>6856</v>
      </c>
      <c r="F714" s="3" t="s">
        <v>4340</v>
      </c>
      <c r="G714" s="3" t="s">
        <v>6857</v>
      </c>
      <c r="H714" t="str">
        <f t="shared" si="251"/>
        <v xml:space="preserve">Шелестова Екатерина Сергеевна</v>
      </c>
      <c r="I714" s="5">
        <f>IFERROR(IF(ISNUMBER(FIND("-",C714)),DATE(VALUE(LEFT(C714,4)),VALUE(MID(C714,6,2)),VALUE(RIGHT(C714,2))),IF(ISNUMBER(FIND(".",C714)),DATE(VALUE(RIGHT(C714,4)),VALUE(MID(C714,4,2)),VALUE(LEFT(C714,2))),DATE(VALUE(RIGHT(C714,4)),VLOOKUP(TRIM(MID(C714,FIND(" ",C714)+1,LEN(C714)-FIND(" ",C714)-5)),Справочники!$M$3:$N$14,2,0),VALUE(LEFT(C714,FIND(" ",C714)-1))))),"")</f>
        <v>32640</v>
      </c>
      <c r="J714" s="6">
        <f t="shared" si="252"/>
        <v>37</v>
      </c>
      <c r="K714" t="str">
        <f t="shared" si="253"/>
        <v>ОК</v>
      </c>
      <c r="L714" s="5">
        <f>IFERROR(IF(ISNUMBER(FIND("-",G714)),DATE(VALUE(LEFT(G714,4)),VALUE(MID(G714,6,2)),VALUE(RIGHT(G714,2))),IF(ISNUMBER(FIND(".",G714)),DATE(VALUE(RIGHT(G714,4)),VALUE(MID(G714,4,2)),VALUE(LEFT(G714,2))),DATE(VALUE(RIGHT(G714,4)),VLOOKUP(TRIM(MID(G714,FIND(" ",G714)+1,LEN(G714)-FIND(" ",G714)-5)),Справочники!$M$3:$N$14,2,0),VALUE(LEFT(G714,FIND(" ",G714)-1))))),"")</f>
        <v>51784</v>
      </c>
      <c r="M714" t="str">
        <f t="shared" si="254"/>
        <v xml:space="preserve">+7 (903) 345-67-89</v>
      </c>
      <c r="N714" t="str">
        <f t="shared" si="255"/>
        <v>shelyostova@yandex</v>
      </c>
      <c r="O714" t="str">
        <f t="shared" si="256"/>
        <v xml:space="preserve">Ошибка Email</v>
      </c>
      <c r="P714" t="str">
        <f>IFERROR(VLOOKUP(TRIM(SUBSTITUTE(SUBSTITUTE(" "&amp;F714," г "," "),"г.","")),Справочники!$J$3:$K$102,2,0),TRIM(SUBSTITUTE(SUBSTITUTE(" "&amp;F714," г "," "),"г.","")))</f>
        <v>Рубцовск</v>
      </c>
    </row>
    <row r="715">
      <c r="A715" s="3" t="s">
        <v>3435</v>
      </c>
      <c r="B715" s="3" t="s">
        <v>6858</v>
      </c>
      <c r="C715" s="3" t="s">
        <v>6859</v>
      </c>
      <c r="D715" s="3" t="s">
        <v>4085</v>
      </c>
      <c r="E715" s="3" t="s">
        <v>6860</v>
      </c>
      <c r="F715" s="3" t="s">
        <v>4345</v>
      </c>
      <c r="G715" s="3" t="s">
        <v>6861</v>
      </c>
      <c r="H715" t="str">
        <f t="shared" si="251"/>
        <v xml:space="preserve">Костин Андрей Павлович</v>
      </c>
      <c r="I715" s="5">
        <f>IFERROR(IF(ISNUMBER(FIND("-",C715)),DATE(VALUE(LEFT(C715,4)),VALUE(MID(C715,6,2)),VALUE(RIGHT(C715,2))),IF(ISNUMBER(FIND(".",C715)),DATE(VALUE(RIGHT(C715,4)),VALUE(MID(C715,4,2)),VALUE(LEFT(C715,2))),DATE(VALUE(RIGHT(C715,4)),VLOOKUP(TRIM(MID(C715,FIND(" ",C715)+1,LEN(C715)-FIND(" ",C715)-5)),Справочники!$M$3:$N$14,2,0),VALUE(LEFT(C715,FIND(" ",C715)-1))))),"")</f>
        <v>27786</v>
      </c>
      <c r="J715" s="6">
        <f t="shared" si="252"/>
        <v>50</v>
      </c>
      <c r="K715" t="str">
        <f t="shared" si="253"/>
        <v>ОК</v>
      </c>
      <c r="L715" s="5">
        <f>IFERROR(IF(ISNUMBER(FIND("-",G715)),DATE(VALUE(LEFT(G715,4)),VALUE(MID(G715,6,2)),VALUE(RIGHT(G715,2))),IF(ISNUMBER(FIND(".",G715)),DATE(VALUE(RIGHT(G715,4)),VALUE(MID(G715,4,2)),VALUE(LEFT(G715,2))),DATE(VALUE(RIGHT(G715,4)),VLOOKUP(TRIM(MID(G715,FIND(" ",G715)+1,LEN(G715)-FIND(" ",G715)-5)),Справочники!$M$3:$N$14,2,0),VALUE(LEFT(G715,FIND(" ",G715)-1))))),"")</f>
        <v>51784</v>
      </c>
      <c r="M715" t="str">
        <f t="shared" si="254"/>
        <v xml:space="preserve">+7 (903) 456-78-90</v>
      </c>
      <c r="N715" t="str">
        <f t="shared" si="255"/>
        <v>kostin@gmail</v>
      </c>
      <c r="O715" t="str">
        <f t="shared" si="256"/>
        <v xml:space="preserve">Ошибка Email</v>
      </c>
      <c r="P715" t="str">
        <f>IFERROR(VLOOKUP(TRIM(SUBSTITUTE(SUBSTITUTE(" "&amp;F715," г "," "),"г.","")),Справочники!$J$3:$K$102,2,0),TRIM(SUBSTITUTE(SUBSTITUTE(" "&amp;F715," г "," "),"г.","")))</f>
        <v>Элиста</v>
      </c>
    </row>
    <row r="716">
      <c r="A716" s="3" t="s">
        <v>3437</v>
      </c>
      <c r="B716" s="3" t="s">
        <v>6862</v>
      </c>
      <c r="C716" s="3" t="s">
        <v>6863</v>
      </c>
      <c r="D716" s="3" t="s">
        <v>1591</v>
      </c>
      <c r="E716" s="3" t="s">
        <v>6864</v>
      </c>
      <c r="F716" s="3" t="s">
        <v>4350</v>
      </c>
      <c r="G716" s="3" t="s">
        <v>6865</v>
      </c>
      <c r="H716" t="str">
        <f t="shared" si="251"/>
        <v xml:space="preserve">Маслова Мария Олеговна</v>
      </c>
      <c r="I716" s="5">
        <f>IFERROR(IF(ISNUMBER(FIND("-",C716)),DATE(VALUE(LEFT(C716,4)),VALUE(MID(C716,6,2)),VALUE(RIGHT(C716,2))),IF(ISNUMBER(FIND(".",C716)),DATE(VALUE(RIGHT(C716,4)),VALUE(MID(C716,4,2)),VALUE(LEFT(C716,2))),DATE(VALUE(RIGHT(C716,4)),VLOOKUP(TRIM(MID(C716,FIND(" ",C716)+1,LEN(C716)-FIND(" ",C716)-5)),Справочники!$M$3:$N$14,2,0),VALUE(LEFT(C716,FIND(" ",C716)-1))))),"")</f>
        <v>30930</v>
      </c>
      <c r="J716" s="6">
        <f t="shared" si="252"/>
        <v>42</v>
      </c>
      <c r="K716" t="str">
        <f t="shared" si="253"/>
        <v>ОК</v>
      </c>
      <c r="L716" s="5">
        <f>IFERROR(IF(ISNUMBER(FIND("-",G716)),DATE(VALUE(LEFT(G716,4)),VALUE(MID(G716,6,2)),VALUE(RIGHT(G716,2))),IF(ISNUMBER(FIND(".",G716)),DATE(VALUE(RIGHT(G716,4)),VALUE(MID(G716,4,2)),VALUE(LEFT(G716,2))),DATE(VALUE(RIGHT(G716,4)),VLOOKUP(TRIM(MID(G716,FIND(" ",G716)+1,LEN(G716)-FIND(" ",G716)-5)),Справочники!$M$3:$N$14,2,0),VALUE(LEFT(G716,FIND(" ",G716)-1))))),"")</f>
        <v>51806</v>
      </c>
      <c r="M716" t="str">
        <f t="shared" si="254"/>
        <v xml:space="preserve">+7 (903) 456-78-90</v>
      </c>
      <c r="N716" t="str">
        <f t="shared" si="255"/>
        <v>maslova@mail</v>
      </c>
      <c r="O716" t="str">
        <f t="shared" si="256"/>
        <v xml:space="preserve">Ошибка Email</v>
      </c>
      <c r="P716" t="str">
        <f>IFERROR(VLOOKUP(TRIM(SUBSTITUTE(SUBSTITUTE(" "&amp;F716," г "," "),"г.","")),Справочники!$J$3:$K$102,2,0),TRIM(SUBSTITUTE(SUBSTITUTE(" "&amp;F716," г "," "),"г.","")))</f>
        <v>Орск</v>
      </c>
    </row>
    <row r="717">
      <c r="A717" s="3" t="s">
        <v>3439</v>
      </c>
      <c r="B717" s="3" t="s">
        <v>6866</v>
      </c>
      <c r="C717" s="3" t="s">
        <v>6867</v>
      </c>
      <c r="D717" s="3" t="s">
        <v>1660</v>
      </c>
      <c r="E717" s="3" t="s">
        <v>6868</v>
      </c>
      <c r="F717" s="3" t="s">
        <v>4355</v>
      </c>
      <c r="G717" s="3" t="s">
        <v>6869</v>
      </c>
      <c r="H717" t="str">
        <f t="shared" si="251"/>
        <v xml:space="preserve">Стекольщиков Денис Викторович</v>
      </c>
      <c r="I717" s="5">
        <f>IFERROR(IF(ISNUMBER(FIND("-",C717)),DATE(VALUE(LEFT(C717,4)),VALUE(MID(C717,6,2)),VALUE(RIGHT(C717,2))),IF(ISNUMBER(FIND(".",C717)),DATE(VALUE(RIGHT(C717,4)),VALUE(MID(C717,4,2)),VALUE(LEFT(C717,2))),DATE(VALUE(RIGHT(C717,4)),VLOOKUP(TRIM(MID(C717,FIND(" ",C717)+1,LEN(C717)-FIND(" ",C717)-5)),Справочники!$M$3:$N$14,2,0),VALUE(LEFT(C717,FIND(" ",C717)-1))))),"")</f>
        <v>33586</v>
      </c>
      <c r="J717" s="6">
        <f t="shared" si="252"/>
        <v>34</v>
      </c>
      <c r="K717" t="str">
        <f t="shared" si="253"/>
        <v>ОК</v>
      </c>
      <c r="L717" s="5">
        <f>IFERROR(IF(ISNUMBER(FIND("-",G717)),DATE(VALUE(LEFT(G717,4)),VALUE(MID(G717,6,2)),VALUE(RIGHT(G717,2))),IF(ISNUMBER(FIND(".",G717)),DATE(VALUE(RIGHT(G717,4)),VALUE(MID(G717,4,2)),VALUE(LEFT(G717,2))),DATE(VALUE(RIGHT(G717,4)),VLOOKUP(TRIM(MID(G717,FIND(" ",G717)+1,LEN(G717)-FIND(" ",G717)-5)),Справочники!$M$3:$N$14,2,0),VALUE(LEFT(G717,FIND(" ",G717)-1))))),"")</f>
        <v>51820</v>
      </c>
      <c r="M717" t="str">
        <f t="shared" si="254"/>
        <v xml:space="preserve">+7 (903) 456-78-90</v>
      </c>
      <c r="N717" t="str">
        <f t="shared" si="255"/>
        <v>stekolschikov@yandex</v>
      </c>
      <c r="O717" t="str">
        <f t="shared" si="256"/>
        <v xml:space="preserve">Ошибка Email</v>
      </c>
      <c r="P717" t="str">
        <f>IFERROR(VLOOKUP(TRIM(SUBSTITUTE(SUBSTITUTE(" "&amp;F717," г "," "),"г.","")),Справочники!$J$3:$K$102,2,0),TRIM(SUBSTITUTE(SUBSTITUTE(" "&amp;F717," г "," "),"г.","")))</f>
        <v>Нижневартовск</v>
      </c>
    </row>
    <row r="718">
      <c r="A718" s="3" t="s">
        <v>3441</v>
      </c>
      <c r="B718" s="3" t="s">
        <v>6870</v>
      </c>
      <c r="C718" s="3" t="s">
        <v>6871</v>
      </c>
      <c r="D718" s="3" t="s">
        <v>3984</v>
      </c>
      <c r="E718" s="3" t="s">
        <v>6872</v>
      </c>
      <c r="F718" s="3" t="s">
        <v>4360</v>
      </c>
      <c r="G718" s="3" t="s">
        <v>6873</v>
      </c>
      <c r="H718" t="str">
        <f t="shared" si="251"/>
        <v xml:space="preserve">Орехова Ольга Владимировна</v>
      </c>
      <c r="I718" s="5">
        <f>IFERROR(IF(ISNUMBER(FIND("-",C718)),DATE(VALUE(LEFT(C718,4)),VALUE(MID(C718,6,2)),VALUE(RIGHT(C718,2))),IF(ISNUMBER(FIND(".",C718)),DATE(VALUE(RIGHT(C718,4)),VALUE(MID(C718,4,2)),VALUE(LEFT(C718,2))),DATE(VALUE(RIGHT(C718,4)),VLOOKUP(TRIM(MID(C718,FIND(" ",C718)+1,LEN(C718)-FIND(" ",C718)-5)),Справочники!$M$3:$N$14,2,0),VALUE(LEFT(C718,FIND(" ",C718)-1))))),"")</f>
        <v>28223</v>
      </c>
      <c r="J718" s="6">
        <f t="shared" si="252"/>
        <v>49</v>
      </c>
      <c r="K718" t="str">
        <f t="shared" si="253"/>
        <v>ОК</v>
      </c>
      <c r="L718" s="5">
        <f>IFERROR(IF(ISNUMBER(FIND("-",G718)),DATE(VALUE(LEFT(G718,4)),VALUE(MID(G718,6,2)),VALUE(RIGHT(G718,2))),IF(ISNUMBER(FIND(".",G718)),DATE(VALUE(RIGHT(G718,4)),VALUE(MID(G718,4,2)),VALUE(LEFT(G718,2))),DATE(VALUE(RIGHT(G718,4)),VLOOKUP(TRIM(MID(G718,FIND(" ",G718)+1,LEN(G718)-FIND(" ",G718)-5)),Справочники!$M$3:$N$14,2,0),VALUE(LEFT(G718,FIND(" ",G718)-1))))),"")</f>
        <v>51820</v>
      </c>
      <c r="M718" t="str">
        <f t="shared" si="254"/>
        <v xml:space="preserve">+7 (903) 567-89-01</v>
      </c>
      <c r="N718" t="str">
        <f t="shared" si="255"/>
        <v>orehova@gmail</v>
      </c>
      <c r="O718" t="str">
        <f t="shared" si="256"/>
        <v xml:space="preserve">Ошибка Email</v>
      </c>
      <c r="P718" t="str">
        <f>IFERROR(VLOOKUP(TRIM(SUBSTITUTE(SUBSTITUTE(" "&amp;F718," г "," "),"г.","")),Справочники!$J$3:$K$102,2,0),TRIM(SUBSTITUTE(SUBSTITUTE(" "&amp;F718," г "," "),"г.","")))</f>
        <v>Новороссийск</v>
      </c>
    </row>
    <row r="719">
      <c r="A719" s="3" t="s">
        <v>3442</v>
      </c>
      <c r="B719" s="3" t="s">
        <v>6874</v>
      </c>
      <c r="C719" s="3" t="s">
        <v>6875</v>
      </c>
      <c r="D719" s="3" t="s">
        <v>3990</v>
      </c>
      <c r="E719" s="3" t="s">
        <v>6876</v>
      </c>
      <c r="F719" s="3" t="s">
        <v>4365</v>
      </c>
      <c r="G719" s="3" t="s">
        <v>6877</v>
      </c>
      <c r="H719" t="str">
        <f t="shared" si="251"/>
        <v xml:space="preserve">Рябцев Илья Александрович</v>
      </c>
      <c r="I719" s="5">
        <f>IFERROR(IF(ISNUMBER(FIND("-",C719)),DATE(VALUE(LEFT(C719,4)),VALUE(MID(C719,6,2)),VALUE(RIGHT(C719,2))),IF(ISNUMBER(FIND(".",C719)),DATE(VALUE(RIGHT(C719,4)),VALUE(MID(C719,4,2)),VALUE(LEFT(C719,2))),DATE(VALUE(RIGHT(C719,4)),VLOOKUP(TRIM(MID(C719,FIND(" ",C719)+1,LEN(C719)-FIND(" ",C719)-5)),Справочники!$M$3:$N$14,2,0),VALUE(LEFT(C719,FIND(" ",C719)-1))))),"")</f>
        <v>30557</v>
      </c>
      <c r="J719" s="6">
        <f t="shared" si="252"/>
        <v>43</v>
      </c>
      <c r="K719" t="str">
        <f t="shared" si="253"/>
        <v>ОК</v>
      </c>
      <c r="L719" s="5">
        <f>IFERROR(IF(ISNUMBER(FIND("-",G719)),DATE(VALUE(LEFT(G719,4)),VALUE(MID(G719,6,2)),VALUE(RIGHT(G719,2))),IF(ISNUMBER(FIND(".",G719)),DATE(VALUE(RIGHT(G719,4)),VALUE(MID(G719,4,2)),VALUE(LEFT(G719,2))),DATE(VALUE(RIGHT(G719,4)),VLOOKUP(TRIM(MID(G719,FIND(" ",G719)+1,LEN(G719)-FIND(" ",G719)-5)),Справочники!$M$3:$N$14,2,0),VALUE(LEFT(G719,FIND(" ",G719)-1))))),"")</f>
        <v>51836</v>
      </c>
      <c r="M719" t="str">
        <f t="shared" si="254"/>
        <v xml:space="preserve">+7 (903) 567-89-01</v>
      </c>
      <c r="N719" t="str">
        <f t="shared" si="255"/>
        <v>ryabtsev@mail</v>
      </c>
      <c r="O719" t="str">
        <f t="shared" si="256"/>
        <v xml:space="preserve">Ошибка Email</v>
      </c>
      <c r="P719" t="str">
        <f>IFERROR(VLOOKUP(TRIM(SUBSTITUTE(SUBSTITUTE(" "&amp;F719," г "," "),"г.","")),Справочники!$J$3:$K$102,2,0),TRIM(SUBSTITUTE(SUBSTITUTE(" "&amp;F719," г "," "),"г.","")))</f>
        <v>Химки</v>
      </c>
    </row>
    <row r="720">
      <c r="A720" s="3" t="s">
        <v>3445</v>
      </c>
      <c r="B720" s="3" t="s">
        <v>6878</v>
      </c>
      <c r="C720" s="3" t="s">
        <v>6879</v>
      </c>
      <c r="D720" s="3" t="s">
        <v>1598</v>
      </c>
      <c r="E720" s="3" t="s">
        <v>6880</v>
      </c>
      <c r="F720" s="3" t="s">
        <v>4370</v>
      </c>
      <c r="G720" s="3" t="s">
        <v>6881</v>
      </c>
      <c r="H720" t="str">
        <f t="shared" si="251"/>
        <v xml:space="preserve">Клокова Екатерина Сергеевна</v>
      </c>
      <c r="I720" s="5">
        <f>IFERROR(IF(ISNUMBER(FIND("-",C720)),DATE(VALUE(LEFT(C720,4)),VALUE(MID(C720,6,2)),VALUE(RIGHT(C720,2))),IF(ISNUMBER(FIND(".",C720)),DATE(VALUE(RIGHT(C720,4)),VALUE(MID(C720,4,2)),VALUE(LEFT(C720,2))),DATE(VALUE(RIGHT(C720,4)),VLOOKUP(TRIM(MID(C720,FIND(" ",C720)+1,LEN(C720)-FIND(" ",C720)-5)),Справочники!$M$3:$N$14,2,0),VALUE(LEFT(C720,FIND(" ",C720)-1))))),"")</f>
        <v>33226</v>
      </c>
      <c r="J720" s="6">
        <f t="shared" si="252"/>
        <v>35</v>
      </c>
      <c r="K720" t="str">
        <f t="shared" si="253"/>
        <v>ОК</v>
      </c>
      <c r="L720" s="5">
        <f>IFERROR(IF(ISNUMBER(FIND("-",G720)),DATE(VALUE(LEFT(G720,4)),VALUE(MID(G720,6,2)),VALUE(RIGHT(G720,2))),IF(ISNUMBER(FIND(".",G720)),DATE(VALUE(RIGHT(G720,4)),VALUE(MID(G720,4,2)),VALUE(LEFT(G720,2))),DATE(VALUE(RIGHT(G720,4)),VLOOKUP(TRIM(MID(G720,FIND(" ",G720)+1,LEN(G720)-FIND(" ",G720)-5)),Справочники!$M$3:$N$14,2,0),VALUE(LEFT(G720,FIND(" ",G720)-1))))),"")</f>
        <v>51845</v>
      </c>
      <c r="M720" t="str">
        <f t="shared" si="254"/>
        <v xml:space="preserve">+7 (903) 567-89-01</v>
      </c>
      <c r="N720" t="str">
        <f t="shared" si="255"/>
        <v>klokova@yandex</v>
      </c>
      <c r="O720" t="str">
        <f t="shared" si="256"/>
        <v xml:space="preserve">Ошибка Email</v>
      </c>
      <c r="P720" t="str">
        <f>IFERROR(VLOOKUP(TRIM(SUBSTITUTE(SUBSTITUTE(" "&amp;F720," г "," "),"г.","")),Справочники!$J$3:$K$102,2,0),TRIM(SUBSTITUTE(SUBSTITUTE(" "&amp;F720," г "," "),"г.","")))</f>
        <v>Подольск</v>
      </c>
    </row>
    <row r="721">
      <c r="A721" s="3" t="s">
        <v>3446</v>
      </c>
      <c r="B721" s="3" t="s">
        <v>6882</v>
      </c>
      <c r="C721" s="3" t="s">
        <v>6883</v>
      </c>
      <c r="D721" s="3" t="s">
        <v>4116</v>
      </c>
      <c r="E721" s="3" t="s">
        <v>6884</v>
      </c>
      <c r="F721" s="3" t="s">
        <v>4375</v>
      </c>
      <c r="G721" s="3" t="s">
        <v>6885</v>
      </c>
      <c r="H721" t="str">
        <f t="shared" si="251"/>
        <v xml:space="preserve">Шульгин Андрей Олегович</v>
      </c>
      <c r="I721" s="5">
        <f>IFERROR(IF(ISNUMBER(FIND("-",C721)),DATE(VALUE(LEFT(C721,4)),VALUE(MID(C721,6,2)),VALUE(RIGHT(C721,2))),IF(ISNUMBER(FIND(".",C721)),DATE(VALUE(RIGHT(C721,4)),VALUE(MID(C721,4,2)),VALUE(LEFT(C721,2))),DATE(VALUE(RIGHT(C721,4)),VLOOKUP(TRIM(MID(C721,FIND(" ",C721)+1,LEN(C721)-FIND(" ",C721)-5)),Справочники!$M$3:$N$14,2,0),VALUE(LEFT(C721,FIND(" ",C721)-1))))),"")</f>
        <v>28643</v>
      </c>
      <c r="J721" s="6">
        <f t="shared" si="252"/>
        <v>48</v>
      </c>
      <c r="K721" t="str">
        <f t="shared" si="253"/>
        <v>ОК</v>
      </c>
      <c r="L721" s="5">
        <f>IFERROR(IF(ISNUMBER(FIND("-",G721)),DATE(VALUE(LEFT(G721,4)),VALUE(MID(G721,6,2)),VALUE(RIGHT(G721,2))),IF(ISNUMBER(FIND(".",G721)),DATE(VALUE(RIGHT(G721,4)),VALUE(MID(G721,4,2)),VALUE(LEFT(G721,2))),DATE(VALUE(RIGHT(G721,4)),VLOOKUP(TRIM(MID(G721,FIND(" ",G721)+1,LEN(G721)-FIND(" ",G721)-5)),Справочники!$M$3:$N$14,2,0),VALUE(LEFT(G721,FIND(" ",G721)-1))))),"")</f>
        <v>51845</v>
      </c>
      <c r="M721" t="str">
        <f t="shared" si="254"/>
        <v xml:space="preserve">+7 (903) 678-90-12</v>
      </c>
      <c r="N721" t="str">
        <f t="shared" si="255"/>
        <v>shulgin@gmail</v>
      </c>
      <c r="O721" t="str">
        <f t="shared" si="256"/>
        <v xml:space="preserve">Ошибка Email</v>
      </c>
      <c r="P721" t="str">
        <f>IFERROR(VLOOKUP(TRIM(SUBSTITUTE(SUBSTITUTE(" "&amp;F721," г "," "),"г.","")),Справочники!$J$3:$K$102,2,0),TRIM(SUBSTITUTE(SUBSTITUTE(" "&amp;F721," г "," "),"г.","")))</f>
        <v>Балашиха</v>
      </c>
    </row>
    <row r="722">
      <c r="A722" s="3" t="s">
        <v>3448</v>
      </c>
      <c r="B722" s="3" t="s">
        <v>6886</v>
      </c>
      <c r="C722" s="3" t="s">
        <v>6887</v>
      </c>
      <c r="D722" s="3" t="s">
        <v>4122</v>
      </c>
      <c r="E722" s="3" t="s">
        <v>6888</v>
      </c>
      <c r="F722" s="3" t="s">
        <v>4380</v>
      </c>
      <c r="G722" s="3" t="s">
        <v>6889</v>
      </c>
      <c r="H722" t="str">
        <f t="shared" si="251"/>
        <v xml:space="preserve">Короткова Мария Павловна</v>
      </c>
      <c r="I722" s="5">
        <f>IFERROR(IF(ISNUMBER(FIND("-",C722)),DATE(VALUE(LEFT(C722,4)),VALUE(MID(C722,6,2)),VALUE(RIGHT(C722,2))),IF(ISNUMBER(FIND(".",C722)),DATE(VALUE(RIGHT(C722,4)),VALUE(MID(C722,4,2)),VALUE(LEFT(C722,2))),DATE(VALUE(RIGHT(C722,4)),VLOOKUP(TRIM(MID(C722,FIND(" ",C722)+1,LEN(C722)-FIND(" ",C722)-5)),Справочники!$M$3:$N$14,2,0),VALUE(LEFT(C722,FIND(" ",C722)-1))))),"")</f>
        <v>31367</v>
      </c>
      <c r="J722" s="6">
        <f t="shared" si="252"/>
        <v>40</v>
      </c>
      <c r="K722" t="str">
        <f t="shared" si="253"/>
        <v>ОК</v>
      </c>
      <c r="L722" s="5">
        <f>IFERROR(IF(ISNUMBER(FIND("-",G722)),DATE(VALUE(LEFT(G722,4)),VALUE(MID(G722,6,2)),VALUE(RIGHT(G722,2))),IF(ISNUMBER(FIND(".",G722)),DATE(VALUE(RIGHT(G722,4)),VALUE(MID(G722,4,2)),VALUE(LEFT(G722,2))),DATE(VALUE(RIGHT(G722,4)),VLOOKUP(TRIM(MID(G722,FIND(" ",G722)+1,LEN(G722)-FIND(" ",G722)-5)),Справочники!$M$3:$N$14,2,0),VALUE(LEFT(G722,FIND(" ",G722)-1))))),"")</f>
        <v>51867</v>
      </c>
      <c r="M722" t="str">
        <f t="shared" si="254"/>
        <v xml:space="preserve">+7 (903) 678-90-12</v>
      </c>
      <c r="N722" t="str">
        <f t="shared" si="255"/>
        <v>korotkova@mail</v>
      </c>
      <c r="O722" t="str">
        <f t="shared" si="256"/>
        <v xml:space="preserve">Ошибка Email</v>
      </c>
      <c r="P722" t="str">
        <f>IFERROR(VLOOKUP(TRIM(SUBSTITUTE(SUBSTITUTE(" "&amp;F722," г "," "),"г.","")),Справочники!$J$3:$K$102,2,0),TRIM(SUBSTITUTE(SUBSTITUTE(" "&amp;F722," г "," "),"г.","")))</f>
        <v>Сургут</v>
      </c>
    </row>
    <row r="723">
      <c r="A723" s="3" t="s">
        <v>3450</v>
      </c>
      <c r="B723" s="3" t="s">
        <v>6890</v>
      </c>
      <c r="C723" s="3" t="s">
        <v>6891</v>
      </c>
      <c r="D723" s="3" t="s">
        <v>1605</v>
      </c>
      <c r="E723" s="3" t="s">
        <v>6892</v>
      </c>
      <c r="F723" s="3" t="s">
        <v>4385</v>
      </c>
      <c r="G723" s="3" t="s">
        <v>6893</v>
      </c>
      <c r="H723" t="str">
        <f t="shared" si="251"/>
        <v xml:space="preserve">Литвиненко Денис Викторович</v>
      </c>
      <c r="I723" s="5">
        <f>IFERROR(IF(ISNUMBER(FIND("-",C723)),DATE(VALUE(LEFT(C723,4)),VALUE(MID(C723,6,2)),VALUE(RIGHT(C723,2))),IF(ISNUMBER(FIND(".",C723)),DATE(VALUE(RIGHT(C723,4)),VALUE(MID(C723,4,2)),VALUE(LEFT(C723,2))),DATE(VALUE(RIGHT(C723,4)),VLOOKUP(TRIM(MID(C723,FIND(" ",C723)+1,LEN(C723)-FIND(" ",C723)-5)),Справочники!$M$3:$N$14,2,0),VALUE(LEFT(C723,FIND(" ",C723)-1))))),"")</f>
        <v>30249</v>
      </c>
      <c r="J723" s="6">
        <f t="shared" si="252"/>
        <v>43</v>
      </c>
      <c r="K723" t="str">
        <f t="shared" si="253"/>
        <v>ОК</v>
      </c>
      <c r="L723" s="5">
        <f>IFERROR(IF(ISNUMBER(FIND("-",G723)),DATE(VALUE(LEFT(G723,4)),VALUE(MID(G723,6,2)),VALUE(RIGHT(G723,2))),IF(ISNUMBER(FIND(".",G723)),DATE(VALUE(RIGHT(G723,4)),VALUE(MID(G723,4,2)),VALUE(LEFT(G723,2))),DATE(VALUE(RIGHT(G723,4)),VLOOKUP(TRIM(MID(G723,FIND(" ",G723)+1,LEN(G723)-FIND(" ",G723)-5)),Справочники!$M$3:$N$14,2,0),VALUE(LEFT(G723,FIND(" ",G723)-1))))),"")</f>
        <v>51881</v>
      </c>
      <c r="M723" t="str">
        <f t="shared" si="254"/>
        <v xml:space="preserve">+7 (903) 678-90-12</v>
      </c>
      <c r="N723" t="str">
        <f t="shared" si="255"/>
        <v>litvinenko@yandex</v>
      </c>
      <c r="O723" t="str">
        <f t="shared" si="256"/>
        <v xml:space="preserve">Ошибка Email</v>
      </c>
      <c r="P723" t="str">
        <f>IFERROR(VLOOKUP(TRIM(SUBSTITUTE(SUBSTITUTE(" "&amp;F723," г "," "),"г.","")),Справочники!$J$3:$K$102,2,0),TRIM(SUBSTITUTE(SUBSTITUTE(" "&amp;F723," г "," "),"г.","")))</f>
        <v>Армавир</v>
      </c>
    </row>
    <row r="724">
      <c r="A724" s="3" t="s">
        <v>3452</v>
      </c>
      <c r="B724" s="3" t="s">
        <v>6894</v>
      </c>
      <c r="C724" s="3" t="s">
        <v>6895</v>
      </c>
      <c r="D724" s="3" t="s">
        <v>4001</v>
      </c>
      <c r="E724" s="3" t="s">
        <v>6896</v>
      </c>
      <c r="F724" s="3" t="s">
        <v>4390</v>
      </c>
      <c r="G724" s="3" t="s">
        <v>6897</v>
      </c>
      <c r="H724" t="str">
        <f t="shared" si="251"/>
        <v xml:space="preserve">Старкова Ольга Сергеевна</v>
      </c>
      <c r="I724" s="5">
        <f>IFERROR(IF(ISNUMBER(FIND("-",C724)),DATE(VALUE(LEFT(C724,4)),VALUE(MID(C724,6,2)),VALUE(RIGHT(C724,2))),IF(ISNUMBER(FIND(".",C724)),DATE(VALUE(RIGHT(C724,4)),VALUE(MID(C724,4,2)),VALUE(LEFT(C724,2))),DATE(VALUE(RIGHT(C724,4)),VLOOKUP(TRIM(MID(C724,FIND(" ",C724)+1,LEN(C724)-FIND(" ",C724)-5)),Справочники!$M$3:$N$14,2,0),VALUE(LEFT(C724,FIND(" ",C724)-1))))),"")</f>
        <v>32712</v>
      </c>
      <c r="J724" s="6">
        <f t="shared" si="252"/>
        <v>37</v>
      </c>
      <c r="K724" t="str">
        <f t="shared" si="253"/>
        <v>ОК</v>
      </c>
      <c r="L724" s="5">
        <f>IFERROR(IF(ISNUMBER(FIND("-",G724)),DATE(VALUE(LEFT(G724,4)),VALUE(MID(G724,6,2)),VALUE(RIGHT(G724,2))),IF(ISNUMBER(FIND(".",G724)),DATE(VALUE(RIGHT(G724,4)),VALUE(MID(G724,4,2)),VALUE(LEFT(G724,2))),DATE(VALUE(RIGHT(G724,4)),VLOOKUP(TRIM(MID(G724,FIND(" ",G724)+1,LEN(G724)-FIND(" ",G724)-5)),Справочники!$M$3:$N$14,2,0),VALUE(LEFT(G724,FIND(" ",G724)-1))))),"")</f>
        <v>51881</v>
      </c>
      <c r="M724" t="str">
        <f t="shared" si="254"/>
        <v xml:space="preserve">+7 (903) 789-01-23</v>
      </c>
      <c r="N724" t="str">
        <f t="shared" si="255"/>
        <v>starkova@gmail</v>
      </c>
      <c r="O724" t="str">
        <f t="shared" si="256"/>
        <v xml:space="preserve">Ошибка Email</v>
      </c>
      <c r="P724" t="str">
        <f>IFERROR(VLOOKUP(TRIM(SUBSTITUTE(SUBSTITUTE(" "&amp;F724," г "," "),"г.","")),Справочники!$J$3:$K$102,2,0),TRIM(SUBSTITUTE(SUBSTITUTE(" "&amp;F724," г "," "),"г.","")))</f>
        <v>Волжский</v>
      </c>
    </row>
    <row r="725">
      <c r="A725" s="3" t="s">
        <v>3453</v>
      </c>
      <c r="B725" s="3" t="s">
        <v>6898</v>
      </c>
      <c r="C725" s="3" t="s">
        <v>4056</v>
      </c>
      <c r="D725" s="3" t="s">
        <v>4138</v>
      </c>
      <c r="E725" s="3" t="s">
        <v>6899</v>
      </c>
      <c r="F725" s="3" t="s">
        <v>4395</v>
      </c>
      <c r="G725" s="3" t="s">
        <v>6900</v>
      </c>
      <c r="H725" t="str">
        <f t="shared" si="251"/>
        <v xml:space="preserve">Паршин Илья Александрович</v>
      </c>
      <c r="I725" s="5">
        <f>IFERROR(IF(ISNUMBER(FIND("-",C725)),DATE(VALUE(LEFT(C725,4)),VALUE(MID(C725,6,2)),VALUE(RIGHT(C725,2))),IF(ISNUMBER(FIND(".",C725)),DATE(VALUE(RIGHT(C725,4)),VALUE(MID(C725,4,2)),VALUE(LEFT(C725,2))),DATE(VALUE(RIGHT(C725,4)),VLOOKUP(TRIM(MID(C725,FIND(" ",C725)+1,LEN(C725)-FIND(" ",C725)-5)),Справочники!$M$3:$N$14,2,0),VALUE(LEFT(C725,FIND(" ",C725)-1))))),"")</f>
        <v>27437</v>
      </c>
      <c r="J725" s="6">
        <f t="shared" si="252"/>
        <v>51</v>
      </c>
      <c r="K725" t="str">
        <f t="shared" si="253"/>
        <v>ОК</v>
      </c>
      <c r="L725" s="5">
        <f>IFERROR(IF(ISNUMBER(FIND("-",G725)),DATE(VALUE(LEFT(G725,4)),VALUE(MID(G725,6,2)),VALUE(RIGHT(G725,2))),IF(ISNUMBER(FIND(".",G725)),DATE(VALUE(RIGHT(G725,4)),VALUE(MID(G725,4,2)),VALUE(LEFT(G725,2))),DATE(VALUE(RIGHT(G725,4)),VLOOKUP(TRIM(MID(G725,FIND(" ",G725)+1,LEN(G725)-FIND(" ",G725)-5)),Справочники!$M$3:$N$14,2,0),VALUE(LEFT(G725,FIND(" ",G725)-1))))),"")</f>
        <v>51898</v>
      </c>
      <c r="M725" t="str">
        <f t="shared" si="254"/>
        <v xml:space="preserve">+7 (903) 789-01-23</v>
      </c>
      <c r="N725" t="str">
        <f t="shared" si="255"/>
        <v>parshin@mail</v>
      </c>
      <c r="O725" t="str">
        <f t="shared" si="256"/>
        <v xml:space="preserve">Ошибка Email</v>
      </c>
      <c r="P725" t="str">
        <f>IFERROR(VLOOKUP(TRIM(SUBSTITUTE(SUBSTITUTE(" "&amp;F725," г "," "),"г.","")),Справочники!$J$3:$K$102,2,0),TRIM(SUBSTITUTE(SUBSTITUTE(" "&amp;F725," г "," "),"г.","")))</f>
        <v>Шахты</v>
      </c>
    </row>
    <row r="726">
      <c r="A726" s="3" t="s">
        <v>3456</v>
      </c>
      <c r="B726" s="3" t="s">
        <v>6901</v>
      </c>
      <c r="C726" s="3" t="s">
        <v>6902</v>
      </c>
      <c r="D726" s="3" t="s">
        <v>4144</v>
      </c>
      <c r="E726" s="3" t="s">
        <v>6903</v>
      </c>
      <c r="F726" s="3" t="s">
        <v>4400</v>
      </c>
      <c r="G726" s="3" t="s">
        <v>6904</v>
      </c>
      <c r="H726" t="str">
        <f t="shared" si="251"/>
        <v xml:space="preserve">Яковлева Екатерина Владимировна</v>
      </c>
      <c r="I726" s="5">
        <f>IFERROR(IF(ISNUMBER(FIND("-",C726)),DATE(VALUE(LEFT(C726,4)),VALUE(MID(C726,6,2)),VALUE(RIGHT(C726,2))),IF(ISNUMBER(FIND(".",C726)),DATE(VALUE(RIGHT(C726,4)),VALUE(MID(C726,4,2)),VALUE(LEFT(C726,2))),DATE(VALUE(RIGHT(C726,4)),VLOOKUP(TRIM(MID(C726,FIND(" ",C726)+1,LEN(C726)-FIND(" ",C726)-5)),Справочники!$M$3:$N$14,2,0),VALUE(LEFT(C726,FIND(" ",C726)-1))))),"")</f>
        <v>30563</v>
      </c>
      <c r="J726" s="6">
        <f t="shared" si="252"/>
        <v>43</v>
      </c>
      <c r="K726" t="str">
        <f t="shared" si="253"/>
        <v>ОК</v>
      </c>
      <c r="L726" s="5">
        <f>IFERROR(IF(ISNUMBER(FIND("-",G726)),DATE(VALUE(LEFT(G726,4)),VALUE(MID(G726,6,2)),VALUE(RIGHT(G726,2))),IF(ISNUMBER(FIND(".",G726)),DATE(VALUE(RIGHT(G726,4)),VALUE(MID(G726,4,2)),VALUE(LEFT(G726,2))),DATE(VALUE(RIGHT(G726,4)),VLOOKUP(TRIM(MID(G726,FIND(" ",G726)+1,LEN(G726)-FIND(" ",G726)-5)),Справочники!$M$3:$N$14,2,0),VALUE(LEFT(G726,FIND(" ",G726)-1))))),"")</f>
        <v>51907</v>
      </c>
      <c r="M726" t="str">
        <f t="shared" si="254"/>
        <v xml:space="preserve">+7 (903) 789-01-23</v>
      </c>
      <c r="N726" t="str">
        <f t="shared" si="255"/>
        <v>yakovleva@yandex</v>
      </c>
      <c r="O726" t="str">
        <f t="shared" si="256"/>
        <v xml:space="preserve">Ошибка Email</v>
      </c>
      <c r="P726" t="str">
        <f>IFERROR(VLOOKUP(TRIM(SUBSTITUTE(SUBSTITUTE(" "&amp;F726," г "," "),"г.","")),Справочники!$J$3:$K$102,2,0),TRIM(SUBSTITUTE(SUBSTITUTE(" "&amp;F726," г "," "),"г.","")))</f>
        <v>Златоуст</v>
      </c>
    </row>
    <row r="727">
      <c r="A727" s="3" t="s">
        <v>3457</v>
      </c>
      <c r="B727" s="3" t="s">
        <v>6905</v>
      </c>
      <c r="C727" s="3" t="s">
        <v>6906</v>
      </c>
      <c r="D727" s="3" t="s">
        <v>4150</v>
      </c>
      <c r="E727" s="3" t="s">
        <v>6907</v>
      </c>
      <c r="F727" s="3" t="s">
        <v>4405</v>
      </c>
      <c r="G727" s="3" t="s">
        <v>6908</v>
      </c>
      <c r="H727" t="str">
        <f t="shared" si="251"/>
        <v xml:space="preserve">Козырев Андрей Олегович</v>
      </c>
      <c r="I727" s="5">
        <f>IFERROR(IF(ISNUMBER(FIND("-",C727)),DATE(VALUE(LEFT(C727,4)),VALUE(MID(C727,6,2)),VALUE(RIGHT(C727,2))),IF(ISNUMBER(FIND(".",C727)),DATE(VALUE(RIGHT(C727,4)),VALUE(MID(C727,4,2)),VALUE(LEFT(C727,2))),DATE(VALUE(RIGHT(C727,4)),VLOOKUP(TRIM(MID(C727,FIND(" ",C727)+1,LEN(C727)-FIND(" ",C727)-5)),Справочники!$M$3:$N$14,2,0),VALUE(LEFT(C727,FIND(" ",C727)-1))))),"")</f>
        <v>33741</v>
      </c>
      <c r="J727" s="6">
        <f t="shared" si="252"/>
        <v>34</v>
      </c>
      <c r="K727" t="str">
        <f t="shared" si="253"/>
        <v>ОК</v>
      </c>
      <c r="L727" s="5">
        <f>IFERROR(IF(ISNUMBER(FIND("-",G727)),DATE(VALUE(LEFT(G727,4)),VALUE(MID(G727,6,2)),VALUE(RIGHT(G727,2))),IF(ISNUMBER(FIND(".",G727)),DATE(VALUE(RIGHT(G727,4)),VALUE(MID(G727,4,2)),VALUE(LEFT(G727,2))),DATE(VALUE(RIGHT(G727,4)),VLOOKUP(TRIM(MID(G727,FIND(" ",G727)+1,LEN(G727)-FIND(" ",G727)-5)),Справочники!$M$3:$N$14,2,0),VALUE(LEFT(G727,FIND(" ",G727)-1))))),"")</f>
        <v>51907</v>
      </c>
      <c r="M727" t="str">
        <f t="shared" si="254"/>
        <v xml:space="preserve">+7 (903) 890-12-34</v>
      </c>
      <c r="N727" t="str">
        <f t="shared" si="255"/>
        <v>kozyrev@gmail</v>
      </c>
      <c r="O727" t="str">
        <f t="shared" si="256"/>
        <v xml:space="preserve">Ошибка Email</v>
      </c>
      <c r="P727" t="str">
        <f>IFERROR(VLOOKUP(TRIM(SUBSTITUTE(SUBSTITUTE(" "&amp;F727," г "," "),"г.","")),Справочники!$J$3:$K$102,2,0),TRIM(SUBSTITUTE(SUBSTITUTE(" "&amp;F727," г "," "),"г.","")))</f>
        <v>Ангарск</v>
      </c>
    </row>
    <row r="728">
      <c r="A728" s="3" t="s">
        <v>3459</v>
      </c>
      <c r="B728" s="3" t="s">
        <v>6909</v>
      </c>
      <c r="C728" s="3" t="s">
        <v>6910</v>
      </c>
      <c r="D728" s="3" t="s">
        <v>4007</v>
      </c>
      <c r="E728" s="3" t="s">
        <v>6911</v>
      </c>
      <c r="F728" s="3" t="s">
        <v>4410</v>
      </c>
      <c r="G728" s="3" t="s">
        <v>6912</v>
      </c>
      <c r="H728" t="str">
        <f t="shared" si="251"/>
        <v xml:space="preserve">Батина Мария Павловна</v>
      </c>
      <c r="I728" s="5">
        <f>IFERROR(IF(ISNUMBER(FIND("-",C728)),DATE(VALUE(LEFT(C728,4)),VALUE(MID(C728,6,2)),VALUE(RIGHT(C728,2))),IF(ISNUMBER(FIND(".",C728)),DATE(VALUE(RIGHT(C728,4)),VALUE(MID(C728,4,2)),VALUE(LEFT(C728,2))),DATE(VALUE(RIGHT(C728,4)),VLOOKUP(TRIM(MID(C728,FIND(" ",C728)+1,LEN(C728)-FIND(" ",C728)-5)),Справочники!$M$3:$N$14,2,0),VALUE(LEFT(C728,FIND(" ",C728)-1))))),"")</f>
        <v>28465</v>
      </c>
      <c r="J728" s="6">
        <f t="shared" si="252"/>
        <v>48</v>
      </c>
      <c r="K728" t="str">
        <f t="shared" si="253"/>
        <v>ОК</v>
      </c>
      <c r="L728" s="5">
        <f>IFERROR(IF(ISNUMBER(FIND("-",G728)),DATE(VALUE(LEFT(G728,4)),VALUE(MID(G728,6,2)),VALUE(RIGHT(G728,2))),IF(ISNUMBER(FIND(".",G728)),DATE(VALUE(RIGHT(G728,4)),VALUE(MID(G728,4,2)),VALUE(LEFT(G728,2))),DATE(VALUE(RIGHT(G728,4)),VLOOKUP(TRIM(MID(G728,FIND(" ",G728)+1,LEN(G728)-FIND(" ",G728)-5)),Справочники!$M$3:$N$14,2,0),VALUE(LEFT(G728,FIND(" ",G728)-1))))),"")</f>
        <v>51926</v>
      </c>
      <c r="M728" t="str">
        <f t="shared" si="254"/>
        <v xml:space="preserve">+7 (903) 890-12-34</v>
      </c>
      <c r="N728" t="str">
        <f t="shared" si="255"/>
        <v>batina@mail</v>
      </c>
      <c r="O728" t="str">
        <f t="shared" si="256"/>
        <v xml:space="preserve">Ошибка Email</v>
      </c>
      <c r="P728" t="str">
        <f>IFERROR(VLOOKUP(TRIM(SUBSTITUTE(SUBSTITUTE(" "&amp;F728," г "," "),"г.","")),Справочники!$J$3:$K$102,2,0),TRIM(SUBSTITUTE(SUBSTITUTE(" "&amp;F728," г "," "),"г.","")))</f>
        <v>Озёрск</v>
      </c>
    </row>
    <row r="729">
      <c r="A729" s="3" t="s">
        <v>3460</v>
      </c>
      <c r="B729" s="3" t="s">
        <v>6913</v>
      </c>
      <c r="C729" s="3" t="s">
        <v>6914</v>
      </c>
      <c r="D729" s="3" t="s">
        <v>1619</v>
      </c>
      <c r="E729" s="3" t="s">
        <v>6915</v>
      </c>
      <c r="F729" s="3" t="s">
        <v>4415</v>
      </c>
      <c r="G729" s="3" t="s">
        <v>6916</v>
      </c>
      <c r="H729" t="str">
        <f t="shared" si="251"/>
        <v xml:space="preserve">Коротков Денис Сергеевич</v>
      </c>
      <c r="I729" s="5">
        <f>IFERROR(IF(ISNUMBER(FIND("-",C729)),DATE(VALUE(LEFT(C729,4)),VALUE(MID(C729,6,2)),VALUE(RIGHT(C729,2))),IF(ISNUMBER(FIND(".",C729)),DATE(VALUE(RIGHT(C729,4)),VALUE(MID(C729,4,2)),VALUE(LEFT(C729,2))),DATE(VALUE(RIGHT(C729,4)),VLOOKUP(TRIM(MID(C729,FIND(" ",C729)+1,LEN(C729)-FIND(" ",C729)-5)),Справочники!$M$3:$N$14,2,0),VALUE(LEFT(C729,FIND(" ",C729)-1))))),"")</f>
        <v>31530</v>
      </c>
      <c r="J729" s="6">
        <f t="shared" si="252"/>
        <v>40</v>
      </c>
      <c r="K729" t="str">
        <f t="shared" si="253"/>
        <v>ОК</v>
      </c>
      <c r="L729" s="5">
        <f>IFERROR(IF(ISNUMBER(FIND("-",G729)),DATE(VALUE(LEFT(G729,4)),VALUE(MID(G729,6,2)),VALUE(RIGHT(G729,2))),IF(ISNUMBER(FIND(".",G729)),DATE(VALUE(RIGHT(G729,4)),VALUE(MID(G729,4,2)),VALUE(LEFT(G729,2))),DATE(VALUE(RIGHT(G729,4)),VLOOKUP(TRIM(MID(G729,FIND(" ",G729)+1,LEN(G729)-FIND(" ",G729)-5)),Справочники!$M$3:$N$14,2,0),VALUE(LEFT(G729,FIND(" ",G729)-1))))),"")</f>
        <v>51940</v>
      </c>
      <c r="M729" t="str">
        <f t="shared" si="254"/>
        <v xml:space="preserve">+7 (903) 890-12-34</v>
      </c>
      <c r="N729" t="str">
        <f t="shared" si="255"/>
        <v>korotkov@yandex</v>
      </c>
      <c r="O729" t="str">
        <f t="shared" si="256"/>
        <v xml:space="preserve">Ошибка Email</v>
      </c>
      <c r="P729" t="str">
        <f>IFERROR(VLOOKUP(TRIM(SUBSTITUTE(SUBSTITUTE(" "&amp;F729," г "," "),"г.","")),Справочники!$J$3:$K$102,2,0),TRIM(SUBSTITUTE(SUBSTITUTE(" "&amp;F729," г "," "),"г.","")))</f>
        <v>Орел</v>
      </c>
    </row>
    <row r="730">
      <c r="A730" s="3" t="s">
        <v>3463</v>
      </c>
      <c r="B730" s="3" t="s">
        <v>6917</v>
      </c>
      <c r="C730" s="3" t="s">
        <v>6918</v>
      </c>
      <c r="D730" s="3" t="s">
        <v>4018</v>
      </c>
      <c r="E730" s="3" t="s">
        <v>6919</v>
      </c>
      <c r="F730" s="3" t="s">
        <v>4184</v>
      </c>
      <c r="G730" s="3" t="s">
        <v>6920</v>
      </c>
      <c r="H730" t="str">
        <f t="shared" si="251"/>
        <v xml:space="preserve">Соловьева Ольга Сергеевна</v>
      </c>
      <c r="I730" s="5">
        <f>IFERROR(IF(ISNUMBER(FIND("-",C730)),DATE(VALUE(LEFT(C730,4)),VALUE(MID(C730,6,2)),VALUE(RIGHT(C730,2))),IF(ISNUMBER(FIND(".",C730)),DATE(VALUE(RIGHT(C730,4)),VALUE(MID(C730,4,2)),VALUE(LEFT(C730,2))),DATE(VALUE(RIGHT(C730,4)),VLOOKUP(TRIM(MID(C730,FIND(" ",C730)+1,LEN(C730)-FIND(" ",C730)-5)),Справочники!$M$3:$N$14,2,0),VALUE(LEFT(C730,FIND(" ",C730)-1))))),"")</f>
        <v>33452</v>
      </c>
      <c r="J730" s="6">
        <f t="shared" si="252"/>
        <v>35</v>
      </c>
      <c r="K730" t="str">
        <f t="shared" si="253"/>
        <v>ОК</v>
      </c>
      <c r="L730" s="5">
        <f>IFERROR(IF(ISNUMBER(FIND("-",G730)),DATE(VALUE(LEFT(G730,4)),VALUE(MID(G730,6,2)),VALUE(RIGHT(G730,2))),IF(ISNUMBER(FIND(".",G730)),DATE(VALUE(RIGHT(G730,4)),VALUE(MID(G730,4,2)),VALUE(LEFT(G730,2))),DATE(VALUE(RIGHT(G730,4)),VLOOKUP(TRIM(MID(G730,FIND(" ",G730)+1,LEN(G730)-FIND(" ",G730)-5)),Справочники!$M$3:$N$14,2,0),VALUE(LEFT(G730,FIND(" ",G730)-1))))),"")</f>
        <v>51940</v>
      </c>
      <c r="M730" t="str">
        <f t="shared" si="254"/>
        <v xml:space="preserve">+7 (903) 901-23-45</v>
      </c>
      <c r="N730" t="str">
        <f t="shared" si="255"/>
        <v>solovieva@gmail</v>
      </c>
      <c r="O730" t="str">
        <f t="shared" si="256"/>
        <v xml:space="preserve">Ошибка Email</v>
      </c>
      <c r="P730" t="str">
        <f>IFERROR(VLOOKUP(TRIM(SUBSTITUTE(SUBSTITUTE(" "&amp;F730," г "," "),"г.","")),Справочники!$J$3:$K$102,2,0),TRIM(SUBSTITUTE(SUBSTITUTE(" "&amp;F730," г "," "),"г.","")))</f>
        <v>Магнитогорск</v>
      </c>
    </row>
    <row r="731">
      <c r="A731" s="3" t="s">
        <v>3465</v>
      </c>
      <c r="B731" s="3" t="s">
        <v>6921</v>
      </c>
      <c r="C731" s="3" t="s">
        <v>6922</v>
      </c>
      <c r="D731" s="3" t="s">
        <v>1626</v>
      </c>
      <c r="E731" s="3" t="s">
        <v>6923</v>
      </c>
      <c r="F731" s="3" t="s">
        <v>4205</v>
      </c>
      <c r="G731" s="3" t="s">
        <v>6924</v>
      </c>
      <c r="H731" t="str">
        <f t="shared" si="251"/>
        <v xml:space="preserve">Лаврентьев Илья Алексеевич</v>
      </c>
      <c r="I731" s="5">
        <f>IFERROR(IF(ISNUMBER(FIND("-",C731)),DATE(VALUE(LEFT(C731,4)),VALUE(MID(C731,6,2)),VALUE(RIGHT(C731,2))),IF(ISNUMBER(FIND(".",C731)),DATE(VALUE(RIGHT(C731,4)),VALUE(MID(C731,4,2)),VALUE(LEFT(C731,2))),DATE(VALUE(RIGHT(C731,4)),VLOOKUP(TRIM(MID(C731,FIND(" ",C731)+1,LEN(C731)-FIND(" ",C731)-5)),Справочники!$M$3:$N$14,2,0),VALUE(LEFT(C731,FIND(" ",C731)-1))))),"")</f>
        <v>27199</v>
      </c>
      <c r="J731" s="6">
        <f t="shared" si="252"/>
        <v>52</v>
      </c>
      <c r="K731" t="str">
        <f t="shared" si="253"/>
        <v>ОК</v>
      </c>
      <c r="L731" s="5">
        <f>IFERROR(IF(ISNUMBER(FIND("-",G731)),DATE(VALUE(LEFT(G731,4)),VALUE(MID(G731,6,2)),VALUE(RIGHT(G731,2))),IF(ISNUMBER(FIND(".",G731)),DATE(VALUE(RIGHT(G731,4)),VALUE(MID(G731,4,2)),VALUE(LEFT(G731,2))),DATE(VALUE(RIGHT(G731,4)),VLOOKUP(TRIM(MID(G731,FIND(" ",G731)+1,LEN(G731)-FIND(" ",G731)-5)),Справочники!$M$3:$N$14,2,0),VALUE(LEFT(G731,FIND(" ",G731)-1))))),"")</f>
        <v>51957</v>
      </c>
      <c r="M731" t="str">
        <f t="shared" si="254"/>
        <v xml:space="preserve">+7 (903) 901-23-45</v>
      </c>
      <c r="N731" t="str">
        <f t="shared" si="255"/>
        <v>lavrentiev@mail</v>
      </c>
      <c r="O731" t="str">
        <f t="shared" si="256"/>
        <v xml:space="preserve">Ошибка Email</v>
      </c>
      <c r="P731" t="str">
        <f>IFERROR(VLOOKUP(TRIM(SUBSTITUTE(SUBSTITUTE(" "&amp;F731," г "," "),"г.","")),Справочники!$J$3:$K$102,2,0),TRIM(SUBSTITUTE(SUBSTITUTE(" "&amp;F731," г "," "),"г.","")))</f>
        <v>Якутск</v>
      </c>
    </row>
    <row r="732">
      <c r="A732" s="3" t="s">
        <v>3467</v>
      </c>
      <c r="B732" s="3" t="s">
        <v>6925</v>
      </c>
      <c r="C732" s="3" t="s">
        <v>6926</v>
      </c>
      <c r="D732" s="3" t="s">
        <v>4176</v>
      </c>
      <c r="E732" s="3" t="s">
        <v>6927</v>
      </c>
      <c r="F732" s="3" t="s">
        <v>4152</v>
      </c>
      <c r="G732" s="3" t="s">
        <v>6928</v>
      </c>
      <c r="H732" t="str">
        <f t="shared" si="251"/>
        <v xml:space="preserve">Алексахина Екатерина Сергеевна</v>
      </c>
      <c r="I732" s="5">
        <f>IFERROR(IF(ISNUMBER(FIND("-",C732)),DATE(VALUE(LEFT(C732,4)),VALUE(MID(C732,6,2)),VALUE(RIGHT(C732,2))),IF(ISNUMBER(FIND(".",C732)),DATE(VALUE(RIGHT(C732,4)),VALUE(MID(C732,4,2)),VALUE(LEFT(C732,2))),DATE(VALUE(RIGHT(C732,4)),VLOOKUP(TRIM(MID(C732,FIND(" ",C732)+1,LEN(C732)-FIND(" ",C732)-5)),Справочники!$M$3:$N$14,2,0),VALUE(LEFT(C732,FIND(" ",C732)-1))))),"")</f>
        <v>29505</v>
      </c>
      <c r="J732" s="6">
        <f t="shared" si="252"/>
        <v>46</v>
      </c>
      <c r="K732" t="str">
        <f t="shared" si="253"/>
        <v>ОК</v>
      </c>
      <c r="L732" s="5">
        <f>IFERROR(IF(ISNUMBER(FIND("-",G732)),DATE(VALUE(LEFT(G732,4)),VALUE(MID(G732,6,2)),VALUE(RIGHT(G732,2))),IF(ISNUMBER(FIND(".",G732)),DATE(VALUE(RIGHT(G732,4)),VALUE(MID(G732,4,2)),VALUE(LEFT(G732,2))),DATE(VALUE(RIGHT(G732,4)),VLOOKUP(TRIM(MID(G732,FIND(" ",G732)+1,LEN(G732)-FIND(" ",G732)-5)),Справочники!$M$3:$N$14,2,0),VALUE(LEFT(G732,FIND(" ",G732)-1))))),"")</f>
        <v>51966</v>
      </c>
      <c r="M732" t="str">
        <f t="shared" si="254"/>
        <v xml:space="preserve">+7 (903) 901-23-45</v>
      </c>
      <c r="N732" t="str">
        <f t="shared" si="255"/>
        <v>aleksahina@yandex</v>
      </c>
      <c r="O732" t="str">
        <f t="shared" si="256"/>
        <v xml:space="preserve">Ошибка Email</v>
      </c>
      <c r="P732" t="str">
        <f>IFERROR(VLOOKUP(TRIM(SUBSTITUTE(SUBSTITUTE(" "&amp;F732," г "," "),"г.","")),Справочники!$J$3:$K$102,2,0),TRIM(SUBSTITUTE(SUBSTITUTE(" "&amp;F732," г "," "),"г.","")))</f>
        <v>Чебоксары</v>
      </c>
    </row>
    <row r="733">
      <c r="A733" s="3" t="s">
        <v>3468</v>
      </c>
      <c r="B733" s="3" t="s">
        <v>6929</v>
      </c>
      <c r="C733" s="3" t="s">
        <v>6930</v>
      </c>
      <c r="D733" s="3" t="s">
        <v>4182</v>
      </c>
      <c r="E733" s="3" t="s">
        <v>6931</v>
      </c>
      <c r="F733" s="3" t="s">
        <v>4245</v>
      </c>
      <c r="G733" s="3" t="s">
        <v>6932</v>
      </c>
      <c r="H733" t="str">
        <f t="shared" si="251"/>
        <v xml:space="preserve">Каменев Андрей Павлович</v>
      </c>
      <c r="I733" s="5">
        <f>IFERROR(IF(ISNUMBER(FIND("-",C733)),DATE(VALUE(LEFT(C733,4)),VALUE(MID(C733,6,2)),VALUE(RIGHT(C733,2))),IF(ISNUMBER(FIND(".",C733)),DATE(VALUE(RIGHT(C733,4)),VALUE(MID(C733,4,2)),VALUE(LEFT(C733,2))),DATE(VALUE(RIGHT(C733,4)),VLOOKUP(TRIM(MID(C733,FIND(" ",C733)+1,LEN(C733)-FIND(" ",C733)-5)),Справочники!$M$3:$N$14,2,0),VALUE(LEFT(C733,FIND(" ",C733)-1))))),"")</f>
        <v>31807</v>
      </c>
      <c r="J733" s="6">
        <f t="shared" si="252"/>
        <v>39</v>
      </c>
      <c r="K733" t="str">
        <f t="shared" si="253"/>
        <v>ОК</v>
      </c>
      <c r="L733" s="5">
        <f>IFERROR(IF(ISNUMBER(FIND("-",G733)),DATE(VALUE(LEFT(G733,4)),VALUE(MID(G733,6,2)),VALUE(RIGHT(G733,2))),IF(ISNUMBER(FIND(".",G733)),DATE(VALUE(RIGHT(G733,4)),VALUE(MID(G733,4,2)),VALUE(LEFT(G733,2))),DATE(VALUE(RIGHT(G733,4)),VLOOKUP(TRIM(MID(G733,FIND(" ",G733)+1,LEN(G733)-FIND(" ",G733)-5)),Справочники!$M$3:$N$14,2,0),VALUE(LEFT(G733,FIND(" ",G733)-1))))),"")</f>
        <v>51966</v>
      </c>
      <c r="M733" t="str">
        <f t="shared" si="254"/>
        <v xml:space="preserve">+7 (903) 012-34-56</v>
      </c>
      <c r="N733" t="str">
        <f t="shared" si="255"/>
        <v>kamenev@gmail</v>
      </c>
      <c r="O733" t="str">
        <f t="shared" si="256"/>
        <v xml:space="preserve">Ошибка Email</v>
      </c>
      <c r="P733" t="str">
        <f>IFERROR(VLOOKUP(TRIM(SUBSTITUTE(SUBSTITUTE(" "&amp;F733," г "," "),"г.","")),Справочники!$J$3:$K$102,2,0),TRIM(SUBSTITUTE(SUBSTITUTE(" "&amp;F733," г "," "),"г.","")))</f>
        <v>Мурманск</v>
      </c>
    </row>
    <row r="734">
      <c r="A734" s="3" t="s">
        <v>3470</v>
      </c>
      <c r="B734" s="3" t="s">
        <v>6933</v>
      </c>
      <c r="C734" s="3" t="s">
        <v>6934</v>
      </c>
      <c r="D734" s="3" t="s">
        <v>4188</v>
      </c>
      <c r="E734" s="3" t="s">
        <v>6935</v>
      </c>
      <c r="F734" s="3" t="s">
        <v>4235</v>
      </c>
      <c r="G734" s="3" t="s">
        <v>6936</v>
      </c>
      <c r="H734" t="str">
        <f t="shared" si="251"/>
        <v xml:space="preserve">Захарова Мария Олеговна</v>
      </c>
      <c r="I734" s="5">
        <f>IFERROR(IF(ISNUMBER(FIND("-",C734)),DATE(VALUE(LEFT(C734,4)),VALUE(MID(C734,6,2)),VALUE(RIGHT(C734,2))),IF(ISNUMBER(FIND(".",C734)),DATE(VALUE(RIGHT(C734,4)),VALUE(MID(C734,4,2)),VALUE(LEFT(C734,2))),DATE(VALUE(RIGHT(C734,4)),VLOOKUP(TRIM(MID(C734,FIND(" ",C734)+1,LEN(C734)-FIND(" ",C734)-5)),Справочники!$M$3:$N$14,2,0),VALUE(LEFT(C734,FIND(" ",C734)-1))))),"")</f>
        <v>27597</v>
      </c>
      <c r="J734" s="6">
        <f t="shared" si="252"/>
        <v>51</v>
      </c>
      <c r="K734" t="str">
        <f t="shared" si="253"/>
        <v>ОК</v>
      </c>
      <c r="L734" s="5">
        <f>IFERROR(IF(ISNUMBER(FIND("-",G734)),DATE(VALUE(LEFT(G734,4)),VALUE(MID(G734,6,2)),VALUE(RIGHT(G734,2))),IF(ISNUMBER(FIND(".",G734)),DATE(VALUE(RIGHT(G734,4)),VALUE(MID(G734,4,2)),VALUE(LEFT(G734,2))),DATE(VALUE(RIGHT(G734,4)),VLOOKUP(TRIM(MID(G734,FIND(" ",G734)+1,LEN(G734)-FIND(" ",G734)-5)),Справочники!$M$3:$N$14,2,0),VALUE(LEFT(G734,FIND(" ",G734)-1))))),"")</f>
        <v>51987</v>
      </c>
      <c r="M734" t="str">
        <f t="shared" si="254"/>
        <v xml:space="preserve">+7 (903) 012-34-56</v>
      </c>
      <c r="N734" t="str">
        <f t="shared" si="255"/>
        <v>zaharova@mail</v>
      </c>
      <c r="O734" t="str">
        <f t="shared" si="256"/>
        <v xml:space="preserve">Ошибка Email</v>
      </c>
      <c r="P734" t="str">
        <f>IFERROR(VLOOKUP(TRIM(SUBSTITUTE(SUBSTITUTE(" "&amp;F734," г "," "),"г.","")),Справочники!$J$3:$K$102,2,0),TRIM(SUBSTITUTE(SUBSTITUTE(" "&amp;F734," г "," "),"г.","")))</f>
        <v>Смоленск</v>
      </c>
    </row>
    <row r="735">
      <c r="A735" s="3" t="s">
        <v>3471</v>
      </c>
      <c r="B735" s="3" t="s">
        <v>6937</v>
      </c>
      <c r="C735" s="3" t="s">
        <v>4388</v>
      </c>
      <c r="D735" s="3" t="s">
        <v>1633</v>
      </c>
      <c r="E735" s="3" t="s">
        <v>6938</v>
      </c>
      <c r="F735" s="3" t="s">
        <v>4220</v>
      </c>
      <c r="G735" s="3" t="s">
        <v>6939</v>
      </c>
      <c r="H735" t="str">
        <f t="shared" si="251"/>
        <v xml:space="preserve">Стеклов Денис Викторович</v>
      </c>
      <c r="I735" s="5">
        <f>IFERROR(IF(ISNUMBER(FIND("-",C735)),DATE(VALUE(LEFT(C735,4)),VALUE(MID(C735,6,2)),VALUE(RIGHT(C735,2))),IF(ISNUMBER(FIND(".",C735)),DATE(VALUE(RIGHT(C735,4)),VALUE(MID(C735,4,2)),VALUE(LEFT(C735,2))),DATE(VALUE(RIGHT(C735,4)),VLOOKUP(TRIM(MID(C735,FIND(" ",C735)+1,LEN(C735)-FIND(" ",C735)-5)),Справочники!$M$3:$N$14,2,0),VALUE(LEFT(C735,FIND(" ",C735)-1))))),"")</f>
        <v>31033</v>
      </c>
      <c r="J735" s="6">
        <f t="shared" si="252"/>
        <v>41</v>
      </c>
      <c r="K735" t="str">
        <f t="shared" si="253"/>
        <v>ОК</v>
      </c>
      <c r="L735" s="5">
        <f>IFERROR(IF(ISNUMBER(FIND("-",G735)),DATE(VALUE(LEFT(G735,4)),VALUE(MID(G735,6,2)),VALUE(RIGHT(G735,2))),IF(ISNUMBER(FIND(".",G735)),DATE(VALUE(RIGHT(G735,4)),VALUE(MID(G735,4,2)),VALUE(LEFT(G735,2))),DATE(VALUE(RIGHT(G735,4)),VLOOKUP(TRIM(MID(G735,FIND(" ",G735)+1,LEN(G735)-FIND(" ",G735)-5)),Справочники!$M$3:$N$14,2,0),VALUE(LEFT(G735,FIND(" ",G735)-1))))),"")</f>
        <v>52001</v>
      </c>
      <c r="M735" t="str">
        <f t="shared" si="254"/>
        <v xml:space="preserve">+7 (903) 012-34-56</v>
      </c>
      <c r="N735" t="str">
        <f t="shared" si="255"/>
        <v>steklov@yandex</v>
      </c>
      <c r="O735" t="str">
        <f t="shared" si="256"/>
        <v xml:space="preserve">Ошибка Email</v>
      </c>
      <c r="P735" t="str">
        <f>IFERROR(VLOOKUP(TRIM(SUBSTITUTE(SUBSTITUTE(" "&amp;F735," г "," "),"г.","")),Справочники!$J$3:$K$102,2,0),TRIM(SUBSTITUTE(SUBSTITUTE(" "&amp;F735," г "," "),"г.","")))</f>
        <v>Тула</v>
      </c>
    </row>
    <row r="736">
      <c r="A736" s="3" t="s">
        <v>3474</v>
      </c>
      <c r="B736" s="3" t="s">
        <v>6940</v>
      </c>
      <c r="C736" s="3" t="s">
        <v>6320</v>
      </c>
      <c r="D736" s="3" t="s">
        <v>4034</v>
      </c>
      <c r="E736" s="3" t="s">
        <v>6941</v>
      </c>
      <c r="F736" s="3" t="s">
        <v>4225</v>
      </c>
      <c r="G736" s="3" t="s">
        <v>6942</v>
      </c>
      <c r="H736" t="str">
        <f t="shared" si="251"/>
        <v xml:space="preserve">Мишина Ольга Павловна</v>
      </c>
      <c r="I736" s="5">
        <f>IFERROR(IF(ISNUMBER(FIND("-",C736)),DATE(VALUE(LEFT(C736,4)),VALUE(MID(C736,6,2)),VALUE(RIGHT(C736,2))),IF(ISNUMBER(FIND(".",C736)),DATE(VALUE(RIGHT(C736,4)),VALUE(MID(C736,4,2)),VALUE(LEFT(C736,2))),DATE(VALUE(RIGHT(C736,4)),VLOOKUP(TRIM(MID(C736,FIND(" ",C736)+1,LEN(C736)-FIND(" ",C736)-5)),Справочники!$M$3:$N$14,2,0),VALUE(LEFT(C736,FIND(" ",C736)-1))))),"")</f>
        <v>32271</v>
      </c>
      <c r="J736" s="6">
        <f t="shared" si="252"/>
        <v>38</v>
      </c>
      <c r="K736" t="str">
        <f t="shared" si="253"/>
        <v>ОК</v>
      </c>
      <c r="L736" s="5">
        <f>IFERROR(IF(ISNUMBER(FIND("-",G736)),DATE(VALUE(LEFT(G736,4)),VALUE(MID(G736,6,2)),VALUE(RIGHT(G736,2))),IF(ISNUMBER(FIND(".",G736)),DATE(VALUE(RIGHT(G736,4)),VALUE(MID(G736,4,2)),VALUE(LEFT(G736,2))),DATE(VALUE(RIGHT(G736,4)),VLOOKUP(TRIM(MID(G736,FIND(" ",G736)+1,LEN(G736)-FIND(" ",G736)-5)),Справочники!$M$3:$N$14,2,0),VALUE(LEFT(G736,FIND(" ",G736)-1))))),"")</f>
        <v>52001</v>
      </c>
      <c r="M736" t="str">
        <f t="shared" si="254"/>
        <v xml:space="preserve">+7 (903) 123-45-67</v>
      </c>
      <c r="N736" t="str">
        <f t="shared" si="255"/>
        <v>mishina@gmail</v>
      </c>
      <c r="O736" t="str">
        <f t="shared" si="256"/>
        <v xml:space="preserve">Ошибка Email</v>
      </c>
      <c r="P736" t="str">
        <f>IFERROR(VLOOKUP(TRIM(SUBSTITUTE(SUBSTITUTE(" "&amp;F736," г "," "),"г.","")),Справочники!$J$3:$K$102,2,0),TRIM(SUBSTITUTE(SUBSTITUTE(" "&amp;F736," г "," "),"г.","")))</f>
        <v>Калуга</v>
      </c>
    </row>
    <row r="737">
      <c r="A737" s="3" t="s">
        <v>3475</v>
      </c>
      <c r="B737" s="3" t="s">
        <v>6943</v>
      </c>
      <c r="C737" s="3" t="s">
        <v>6944</v>
      </c>
      <c r="D737" s="3" t="s">
        <v>4040</v>
      </c>
      <c r="E737" s="3" t="s">
        <v>6945</v>
      </c>
      <c r="F737" s="3" t="s">
        <v>4230</v>
      </c>
      <c r="G737" s="3" t="s">
        <v>6946</v>
      </c>
      <c r="H737" t="str">
        <f t="shared" si="251"/>
        <v xml:space="preserve">Шатохин Илья Александрович</v>
      </c>
      <c r="I737" s="5">
        <f>IFERROR(IF(ISNUMBER(FIND("-",C737)),DATE(VALUE(LEFT(C737,4)),VALUE(MID(C737,6,2)),VALUE(RIGHT(C737,2))),IF(ISNUMBER(FIND(".",C737)),DATE(VALUE(RIGHT(C737,4)),VALUE(MID(C737,4,2)),VALUE(LEFT(C737,2))),DATE(VALUE(RIGHT(C737,4)),VLOOKUP(TRIM(MID(C737,FIND(" ",C737)+1,LEN(C737)-FIND(" ",C737)-5)),Справочники!$M$3:$N$14,2,0),VALUE(LEFT(C737,FIND(" ",C737)-1))))),"")</f>
        <v>26933</v>
      </c>
      <c r="J737" s="6">
        <f t="shared" si="252"/>
        <v>53</v>
      </c>
      <c r="K737" t="str">
        <f t="shared" si="253"/>
        <v>ОК</v>
      </c>
      <c r="L737" s="5">
        <f>IFERROR(IF(ISNUMBER(FIND("-",G737)),DATE(VALUE(LEFT(G737,4)),VALUE(MID(G737,6,2)),VALUE(RIGHT(G737,2))),IF(ISNUMBER(FIND(".",G737)),DATE(VALUE(RIGHT(G737,4)),VALUE(MID(G737,4,2)),VALUE(LEFT(G737,2))),DATE(VALUE(RIGHT(G737,4)),VLOOKUP(TRIM(MID(G737,FIND(" ",G737)+1,LEN(G737)-FIND(" ",G737)-5)),Справочники!$M$3:$N$14,2,0),VALUE(LEFT(G737,FIND(" ",G737)-1))))),"")</f>
        <v>52018</v>
      </c>
      <c r="M737" t="str">
        <f t="shared" si="254"/>
        <v xml:space="preserve">+7 (903) 123-45-67</v>
      </c>
      <c r="N737" t="str">
        <f t="shared" si="255"/>
        <v>shatohin@mail</v>
      </c>
      <c r="O737" t="str">
        <f t="shared" si="256"/>
        <v xml:space="preserve">Ошибка Email</v>
      </c>
      <c r="P737" t="str">
        <f>IFERROR(VLOOKUP(TRIM(SUBSTITUTE(SUBSTITUTE(" "&amp;F737," г "," "),"г.","")),Справочники!$J$3:$K$102,2,0),TRIM(SUBSTITUTE(SUBSTITUTE(" "&amp;F737," г "," "),"г.","")))</f>
        <v>Владикавказ</v>
      </c>
    </row>
    <row r="738">
      <c r="A738" s="3" t="s">
        <v>3477</v>
      </c>
      <c r="B738" s="3" t="s">
        <v>6947</v>
      </c>
      <c r="C738" s="3" t="s">
        <v>6948</v>
      </c>
      <c r="D738" s="3" t="s">
        <v>1570</v>
      </c>
      <c r="E738" s="3" t="s">
        <v>6949</v>
      </c>
      <c r="F738" s="3" t="s">
        <v>4235</v>
      </c>
      <c r="G738" s="3" t="s">
        <v>6950</v>
      </c>
      <c r="H738" t="str">
        <f t="shared" si="251"/>
        <v xml:space="preserve">Черепанова Екатерина Сергеевна</v>
      </c>
      <c r="I738" s="5">
        <f>IFERROR(IF(ISNUMBER(FIND("-",C738)),DATE(VALUE(LEFT(C738,4)),VALUE(MID(C738,6,2)),VALUE(RIGHT(C738,2))),IF(ISNUMBER(FIND(".",C738)),DATE(VALUE(RIGHT(C738,4)),VALUE(MID(C738,4,2)),VALUE(LEFT(C738,2))),DATE(VALUE(RIGHT(C738,4)),VLOOKUP(TRIM(MID(C738,FIND(" ",C738)+1,LEN(C738)-FIND(" ",C738)-5)),Справочники!$M$3:$N$14,2,0),VALUE(LEFT(C738,FIND(" ",C738)-1))))),"")</f>
        <v>30024</v>
      </c>
      <c r="J738" s="6">
        <f t="shared" si="252"/>
        <v>44</v>
      </c>
      <c r="K738" t="str">
        <f t="shared" si="253"/>
        <v>ОК</v>
      </c>
      <c r="L738" s="5">
        <f>IFERROR(IF(ISNUMBER(FIND("-",G738)),DATE(VALUE(LEFT(G738,4)),VALUE(MID(G738,6,2)),VALUE(RIGHT(G738,2))),IF(ISNUMBER(FIND(".",G738)),DATE(VALUE(RIGHT(G738,4)),VALUE(MID(G738,4,2)),VALUE(LEFT(G738,2))),DATE(VALUE(RIGHT(G738,4)),VLOOKUP(TRIM(MID(G738,FIND(" ",G738)+1,LEN(G738)-FIND(" ",G738)-5)),Справочники!$M$3:$N$14,2,0),VALUE(LEFT(G738,FIND(" ",G738)-1))))),"")</f>
        <v>52027</v>
      </c>
      <c r="M738" t="str">
        <f t="shared" si="254"/>
        <v xml:space="preserve">+7 (903) 123-45-67</v>
      </c>
      <c r="N738" t="str">
        <f t="shared" si="255"/>
        <v>cherepanova@yandex</v>
      </c>
      <c r="O738" t="str">
        <f t="shared" si="256"/>
        <v xml:space="preserve">Ошибка Email</v>
      </c>
      <c r="P738" t="str">
        <f>IFERROR(VLOOKUP(TRIM(SUBSTITUTE(SUBSTITUTE(" "&amp;F738," г "," "),"г.","")),Справочники!$J$3:$K$102,2,0),TRIM(SUBSTITUTE(SUBSTITUTE(" "&amp;F738," г "," "),"г.","")))</f>
        <v>Смоленск</v>
      </c>
    </row>
    <row r="739">
      <c r="A739" s="3" t="s">
        <v>3479</v>
      </c>
      <c r="B739" s="3" t="s">
        <v>6951</v>
      </c>
      <c r="C739" s="3" t="s">
        <v>6952</v>
      </c>
      <c r="D739" s="3" t="s">
        <v>4051</v>
      </c>
      <c r="E739" s="3" t="s">
        <v>6953</v>
      </c>
      <c r="F739" s="3" t="s">
        <v>4240</v>
      </c>
      <c r="G739" s="3" t="s">
        <v>6954</v>
      </c>
      <c r="H739" t="str">
        <f t="shared" si="251"/>
        <v xml:space="preserve">Пантелеев Андрей Олегович</v>
      </c>
      <c r="I739" s="5">
        <f>IFERROR(IF(ISNUMBER(FIND("-",C739)),DATE(VALUE(LEFT(C739,4)),VALUE(MID(C739,6,2)),VALUE(RIGHT(C739,2))),IF(ISNUMBER(FIND(".",C739)),DATE(VALUE(RIGHT(C739,4)),VALUE(MID(C739,4,2)),VALUE(LEFT(C739,2))),DATE(VALUE(RIGHT(C739,4)),VLOOKUP(TRIM(MID(C739,FIND(" ",C739)+1,LEN(C739)-FIND(" ",C739)-5)),Справочники!$M$3:$N$14,2,0),VALUE(LEFT(C739,FIND(" ",C739)-1))))),"")</f>
        <v>33182</v>
      </c>
      <c r="J739" s="6">
        <f t="shared" si="252"/>
        <v>35</v>
      </c>
      <c r="K739" t="str">
        <f t="shared" si="253"/>
        <v>ОК</v>
      </c>
      <c r="L739" s="5">
        <f>IFERROR(IF(ISNUMBER(FIND("-",G739)),DATE(VALUE(LEFT(G739,4)),VALUE(MID(G739,6,2)),VALUE(RIGHT(G739,2))),IF(ISNUMBER(FIND(".",G739)),DATE(VALUE(RIGHT(G739,4)),VALUE(MID(G739,4,2)),VALUE(LEFT(G739,2))),DATE(VALUE(RIGHT(G739,4)),VLOOKUP(TRIM(MID(G739,FIND(" ",G739)+1,LEN(G739)-FIND(" ",G739)-5)),Справочники!$M$3:$N$14,2,0),VALUE(LEFT(G739,FIND(" ",G739)-1))))),"")</f>
        <v>52027</v>
      </c>
      <c r="M739" t="str">
        <f t="shared" si="254"/>
        <v xml:space="preserve">+7 (903) 234-56-78</v>
      </c>
      <c r="N739" t="str">
        <f t="shared" si="255"/>
        <v>panteleev@gmail</v>
      </c>
      <c r="O739" t="str">
        <f t="shared" si="256"/>
        <v xml:space="preserve">Ошибка Email</v>
      </c>
      <c r="P739" t="str">
        <f>IFERROR(VLOOKUP(TRIM(SUBSTITUTE(SUBSTITUTE(" "&amp;F739," г "," "),"г.","")),Справочники!$J$3:$K$102,2,0),TRIM(SUBSTITUTE(SUBSTITUTE(" "&amp;F739," г "," "),"г.","")))</f>
        <v>Белгород</v>
      </c>
    </row>
    <row r="740">
      <c r="A740" s="3" t="s">
        <v>3481</v>
      </c>
      <c r="B740" s="3" t="s">
        <v>6955</v>
      </c>
      <c r="C740" s="3" t="s">
        <v>6956</v>
      </c>
      <c r="D740" s="3" t="s">
        <v>4057</v>
      </c>
      <c r="E740" s="3" t="s">
        <v>6957</v>
      </c>
      <c r="F740" s="3" t="s">
        <v>4245</v>
      </c>
      <c r="G740" s="3" t="s">
        <v>6958</v>
      </c>
      <c r="H740" t="str">
        <f t="shared" ref="H740:H803" si="257">PROPER(TRIM(B740))</f>
        <v xml:space="preserve">Букина Мария Владимировна</v>
      </c>
      <c r="I740" s="5">
        <f>IFERROR(IF(ISNUMBER(FIND("-",C740)),DATE(VALUE(LEFT(C740,4)),VALUE(MID(C740,6,2)),VALUE(RIGHT(C740,2))),IF(ISNUMBER(FIND(".",C740)),DATE(VALUE(RIGHT(C740,4)),VALUE(MID(C740,4,2)),VALUE(LEFT(C740,2))),DATE(VALUE(RIGHT(C740,4)),VLOOKUP(TRIM(MID(C740,FIND(" ",C740)+1,LEN(C740)-FIND(" ",C740)-5)),Справочники!$M$3:$N$14,2,0),VALUE(LEFT(C740,FIND(" ",C740)-1))))),"")</f>
        <v>28294</v>
      </c>
      <c r="J740" s="6">
        <f t="shared" ref="J740:J803" si="258">IF(I740="","",DATEDIF(I740,TODAY(),"Y"))</f>
        <v>49</v>
      </c>
      <c r="K740" t="str">
        <f t="shared" ref="K740:K803" si="259">IF(OR(I740="",J740&lt;18,J740&gt;120),"Ошибка даты рождения","ОК")</f>
        <v>ОК</v>
      </c>
      <c r="L740" s="5">
        <f>IFERROR(IF(ISNUMBER(FIND("-",G740)),DATE(VALUE(LEFT(G740,4)),VALUE(MID(G740,6,2)),VALUE(RIGHT(G740,2))),IF(ISNUMBER(FIND(".",G740)),DATE(VALUE(RIGHT(G740,4)),VALUE(MID(G740,4,2)),VALUE(LEFT(G740,2))),DATE(VALUE(RIGHT(G740,4)),VLOOKUP(TRIM(MID(G740,FIND(" ",G740)+1,LEN(G740)-FIND(" ",G740)-5)),Справочники!$M$3:$N$14,2,0),VALUE(LEFT(G740,FIND(" ",G740)-1))))),"")</f>
        <v>52048</v>
      </c>
      <c r="M740" t="str">
        <f t="shared" ref="M740:M803" si="260">IF(LEN(SUBSTITUTE(SUBSTITUTE(SUBSTITUTE(SUBSTITUTE(SUBSTITUTE(D740,"+",""),"-","")," ",""),"(",""),")",""))&lt;10,"Ошибка телефона","+7 ("&amp;MID(RIGHT(SUBSTITUTE(SUBSTITUTE(SUBSTITUTE(SUBSTITUTE(SUBSTITUTE(D740,"+",""),"-","")," ",""),"(",""),")",""),10),1,3)&amp;") "&amp;MID(RIGHT(SUBSTITUTE(SUBSTITUTE(SUBSTITUTE(SUBSTITUTE(SUBSTITUTE(D740,"+",""),"-","")," ",""),"(",""),")",""),10),4,3)&amp;"-"&amp;MID(RIGHT(SUBSTITUTE(SUBSTITUTE(SUBSTITUTE(SUBSTITUTE(SUBSTITUTE(D740,"+",""),"-","")," ",""),"(",""),")",""),10),7,2)&amp;"-"&amp;RIGHT(SUBSTITUTE(SUBSTITUTE(SUBSTITUTE(SUBSTITUTE(SUBSTITUTE(D740,"+",""),"-","")," ",""),"(",""),")",""),2))</f>
        <v xml:space="preserve">+7 (903) 234-56-78</v>
      </c>
      <c r="N740" t="str">
        <f t="shared" ref="N740:N803" si="261">LOWER(SUBSTITUTE(TRIM(E740)," ",""))</f>
        <v>bukina@mail</v>
      </c>
      <c r="O740" t="str">
        <f t="shared" ref="O740:O803" si="262">IF(AND(ISNUMBER(FIND("@",N740)),ISNUMBER(FIND(".",N740,FIND("@",N740)+2))),"ОК","Ошибка Email")</f>
        <v xml:space="preserve">Ошибка Email</v>
      </c>
      <c r="P740" t="str">
        <f>IFERROR(VLOOKUP(TRIM(SUBSTITUTE(SUBSTITUTE(" "&amp;F740," г "," "),"г.","")),Справочники!$J$3:$K$102,2,0),TRIM(SUBSTITUTE(SUBSTITUTE(" "&amp;F740," г "," "),"г.","")))</f>
        <v>Мурманск</v>
      </c>
    </row>
    <row r="741">
      <c r="A741" s="3" t="s">
        <v>3482</v>
      </c>
      <c r="B741" s="3" t="s">
        <v>6959</v>
      </c>
      <c r="C741" s="3" t="s">
        <v>6960</v>
      </c>
      <c r="D741" s="3" t="s">
        <v>1712</v>
      </c>
      <c r="E741" s="3" t="s">
        <v>6961</v>
      </c>
      <c r="F741" s="3" t="s">
        <v>4250</v>
      </c>
      <c r="G741" s="3" t="s">
        <v>6962</v>
      </c>
      <c r="H741" t="str">
        <f t="shared" si="257"/>
        <v xml:space="preserve">Суворов Денис Павлович</v>
      </c>
      <c r="I741" s="5">
        <f>IFERROR(IF(ISNUMBER(FIND("-",C741)),DATE(VALUE(LEFT(C741,4)),VALUE(MID(C741,6,2)),VALUE(RIGHT(C741,2))),IF(ISNUMBER(FIND(".",C741)),DATE(VALUE(RIGHT(C741,4)),VALUE(MID(C741,4,2)),VALUE(LEFT(C741,2))),DATE(VALUE(RIGHT(C741,4)),VLOOKUP(TRIM(MID(C741,FIND(" ",C741)+1,LEN(C741)-FIND(" ",C741)-5)),Справочники!$M$3:$N$14,2,0),VALUE(LEFT(C741,FIND(" ",C741)-1))))),"")</f>
        <v>31054</v>
      </c>
      <c r="J741" s="6">
        <f t="shared" si="258"/>
        <v>41</v>
      </c>
      <c r="K741" t="str">
        <f t="shared" si="259"/>
        <v>ОК</v>
      </c>
      <c r="L741" s="5">
        <f>IFERROR(IF(ISNUMBER(FIND("-",G741)),DATE(VALUE(LEFT(G741,4)),VALUE(MID(G741,6,2)),VALUE(RIGHT(G741,2))),IF(ISNUMBER(FIND(".",G741)),DATE(VALUE(RIGHT(G741,4)),VALUE(MID(G741,4,2)),VALUE(LEFT(G741,2))),DATE(VALUE(RIGHT(G741,4)),VLOOKUP(TRIM(MID(G741,FIND(" ",G741)+1,LEN(G741)-FIND(" ",G741)-5)),Справочники!$M$3:$N$14,2,0),VALUE(LEFT(G741,FIND(" ",G741)-1))))),"")</f>
        <v>52062</v>
      </c>
      <c r="M741" t="str">
        <f t="shared" si="260"/>
        <v xml:space="preserve">+7 (903) 234-56-78</v>
      </c>
      <c r="N741" t="str">
        <f t="shared" si="261"/>
        <v>suvorov@yandex</v>
      </c>
      <c r="O741" t="str">
        <f t="shared" si="262"/>
        <v xml:space="preserve">Ошибка Email</v>
      </c>
      <c r="P741" t="str">
        <f>IFERROR(VLOOKUP(TRIM(SUBSTITUTE(SUBSTITUTE(" "&amp;F741," г "," "),"г.","")),Справочники!$J$3:$K$102,2,0),TRIM(SUBSTITUTE(SUBSTITUTE(" "&amp;F741," г "," "),"г.","")))</f>
        <v>Ставрополь</v>
      </c>
    </row>
    <row r="742">
      <c r="A742" s="3" t="s">
        <v>3484</v>
      </c>
      <c r="B742" s="3" t="s">
        <v>6963</v>
      </c>
      <c r="C742" s="3" t="s">
        <v>5289</v>
      </c>
      <c r="D742" s="3" t="s">
        <v>1584</v>
      </c>
      <c r="E742" s="3" t="s">
        <v>6964</v>
      </c>
      <c r="F742" s="3" t="s">
        <v>4255</v>
      </c>
      <c r="G742" s="3" t="s">
        <v>6965</v>
      </c>
      <c r="H742" t="str">
        <f t="shared" si="257"/>
        <v xml:space="preserve">Погодина Ольга Сергеевна</v>
      </c>
      <c r="I742" s="5">
        <f>IFERROR(IF(ISNUMBER(FIND("-",C742)),DATE(VALUE(LEFT(C742,4)),VALUE(MID(C742,6,2)),VALUE(RIGHT(C742,2))),IF(ISNUMBER(FIND(".",C742)),DATE(VALUE(RIGHT(C742,4)),VALUE(MID(C742,4,2)),VALUE(LEFT(C742,2))),DATE(VALUE(RIGHT(C742,4)),VLOOKUP(TRIM(MID(C742,FIND(" ",C742)+1,LEN(C742)-FIND(" ",C742)-5)),Справочники!$M$3:$N$14,2,0),VALUE(LEFT(C742,FIND(" ",C742)-1))))),"")</f>
        <v>33840</v>
      </c>
      <c r="J742" s="6">
        <f t="shared" si="258"/>
        <v>34</v>
      </c>
      <c r="K742" t="str">
        <f t="shared" si="259"/>
        <v>ОК</v>
      </c>
      <c r="L742" s="5">
        <f>IFERROR(IF(ISNUMBER(FIND("-",G742)),DATE(VALUE(LEFT(G742,4)),VALUE(MID(G742,6,2)),VALUE(RIGHT(G742,2))),IF(ISNUMBER(FIND(".",G742)),DATE(VALUE(RIGHT(G742,4)),VALUE(MID(G742,4,2)),VALUE(LEFT(G742,2))),DATE(VALUE(RIGHT(G742,4)),VLOOKUP(TRIM(MID(G742,FIND(" ",G742)+1,LEN(G742)-FIND(" ",G742)-5)),Справочники!$M$3:$N$14,2,0),VALUE(LEFT(G742,FIND(" ",G742)-1))))),"")</f>
        <v>52062</v>
      </c>
      <c r="M742" t="str">
        <f t="shared" si="260"/>
        <v xml:space="preserve">+7 (903) 345-67-89</v>
      </c>
      <c r="N742" t="str">
        <f t="shared" si="261"/>
        <v>pogodina@gmail</v>
      </c>
      <c r="O742" t="str">
        <f t="shared" si="262"/>
        <v xml:space="preserve">Ошибка Email</v>
      </c>
      <c r="P742" t="str">
        <f>IFERROR(VLOOKUP(TRIM(SUBSTITUTE(SUBSTITUTE(" "&amp;F742," г "," "),"г.","")),Справочники!$J$3:$K$102,2,0),TRIM(SUBSTITUTE(SUBSTITUTE(" "&amp;F742," г "," "),"г.","")))</f>
        <v>Севастополь</v>
      </c>
    </row>
    <row r="743">
      <c r="A743" s="3" t="s">
        <v>3486</v>
      </c>
      <c r="B743" s="3" t="s">
        <v>6966</v>
      </c>
      <c r="C743" s="3" t="s">
        <v>6603</v>
      </c>
      <c r="D743" s="3" t="s">
        <v>4073</v>
      </c>
      <c r="E743" s="3" t="s">
        <v>6967</v>
      </c>
      <c r="F743" s="3" t="s">
        <v>4260</v>
      </c>
      <c r="G743" s="3" t="s">
        <v>6968</v>
      </c>
      <c r="H743" t="str">
        <f t="shared" si="257"/>
        <v xml:space="preserve">Карпов Илья Александрович</v>
      </c>
      <c r="I743" s="5">
        <f>IFERROR(IF(ISNUMBER(FIND("-",C743)),DATE(VALUE(LEFT(C743,4)),VALUE(MID(C743,6,2)),VALUE(RIGHT(C743,2))),IF(ISNUMBER(FIND(".",C743)),DATE(VALUE(RIGHT(C743,4)),VALUE(MID(C743,4,2)),VALUE(LEFT(C743,2))),DATE(VALUE(RIGHT(C743,4)),VLOOKUP(TRIM(MID(C743,FIND(" ",C743)+1,LEN(C743)-FIND(" ",C743)-5)),Справочники!$M$3:$N$14,2,0),VALUE(LEFT(C743,FIND(" ",C743)-1))))),"")</f>
        <v>28961</v>
      </c>
      <c r="J743" s="6">
        <f t="shared" si="258"/>
        <v>47</v>
      </c>
      <c r="K743" t="str">
        <f t="shared" si="259"/>
        <v>ОК</v>
      </c>
      <c r="L743" s="5">
        <f>IFERROR(IF(ISNUMBER(FIND("-",G743)),DATE(VALUE(LEFT(G743,4)),VALUE(MID(G743,6,2)),VALUE(RIGHT(G743,2))),IF(ISNUMBER(FIND(".",G743)),DATE(VALUE(RIGHT(G743,4)),VALUE(MID(G743,4,2)),VALUE(LEFT(G743,2))),DATE(VALUE(RIGHT(G743,4)),VLOOKUP(TRIM(MID(G743,FIND(" ",G743)+1,LEN(G743)-FIND(" ",G743)-5)),Справочники!$M$3:$N$14,2,0),VALUE(LEFT(G743,FIND(" ",G743)-1))))),"")</f>
        <v>52079</v>
      </c>
      <c r="M743" t="str">
        <f t="shared" si="260"/>
        <v xml:space="preserve">+7 (903) 345-67-89</v>
      </c>
      <c r="N743" t="str">
        <f t="shared" si="261"/>
        <v>karpov@mail</v>
      </c>
      <c r="O743" t="str">
        <f t="shared" si="262"/>
        <v xml:space="preserve">Ошибка Email</v>
      </c>
      <c r="P743" t="str">
        <f>IFERROR(VLOOKUP(TRIM(SUBSTITUTE(SUBSTITUTE(" "&amp;F743," г "," "),"г.","")),Справочники!$J$3:$K$102,2,0),TRIM(SUBSTITUTE(SUBSTITUTE(" "&amp;F743," г "," "),"г.","")))</f>
        <v>Сочи</v>
      </c>
    </row>
    <row r="744">
      <c r="A744" s="3" t="s">
        <v>3489</v>
      </c>
      <c r="B744" s="3" t="s">
        <v>6969</v>
      </c>
      <c r="C744" s="3" t="s">
        <v>6970</v>
      </c>
      <c r="D744" s="3" t="s">
        <v>4079</v>
      </c>
      <c r="E744" s="3" t="s">
        <v>6971</v>
      </c>
      <c r="F744" s="3" t="s">
        <v>4265</v>
      </c>
      <c r="G744" s="3" t="s">
        <v>6972</v>
      </c>
      <c r="H744" t="str">
        <f t="shared" si="257"/>
        <v xml:space="preserve">Бычкова Екатерина Алексеевна</v>
      </c>
      <c r="I744" s="5">
        <f>IFERROR(IF(ISNUMBER(FIND("-",C744)),DATE(VALUE(LEFT(C744,4)),VALUE(MID(C744,6,2)),VALUE(RIGHT(C744,2))),IF(ISNUMBER(FIND(".",C744)),DATE(VALUE(RIGHT(C744,4)),VALUE(MID(C744,4,2)),VALUE(LEFT(C744,2))),DATE(VALUE(RIGHT(C744,4)),VLOOKUP(TRIM(MID(C744,FIND(" ",C744)+1,LEN(C744)-FIND(" ",C744)-5)),Справочники!$M$3:$N$14,2,0),VALUE(LEFT(C744,FIND(" ",C744)-1))))),"")</f>
        <v>31688</v>
      </c>
      <c r="J744" s="6">
        <f t="shared" si="258"/>
        <v>40</v>
      </c>
      <c r="K744" t="str">
        <f t="shared" si="259"/>
        <v>ОК</v>
      </c>
      <c r="L744" s="5">
        <f>IFERROR(IF(ISNUMBER(FIND("-",G744)),DATE(VALUE(LEFT(G744,4)),VALUE(MID(G744,6,2)),VALUE(RIGHT(G744,2))),IF(ISNUMBER(FIND(".",G744)),DATE(VALUE(RIGHT(G744,4)),VALUE(MID(G744,4,2)),VALUE(LEFT(G744,2))),DATE(VALUE(RIGHT(G744,4)),VLOOKUP(TRIM(MID(G744,FIND(" ",G744)+1,LEN(G744)-FIND(" ",G744)-5)),Справочники!$M$3:$N$14,2,0),VALUE(LEFT(G744,FIND(" ",G744)-1))))),"")</f>
        <v>52088</v>
      </c>
      <c r="M744" t="str">
        <f t="shared" si="260"/>
        <v xml:space="preserve">+7 (903) 345-67-89</v>
      </c>
      <c r="N744" t="str">
        <f t="shared" si="261"/>
        <v>bychkova@yandex</v>
      </c>
      <c r="O744" t="str">
        <f t="shared" si="262"/>
        <v xml:space="preserve">Ошибка Email</v>
      </c>
      <c r="P744" t="str">
        <f>IFERROR(VLOOKUP(TRIM(SUBSTITUTE(SUBSTITUTE(" "&amp;F744," г "," "),"г.","")),Справочники!$J$3:$K$102,2,0),TRIM(SUBSTITUTE(SUBSTITUTE(" "&amp;F744," г "," "),"г.","")))</f>
        <v>Симферополь</v>
      </c>
    </row>
    <row r="745">
      <c r="A745" s="3" t="s">
        <v>3491</v>
      </c>
      <c r="B745" s="3" t="s">
        <v>6973</v>
      </c>
      <c r="C745" s="3" t="s">
        <v>6974</v>
      </c>
      <c r="D745" s="3" t="s">
        <v>4085</v>
      </c>
      <c r="E745" s="3" t="s">
        <v>6975</v>
      </c>
      <c r="F745" s="3" t="s">
        <v>4270</v>
      </c>
      <c r="G745" s="3" t="s">
        <v>6976</v>
      </c>
      <c r="H745" t="str">
        <f t="shared" si="257"/>
        <v xml:space="preserve">Кукушкин Андрей Олегович</v>
      </c>
      <c r="I745" s="5">
        <f>IFERROR(IF(ISNUMBER(FIND("-",C745)),DATE(VALUE(LEFT(C745,4)),VALUE(MID(C745,6,2)),VALUE(RIGHT(C745,2))),IF(ISNUMBER(FIND(".",C745)),DATE(VALUE(RIGHT(C745,4)),VALUE(MID(C745,4,2)),VALUE(LEFT(C745,2))),DATE(VALUE(RIGHT(C745,4)),VLOOKUP(TRIM(MID(C745,FIND(" ",C745)+1,LEN(C745)-FIND(" ",C745)-5)),Справочники!$M$3:$N$14,2,0),VALUE(LEFT(C745,FIND(" ",C745)-1))))),"")</f>
        <v>29949</v>
      </c>
      <c r="J745" s="6">
        <f t="shared" si="258"/>
        <v>44</v>
      </c>
      <c r="K745" t="str">
        <f t="shared" si="259"/>
        <v>ОК</v>
      </c>
      <c r="L745" s="5">
        <f>IFERROR(IF(ISNUMBER(FIND("-",G745)),DATE(VALUE(LEFT(G745,4)),VALUE(MID(G745,6,2)),VALUE(RIGHT(G745,2))),IF(ISNUMBER(FIND(".",G745)),DATE(VALUE(RIGHT(G745,4)),VALUE(MID(G745,4,2)),VALUE(LEFT(G745,2))),DATE(VALUE(RIGHT(G745,4)),VLOOKUP(TRIM(MID(G745,FIND(" ",G745)+1,LEN(G745)-FIND(" ",G745)-5)),Справочники!$M$3:$N$14,2,0),VALUE(LEFT(G745,FIND(" ",G745)-1))))),"")</f>
        <v>52088</v>
      </c>
      <c r="M745" t="str">
        <f t="shared" si="260"/>
        <v xml:space="preserve">+7 (903) 456-78-90</v>
      </c>
      <c r="N745" t="str">
        <f t="shared" si="261"/>
        <v>kukushkin@gmail</v>
      </c>
      <c r="O745" t="str">
        <f t="shared" si="262"/>
        <v xml:space="preserve">Ошибка Email</v>
      </c>
      <c r="P745" t="str">
        <f>IFERROR(VLOOKUP(TRIM(SUBSTITUTE(SUBSTITUTE(" "&amp;F745," г "," "),"г.","")),Справочники!$J$3:$K$102,2,0),TRIM(SUBSTITUTE(SUBSTITUTE(" "&amp;F745," г "," "),"г.","")))</f>
        <v>Брянск</v>
      </c>
    </row>
    <row r="746">
      <c r="A746" s="3" t="s">
        <v>3494</v>
      </c>
      <c r="B746" s="3" t="s">
        <v>6977</v>
      </c>
      <c r="C746" s="3" t="s">
        <v>6978</v>
      </c>
      <c r="D746" s="3" t="s">
        <v>1591</v>
      </c>
      <c r="E746" s="3" t="s">
        <v>6979</v>
      </c>
      <c r="F746" s="3" t="s">
        <v>4275</v>
      </c>
      <c r="G746" s="3" t="s">
        <v>6980</v>
      </c>
      <c r="H746" t="str">
        <f t="shared" si="257"/>
        <v xml:space="preserve">Старшинова Мария Павловна</v>
      </c>
      <c r="I746" s="5">
        <f>IFERROR(IF(ISNUMBER(FIND("-",C746)),DATE(VALUE(LEFT(C746,4)),VALUE(MID(C746,6,2)),VALUE(RIGHT(C746,2))),IF(ISNUMBER(FIND(".",C746)),DATE(VALUE(RIGHT(C746,4)),VALUE(MID(C746,4,2)),VALUE(LEFT(C746,2))),DATE(VALUE(RIGHT(C746,4)),VLOOKUP(TRIM(MID(C746,FIND(" ",C746)+1,LEN(C746)-FIND(" ",C746)-5)),Справочники!$M$3:$N$14,2,0),VALUE(LEFT(C746,FIND(" ",C746)-1))))),"")</f>
        <v>27953</v>
      </c>
      <c r="J746" s="6">
        <f t="shared" si="258"/>
        <v>50</v>
      </c>
      <c r="K746" t="str">
        <f t="shared" si="259"/>
        <v>ОК</v>
      </c>
      <c r="L746" s="5">
        <f>IFERROR(IF(ISNUMBER(FIND("-",G746)),DATE(VALUE(LEFT(G746,4)),VALUE(MID(G746,6,2)),VALUE(RIGHT(G746,2))),IF(ISNUMBER(FIND(".",G746)),DATE(VALUE(RIGHT(G746,4)),VALUE(MID(G746,4,2)),VALUE(LEFT(G746,2))),DATE(VALUE(RIGHT(G746,4)),VLOOKUP(TRIM(MID(G746,FIND(" ",G746)+1,LEN(G746)-FIND(" ",G746)-5)),Справочники!$M$3:$N$14,2,0),VALUE(LEFT(G746,FIND(" ",G746)-1))))),"")</f>
        <v>52110</v>
      </c>
      <c r="M746" t="str">
        <f t="shared" si="260"/>
        <v xml:space="preserve">+7 (903) 456-78-90</v>
      </c>
      <c r="N746" t="str">
        <f t="shared" si="261"/>
        <v>starshinova@mail</v>
      </c>
      <c r="O746" t="str">
        <f t="shared" si="262"/>
        <v xml:space="preserve">Ошибка Email</v>
      </c>
      <c r="P746" t="str">
        <f>IFERROR(VLOOKUP(TRIM(SUBSTITUTE(SUBSTITUTE(" "&amp;F746," г "," "),"г.","")),Справочники!$J$3:$K$102,2,0),TRIM(SUBSTITUTE(SUBSTITUTE(" "&amp;F746," г "," "),"г.","")))</f>
        <v>Абакан</v>
      </c>
    </row>
    <row r="747">
      <c r="A747" s="3" t="s">
        <v>3495</v>
      </c>
      <c r="B747" s="3" t="s">
        <v>6981</v>
      </c>
      <c r="C747" s="3" t="s">
        <v>6982</v>
      </c>
      <c r="D747" s="3" t="s">
        <v>1660</v>
      </c>
      <c r="E747" s="3" t="s">
        <v>6983</v>
      </c>
      <c r="F747" s="3" t="s">
        <v>4280</v>
      </c>
      <c r="G747" s="3" t="s">
        <v>6984</v>
      </c>
      <c r="H747" t="str">
        <f t="shared" si="257"/>
        <v xml:space="preserve">Стрельников Денис Викторович</v>
      </c>
      <c r="I747" s="5">
        <f>IFERROR(IF(ISNUMBER(FIND("-",C747)),DATE(VALUE(LEFT(C747,4)),VALUE(MID(C747,6,2)),VALUE(RIGHT(C747,2))),IF(ISNUMBER(FIND(".",C747)),DATE(VALUE(RIGHT(C747,4)),VALUE(MID(C747,4,2)),VALUE(LEFT(C747,2))),DATE(VALUE(RIGHT(C747,4)),VLOOKUP(TRIM(MID(C747,FIND(" ",C747)+1,LEN(C747)-FIND(" ",C747)-5)),Справочники!$M$3:$N$14,2,0),VALUE(LEFT(C747,FIND(" ",C747)-1))))),"")</f>
        <v>32409</v>
      </c>
      <c r="J747" s="6">
        <f t="shared" si="258"/>
        <v>38</v>
      </c>
      <c r="K747" t="str">
        <f t="shared" si="259"/>
        <v>ОК</v>
      </c>
      <c r="L747" s="5">
        <f>IFERROR(IF(ISNUMBER(FIND("-",G747)),DATE(VALUE(LEFT(G747,4)),VALUE(MID(G747,6,2)),VALUE(RIGHT(G747,2))),IF(ISNUMBER(FIND(".",G747)),DATE(VALUE(RIGHT(G747,4)),VALUE(MID(G747,4,2)),VALUE(LEFT(G747,2))),DATE(VALUE(RIGHT(G747,4)),VLOOKUP(TRIM(MID(G747,FIND(" ",G747)+1,LEN(G747)-FIND(" ",G747)-5)),Справочники!$M$3:$N$14,2,0),VALUE(LEFT(G747,FIND(" ",G747)-1))))),"")</f>
        <v>52124</v>
      </c>
      <c r="M747" t="str">
        <f t="shared" si="260"/>
        <v xml:space="preserve">+7 (903) 456-78-90</v>
      </c>
      <c r="N747" t="str">
        <f t="shared" si="261"/>
        <v>strelnikov@yandex</v>
      </c>
      <c r="O747" t="str">
        <f t="shared" si="262"/>
        <v xml:space="preserve">Ошибка Email</v>
      </c>
      <c r="P747" t="str">
        <f>IFERROR(VLOOKUP(TRIM(SUBSTITUTE(SUBSTITUTE(" "&amp;F747," г "," "),"г.","")),Справочники!$J$3:$K$102,2,0),TRIM(SUBSTITUTE(SUBSTITUTE(" "&amp;F747," г "," "),"г.","")))</f>
        <v>Грозный</v>
      </c>
    </row>
    <row r="748">
      <c r="A748" s="3" t="s">
        <v>3497</v>
      </c>
      <c r="B748" s="3" t="s">
        <v>6985</v>
      </c>
      <c r="C748" s="3" t="s">
        <v>6986</v>
      </c>
      <c r="D748" s="3" t="s">
        <v>3984</v>
      </c>
      <c r="E748" s="3" t="s">
        <v>6987</v>
      </c>
      <c r="F748" s="3" t="s">
        <v>4285</v>
      </c>
      <c r="G748" s="3" t="s">
        <v>6988</v>
      </c>
      <c r="H748" t="str">
        <f t="shared" si="257"/>
        <v xml:space="preserve">Березина Ольга Сергеевна</v>
      </c>
      <c r="I748" s="5">
        <f>IFERROR(IF(ISNUMBER(FIND("-",C748)),DATE(VALUE(LEFT(C748,4)),VALUE(MID(C748,6,2)),VALUE(RIGHT(C748,2))),IF(ISNUMBER(FIND(".",C748)),DATE(VALUE(RIGHT(C748,4)),VALUE(MID(C748,4,2)),VALUE(LEFT(C748,2))),DATE(VALUE(RIGHT(C748,4)),VLOOKUP(TRIM(MID(C748,FIND(" ",C748)+1,LEN(C748)-FIND(" ",C748)-5)),Справочники!$M$3:$N$14,2,0),VALUE(LEFT(C748,FIND(" ",C748)-1))))),"")</f>
        <v>30726</v>
      </c>
      <c r="J748" s="6">
        <f t="shared" si="258"/>
        <v>42</v>
      </c>
      <c r="K748" t="str">
        <f t="shared" si="259"/>
        <v>ОК</v>
      </c>
      <c r="L748" s="5">
        <f>IFERROR(IF(ISNUMBER(FIND("-",G748)),DATE(VALUE(LEFT(G748,4)),VALUE(MID(G748,6,2)),VALUE(RIGHT(G748,2))),IF(ISNUMBER(FIND(".",G748)),DATE(VALUE(RIGHT(G748,4)),VALUE(MID(G748,4,2)),VALUE(LEFT(G748,2))),DATE(VALUE(RIGHT(G748,4)),VLOOKUP(TRIM(MID(G748,FIND(" ",G748)+1,LEN(G748)-FIND(" ",G748)-5)),Справочники!$M$3:$N$14,2,0),VALUE(LEFT(G748,FIND(" ",G748)-1))))),"")</f>
        <v>52124</v>
      </c>
      <c r="M748" t="str">
        <f t="shared" si="260"/>
        <v xml:space="preserve">+7 (903) 567-89-01</v>
      </c>
      <c r="N748" t="str">
        <f t="shared" si="261"/>
        <v>berezina@gmail</v>
      </c>
      <c r="O748" t="str">
        <f t="shared" si="262"/>
        <v xml:space="preserve">Ошибка Email</v>
      </c>
      <c r="P748" t="str">
        <f>IFERROR(VLOOKUP(TRIM(SUBSTITUTE(SUBSTITUTE(" "&amp;F748," г "," "),"г.","")),Справочники!$J$3:$K$102,2,0),TRIM(SUBSTITUTE(SUBSTITUTE(" "&amp;F748," г "," "),"г.","")))</f>
        <v>Бийск</v>
      </c>
    </row>
    <row r="749">
      <c r="A749" s="3" t="s">
        <v>3499</v>
      </c>
      <c r="B749" s="3" t="s">
        <v>6989</v>
      </c>
      <c r="C749" s="3" t="s">
        <v>6990</v>
      </c>
      <c r="D749" s="3" t="s">
        <v>3990</v>
      </c>
      <c r="E749" s="3" t="s">
        <v>5282</v>
      </c>
      <c r="F749" s="3" t="s">
        <v>4290</v>
      </c>
      <c r="G749" s="3" t="s">
        <v>6991</v>
      </c>
      <c r="H749" t="str">
        <f t="shared" si="257"/>
        <v xml:space="preserve">Сысоев Илья Алексеевич</v>
      </c>
      <c r="I749" s="5">
        <f>IFERROR(IF(ISNUMBER(FIND("-",C749)),DATE(VALUE(LEFT(C749,4)),VALUE(MID(C749,6,2)),VALUE(RIGHT(C749,2))),IF(ISNUMBER(FIND(".",C749)),DATE(VALUE(RIGHT(C749,4)),VALUE(MID(C749,4,2)),VALUE(LEFT(C749,2))),DATE(VALUE(RIGHT(C749,4)),VLOOKUP(TRIM(MID(C749,FIND(" ",C749)+1,LEN(C749)-FIND(" ",C749)-5)),Справочники!$M$3:$N$14,2,0),VALUE(LEFT(C749,FIND(" ",C749)-1))))),"")</f>
        <v>26785</v>
      </c>
      <c r="J749" s="6">
        <f t="shared" si="258"/>
        <v>53</v>
      </c>
      <c r="K749" t="str">
        <f t="shared" si="259"/>
        <v>ОК</v>
      </c>
      <c r="L749" s="5">
        <f>IFERROR(IF(ISNUMBER(FIND("-",G749)),DATE(VALUE(LEFT(G749,4)),VALUE(MID(G749,6,2)),VALUE(RIGHT(G749,2))),IF(ISNUMBER(FIND(".",G749)),DATE(VALUE(RIGHT(G749,4)),VALUE(MID(G749,4,2)),VALUE(LEFT(G749,2))),DATE(VALUE(RIGHT(G749,4)),VLOOKUP(TRIM(MID(G749,FIND(" ",G749)+1,LEN(G749)-FIND(" ",G749)-5)),Справочники!$M$3:$N$14,2,0),VALUE(LEFT(G749,FIND(" ",G749)-1))))),"")</f>
        <v>52140</v>
      </c>
      <c r="M749" t="str">
        <f t="shared" si="260"/>
        <v xml:space="preserve">+7 (903) 567-89-01</v>
      </c>
      <c r="N749" t="str">
        <f t="shared" si="261"/>
        <v>sysoev@mail</v>
      </c>
      <c r="O749" t="str">
        <f t="shared" si="262"/>
        <v xml:space="preserve">Ошибка Email</v>
      </c>
      <c r="P749" t="str">
        <f>IFERROR(VLOOKUP(TRIM(SUBSTITUTE(SUBSTITUTE(" "&amp;F749," г "," "),"г.","")),Справочники!$J$3:$K$102,2,0),TRIM(SUBSTITUTE(SUBSTITUTE(" "&amp;F749," г "," "),"г.","")))</f>
        <v>Йошкар-Ола</v>
      </c>
    </row>
    <row r="750">
      <c r="A750" s="3" t="s">
        <v>3502</v>
      </c>
      <c r="B750" s="3" t="s">
        <v>6992</v>
      </c>
      <c r="C750" s="3" t="s">
        <v>6993</v>
      </c>
      <c r="D750" s="3" t="s">
        <v>1598</v>
      </c>
      <c r="E750" s="3" t="s">
        <v>6994</v>
      </c>
      <c r="F750" s="3" t="s">
        <v>4295</v>
      </c>
      <c r="G750" s="3" t="s">
        <v>6995</v>
      </c>
      <c r="H750" t="str">
        <f t="shared" si="257"/>
        <v xml:space="preserve">Жижина Екатерина Владимировна</v>
      </c>
      <c r="I750" s="5">
        <f>IFERROR(IF(ISNUMBER(FIND("-",C750)),DATE(VALUE(LEFT(C750,4)),VALUE(MID(C750,6,2)),VALUE(RIGHT(C750,2))),IF(ISNUMBER(FIND(".",C750)),DATE(VALUE(RIGHT(C750,4)),VALUE(MID(C750,4,2)),VALUE(LEFT(C750,2))),DATE(VALUE(RIGHT(C750,4)),VLOOKUP(TRIM(MID(C750,FIND(" ",C750)+1,LEN(C750)-FIND(" ",C750)-5)),Справочники!$M$3:$N$14,2,0),VALUE(LEFT(C750,FIND(" ",C750)-1))))),"")</f>
        <v>29453</v>
      </c>
      <c r="J750" s="6">
        <f t="shared" si="258"/>
        <v>46</v>
      </c>
      <c r="K750" t="str">
        <f t="shared" si="259"/>
        <v>ОК</v>
      </c>
      <c r="L750" s="5">
        <f>IFERROR(IF(ISNUMBER(FIND("-",G750)),DATE(VALUE(LEFT(G750,4)),VALUE(MID(G750,6,2)),VALUE(RIGHT(G750,2))),IF(ISNUMBER(FIND(".",G750)),DATE(VALUE(RIGHT(G750,4)),VALUE(MID(G750,4,2)),VALUE(LEFT(G750,2))),DATE(VALUE(RIGHT(G750,4)),VLOOKUP(TRIM(MID(G750,FIND(" ",G750)+1,LEN(G750)-FIND(" ",G750)-5)),Справочники!$M$3:$N$14,2,0),VALUE(LEFT(G750,FIND(" ",G750)-1))))),"")</f>
        <v>52149</v>
      </c>
      <c r="M750" t="str">
        <f t="shared" si="260"/>
        <v xml:space="preserve">+7 (903) 567-89-01</v>
      </c>
      <c r="N750" t="str">
        <f t="shared" si="261"/>
        <v>zhizhina@yandex</v>
      </c>
      <c r="O750" t="str">
        <f t="shared" si="262"/>
        <v xml:space="preserve">Ошибка Email</v>
      </c>
      <c r="P750" t="str">
        <f>IFERROR(VLOOKUP(TRIM(SUBSTITUTE(SUBSTITUTE(" "&amp;F750," г "," "),"г.","")),Справочники!$J$3:$K$102,2,0),TRIM(SUBSTITUTE(SUBSTITUTE(" "&amp;F750," г "," "),"г.","")))</f>
        <v>Курган</v>
      </c>
    </row>
    <row r="751">
      <c r="A751" s="3" t="s">
        <v>3504</v>
      </c>
      <c r="B751" s="3" t="s">
        <v>6996</v>
      </c>
      <c r="C751" s="3" t="s">
        <v>6997</v>
      </c>
      <c r="D751" s="3" t="s">
        <v>4116</v>
      </c>
      <c r="E751" s="3" t="s">
        <v>6998</v>
      </c>
      <c r="F751" s="3" t="s">
        <v>4300</v>
      </c>
      <c r="G751" s="3" t="s">
        <v>6999</v>
      </c>
      <c r="H751" t="str">
        <f t="shared" si="257"/>
        <v xml:space="preserve">Кривошеев Андрей Павлович</v>
      </c>
      <c r="I751" s="5">
        <f>IFERROR(IF(ISNUMBER(FIND("-",C751)),DATE(VALUE(LEFT(C751,4)),VALUE(MID(C751,6,2)),VALUE(RIGHT(C751,2))),IF(ISNUMBER(FIND(".",C751)),DATE(VALUE(RIGHT(C751,4)),VALUE(MID(C751,4,2)),VALUE(LEFT(C751,2))),DATE(VALUE(RIGHT(C751,4)),VLOOKUP(TRIM(MID(C751,FIND(" ",C751)+1,LEN(C751)-FIND(" ",C751)-5)),Справочники!$M$3:$N$14,2,0),VALUE(LEFT(C751,FIND(" ",C751)-1))))),"")</f>
        <v>31757</v>
      </c>
      <c r="J751" s="6">
        <f t="shared" si="258"/>
        <v>39</v>
      </c>
      <c r="K751" t="str">
        <f t="shared" si="259"/>
        <v>ОК</v>
      </c>
      <c r="L751" s="5">
        <f>IFERROR(IF(ISNUMBER(FIND("-",G751)),DATE(VALUE(LEFT(G751,4)),VALUE(MID(G751,6,2)),VALUE(RIGHT(G751,2))),IF(ISNUMBER(FIND(".",G751)),DATE(VALUE(RIGHT(G751,4)),VALUE(MID(G751,4,2)),VALUE(LEFT(G751,2))),DATE(VALUE(RIGHT(G751,4)),VLOOKUP(TRIM(MID(G751,FIND(" ",G751)+1,LEN(G751)-FIND(" ",G751)-5)),Справочники!$M$3:$N$14,2,0),VALUE(LEFT(G751,FIND(" ",G751)-1))))),"")</f>
        <v>52149</v>
      </c>
      <c r="M751" t="str">
        <f t="shared" si="260"/>
        <v xml:space="preserve">+7 (903) 678-90-12</v>
      </c>
      <c r="N751" t="str">
        <f t="shared" si="261"/>
        <v>krivosheev@gmail</v>
      </c>
      <c r="O751" t="str">
        <f t="shared" si="262"/>
        <v xml:space="preserve">Ошибка Email</v>
      </c>
      <c r="P751" t="str">
        <f>IFERROR(VLOOKUP(TRIM(SUBSTITUTE(SUBSTITUTE(" "&amp;F751," г "," "),"г.","")),Справочники!$J$3:$K$102,2,0),TRIM(SUBSTITUTE(SUBSTITUTE(" "&amp;F751," г "," "),"г.","")))</f>
        <v>Архангельск</v>
      </c>
    </row>
    <row r="752">
      <c r="A752" s="3" t="s">
        <v>3506</v>
      </c>
      <c r="B752" s="3" t="s">
        <v>7000</v>
      </c>
      <c r="C752" s="3" t="s">
        <v>7001</v>
      </c>
      <c r="D752" s="3" t="s">
        <v>4122</v>
      </c>
      <c r="E752" s="3" t="s">
        <v>7002</v>
      </c>
      <c r="F752" s="3" t="s">
        <v>4305</v>
      </c>
      <c r="G752" s="3" t="s">
        <v>7003</v>
      </c>
      <c r="H752" t="str">
        <f t="shared" si="257"/>
        <v xml:space="preserve">Вьюнова Мария Олеговна</v>
      </c>
      <c r="I752" s="5">
        <f>IFERROR(IF(ISNUMBER(FIND("-",C752)),DATE(VALUE(LEFT(C752,4)),VALUE(MID(C752,6,2)),VALUE(RIGHT(C752,2))),IF(ISNUMBER(FIND(".",C752)),DATE(VALUE(RIGHT(C752,4)),VALUE(MID(C752,4,2)),VALUE(LEFT(C752,2))),DATE(VALUE(RIGHT(C752,4)),VLOOKUP(TRIM(MID(C752,FIND(" ",C752)+1,LEN(C752)-FIND(" ",C752)-5)),Справочники!$M$3:$N$14,2,0),VALUE(LEFT(C752,FIND(" ",C752)-1))))),"")</f>
        <v>28222</v>
      </c>
      <c r="J752" s="6">
        <f t="shared" si="258"/>
        <v>49</v>
      </c>
      <c r="K752" t="str">
        <f t="shared" si="259"/>
        <v>ОК</v>
      </c>
      <c r="L752" s="5">
        <f>IFERROR(IF(ISNUMBER(FIND("-",G752)),DATE(VALUE(LEFT(G752,4)),VALUE(MID(G752,6,2)),VALUE(RIGHT(G752,2))),IF(ISNUMBER(FIND(".",G752)),DATE(VALUE(RIGHT(G752,4)),VALUE(MID(G752,4,2)),VALUE(LEFT(G752,2))),DATE(VALUE(RIGHT(G752,4)),VLOOKUP(TRIM(MID(G752,FIND(" ",G752)+1,LEN(G752)-FIND(" ",G752)-5)),Справочники!$M$3:$N$14,2,0),VALUE(LEFT(G752,FIND(" ",G752)-1))))),"")</f>
        <v>52171</v>
      </c>
      <c r="M752" t="str">
        <f t="shared" si="260"/>
        <v xml:space="preserve">+7 (903) 678-90-12</v>
      </c>
      <c r="N752" t="str">
        <f t="shared" si="261"/>
        <v>vyunova@mail</v>
      </c>
      <c r="O752" t="str">
        <f t="shared" si="262"/>
        <v xml:space="preserve">Ошибка Email</v>
      </c>
      <c r="P752" t="str">
        <f>IFERROR(VLOOKUP(TRIM(SUBSTITUTE(SUBSTITUTE(" "&amp;F752," г "," "),"г.","")),Справочники!$J$3:$K$102,2,0),TRIM(SUBSTITUTE(SUBSTITUTE(" "&amp;F752," г "," "),"г.","")))</f>
        <v>Благовещенск</v>
      </c>
    </row>
    <row r="753">
      <c r="A753" s="3" t="s">
        <v>3507</v>
      </c>
      <c r="B753" s="3" t="s">
        <v>7004</v>
      </c>
      <c r="C753" s="3" t="s">
        <v>6370</v>
      </c>
      <c r="D753" s="3" t="s">
        <v>1605</v>
      </c>
      <c r="E753" s="3" t="s">
        <v>7005</v>
      </c>
      <c r="F753" s="3" t="s">
        <v>4310</v>
      </c>
      <c r="G753" s="3" t="s">
        <v>7006</v>
      </c>
      <c r="H753" t="str">
        <f t="shared" si="257"/>
        <v xml:space="preserve">Гладких Денис Сергеевич</v>
      </c>
      <c r="I753" s="5">
        <f>IFERROR(IF(ISNUMBER(FIND("-",C753)),DATE(VALUE(LEFT(C753,4)),VALUE(MID(C753,6,2)),VALUE(RIGHT(C753,2))),IF(ISNUMBER(FIND(".",C753)),DATE(VALUE(RIGHT(C753,4)),VALUE(MID(C753,4,2)),VALUE(LEFT(C753,2))),DATE(VALUE(RIGHT(C753,4)),VLOOKUP(TRIM(MID(C753,FIND(" ",C753)+1,LEN(C753)-FIND(" ",C753)-5)),Справочники!$M$3:$N$14,2,0),VALUE(LEFT(C753,FIND(" ",C753)-1))))),"")</f>
        <v>33568</v>
      </c>
      <c r="J753" s="6">
        <f t="shared" si="258"/>
        <v>34</v>
      </c>
      <c r="K753" t="str">
        <f t="shared" si="259"/>
        <v>ОК</v>
      </c>
      <c r="L753" s="5">
        <f>IFERROR(IF(ISNUMBER(FIND("-",G753)),DATE(VALUE(LEFT(G753,4)),VALUE(MID(G753,6,2)),VALUE(RIGHT(G753,2))),IF(ISNUMBER(FIND(".",G753)),DATE(VALUE(RIGHT(G753,4)),VALUE(MID(G753,4,2)),VALUE(LEFT(G753,2))),DATE(VALUE(RIGHT(G753,4)),VLOOKUP(TRIM(MID(G753,FIND(" ",G753)+1,LEN(G753)-FIND(" ",G753)-5)),Справочники!$M$3:$N$14,2,0),VALUE(LEFT(G753,FIND(" ",G753)-1))))),"")</f>
        <v>52185</v>
      </c>
      <c r="M753" t="str">
        <f t="shared" si="260"/>
        <v xml:space="preserve">+7 (903) 678-90-12</v>
      </c>
      <c r="N753" t="str">
        <f t="shared" si="261"/>
        <v>gladkih@yandex</v>
      </c>
      <c r="O753" t="str">
        <f t="shared" si="262"/>
        <v xml:space="preserve">Ошибка Email</v>
      </c>
      <c r="P753" t="str">
        <f>IFERROR(VLOOKUP(TRIM(SUBSTITUTE(SUBSTITUTE(" "&amp;F753," г "," "),"г.","")),Справочники!$J$3:$K$102,2,0),TRIM(SUBSTITUTE(SUBSTITUTE(" "&amp;F753," г "," "),"г.","")))</f>
        <v>Майкоп</v>
      </c>
    </row>
    <row r="754">
      <c r="A754" s="3" t="s">
        <v>3509</v>
      </c>
      <c r="B754" s="3" t="s">
        <v>7007</v>
      </c>
      <c r="C754" s="3" t="s">
        <v>7008</v>
      </c>
      <c r="D754" s="3" t="s">
        <v>4001</v>
      </c>
      <c r="E754" s="3" t="s">
        <v>7009</v>
      </c>
      <c r="F754" s="3" t="s">
        <v>4315</v>
      </c>
      <c r="G754" s="3" t="s">
        <v>7010</v>
      </c>
      <c r="H754" t="str">
        <f t="shared" si="257"/>
        <v xml:space="preserve">Емельянова Ольга Павловна</v>
      </c>
      <c r="I754" s="5">
        <f>IFERROR(IF(ISNUMBER(FIND("-",C754)),DATE(VALUE(LEFT(C754,4)),VALUE(MID(C754,6,2)),VALUE(RIGHT(C754,2))),IF(ISNUMBER(FIND(".",C754)),DATE(VALUE(RIGHT(C754,4)),VALUE(MID(C754,4,2)),VALUE(LEFT(C754,2))),DATE(VALUE(RIGHT(C754,4)),VLOOKUP(TRIM(MID(C754,FIND(" ",C754)+1,LEN(C754)-FIND(" ",C754)-5)),Справочники!$M$3:$N$14,2,0),VALUE(LEFT(C754,FIND(" ",C754)-1))))),"")</f>
        <v>30233</v>
      </c>
      <c r="J754" s="6">
        <f t="shared" si="258"/>
        <v>44</v>
      </c>
      <c r="K754" t="str">
        <f t="shared" si="259"/>
        <v>ОК</v>
      </c>
      <c r="L754" s="5">
        <f>IFERROR(IF(ISNUMBER(FIND("-",G754)),DATE(VALUE(LEFT(G754,4)),VALUE(MID(G754,6,2)),VALUE(RIGHT(G754,2))),IF(ISNUMBER(FIND(".",G754)),DATE(VALUE(RIGHT(G754,4)),VALUE(MID(G754,4,2)),VALUE(LEFT(G754,2))),DATE(VALUE(RIGHT(G754,4)),VLOOKUP(TRIM(MID(G754,FIND(" ",G754)+1,LEN(G754)-FIND(" ",G754)-5)),Справочники!$M$3:$N$14,2,0),VALUE(LEFT(G754,FIND(" ",G754)-1))))),"")</f>
        <v>52185</v>
      </c>
      <c r="M754" t="str">
        <f t="shared" si="260"/>
        <v xml:space="preserve">+7 (903) 789-01-23</v>
      </c>
      <c r="N754" t="str">
        <f t="shared" si="261"/>
        <v>emelyanova@gmail</v>
      </c>
      <c r="O754" t="str">
        <f t="shared" si="262"/>
        <v xml:space="preserve">Ошибка Email</v>
      </c>
      <c r="P754" t="str">
        <f>IFERROR(VLOOKUP(TRIM(SUBSTITUTE(SUBSTITUTE(" "&amp;F754," г "," "),"г.","")),Справочники!$J$3:$K$102,2,0),TRIM(SUBSTITUTE(SUBSTITUTE(" "&amp;F754," г "," "),"г.","")))</f>
        <v>Уссурийск</v>
      </c>
    </row>
    <row r="755">
      <c r="A755" s="3" t="s">
        <v>3510</v>
      </c>
      <c r="B755" s="3" t="s">
        <v>7011</v>
      </c>
      <c r="C755" s="3" t="s">
        <v>7012</v>
      </c>
      <c r="D755" s="3" t="s">
        <v>4138</v>
      </c>
      <c r="E755" s="3" t="s">
        <v>7013</v>
      </c>
      <c r="F755" s="3" t="s">
        <v>4320</v>
      </c>
      <c r="G755" s="3" t="s">
        <v>7014</v>
      </c>
      <c r="H755" t="str">
        <f t="shared" si="257"/>
        <v xml:space="preserve">Семенчук Илья Александрович</v>
      </c>
      <c r="I755" s="5">
        <f>IFERROR(IF(ISNUMBER(FIND("-",C755)),DATE(VALUE(LEFT(C755,4)),VALUE(MID(C755,6,2)),VALUE(RIGHT(C755,2))),IF(ISNUMBER(FIND(".",C755)),DATE(VALUE(RIGHT(C755,4)),VALUE(MID(C755,4,2)),VALUE(LEFT(C755,2))),DATE(VALUE(RIGHT(C755,4)),VLOOKUP(TRIM(MID(C755,FIND(" ",C755)+1,LEN(C755)-FIND(" ",C755)-5)),Справочники!$M$3:$N$14,2,0),VALUE(LEFT(C755,FIND(" ",C755)-1))))),"")</f>
        <v>27110</v>
      </c>
      <c r="J755" s="6">
        <f t="shared" si="258"/>
        <v>52</v>
      </c>
      <c r="K755" t="str">
        <f t="shared" si="259"/>
        <v>ОК</v>
      </c>
      <c r="L755" s="5">
        <f>IFERROR(IF(ISNUMBER(FIND("-",G755)),DATE(VALUE(LEFT(G755,4)),VALUE(MID(G755,6,2)),VALUE(RIGHT(G755,2))),IF(ISNUMBER(FIND(".",G755)),DATE(VALUE(RIGHT(G755,4)),VALUE(MID(G755,4,2)),VALUE(LEFT(G755,2))),DATE(VALUE(RIGHT(G755,4)),VLOOKUP(TRIM(MID(G755,FIND(" ",G755)+1,LEN(G755)-FIND(" ",G755)-5)),Справочники!$M$3:$N$14,2,0),VALUE(LEFT(G755,FIND(" ",G755)-1))))),"")</f>
        <v>52201</v>
      </c>
      <c r="M755" t="str">
        <f t="shared" si="260"/>
        <v xml:space="preserve">+7 (903) 789-01-23</v>
      </c>
      <c r="N755" t="str">
        <f t="shared" si="261"/>
        <v>semenchuk@mail</v>
      </c>
      <c r="O755" t="str">
        <f t="shared" si="262"/>
        <v xml:space="preserve">Ошибка Email</v>
      </c>
      <c r="P755" t="str">
        <f>IFERROR(VLOOKUP(TRIM(SUBSTITUTE(SUBSTITUTE(" "&amp;F755," г "," "),"г.","")),Справочники!$J$3:$K$102,2,0),TRIM(SUBSTITUTE(SUBSTITUTE(" "&amp;F755," г "," "),"г.","")))</f>
        <v>Миасс</v>
      </c>
    </row>
    <row r="756">
      <c r="A756" s="3" t="s">
        <v>3512</v>
      </c>
      <c r="B756" s="3" t="s">
        <v>7015</v>
      </c>
      <c r="C756" s="3" t="s">
        <v>7016</v>
      </c>
      <c r="D756" s="3" t="s">
        <v>4144</v>
      </c>
      <c r="E756" s="3" t="s">
        <v>7017</v>
      </c>
      <c r="F756" s="3" t="s">
        <v>4325</v>
      </c>
      <c r="G756" s="3" t="s">
        <v>7018</v>
      </c>
      <c r="H756" t="str">
        <f t="shared" si="257"/>
        <v xml:space="preserve">Огородникова Екатерина Сергеевна</v>
      </c>
      <c r="I756" s="5">
        <f>IFERROR(IF(ISNUMBER(FIND("-",C756)),DATE(VALUE(LEFT(C756,4)),VALUE(MID(C756,6,2)),VALUE(RIGHT(C756,2))),IF(ISNUMBER(FIND(".",C756)),DATE(VALUE(RIGHT(C756,4)),VALUE(MID(C756,4,2)),VALUE(LEFT(C756,2))),DATE(VALUE(RIGHT(C756,4)),VLOOKUP(TRIM(MID(C756,FIND(" ",C756)+1,LEN(C756)-FIND(" ",C756)-5)),Справочники!$M$3:$N$14,2,0),VALUE(LEFT(C756,FIND(" ",C756)-1))))),"")</f>
        <v>32704</v>
      </c>
      <c r="J756" s="6">
        <f t="shared" si="258"/>
        <v>37</v>
      </c>
      <c r="K756" t="str">
        <f t="shared" si="259"/>
        <v>ОК</v>
      </c>
      <c r="L756" s="5">
        <f>IFERROR(IF(ISNUMBER(FIND("-",G756)),DATE(VALUE(LEFT(G756,4)),VALUE(MID(G756,6,2)),VALUE(RIGHT(G756,2))),IF(ISNUMBER(FIND(".",G756)),DATE(VALUE(RIGHT(G756,4)),VALUE(MID(G756,4,2)),VALUE(LEFT(G756,2))),DATE(VALUE(RIGHT(G756,4)),VLOOKUP(TRIM(MID(G756,FIND(" ",G756)+1,LEN(G756)-FIND(" ",G756)-5)),Справочники!$M$3:$N$14,2,0),VALUE(LEFT(G756,FIND(" ",G756)-1))))),"")</f>
        <v>52210</v>
      </c>
      <c r="M756" t="str">
        <f t="shared" si="260"/>
        <v xml:space="preserve">+7 (903) 789-01-23</v>
      </c>
      <c r="N756" t="str">
        <f t="shared" si="261"/>
        <v>ogorodnikova@yandex</v>
      </c>
      <c r="O756" t="str">
        <f t="shared" si="262"/>
        <v xml:space="preserve">Ошибка Email</v>
      </c>
      <c r="P756" t="str">
        <f>IFERROR(VLOOKUP(TRIM(SUBSTITUTE(SUBSTITUTE(" "&amp;F756," г "," "),"г.","")),Справочники!$J$3:$K$102,2,0),TRIM(SUBSTITUTE(SUBSTITUTE(" "&amp;F756," г "," "),"г.","")))</f>
        <v>Кызыл</v>
      </c>
    </row>
    <row r="757">
      <c r="A757" s="3" t="s">
        <v>3514</v>
      </c>
      <c r="B757" s="3" t="s">
        <v>7019</v>
      </c>
      <c r="C757" s="3" t="s">
        <v>7020</v>
      </c>
      <c r="D757" s="3" t="s">
        <v>4150</v>
      </c>
      <c r="E757" s="3" t="s">
        <v>7021</v>
      </c>
      <c r="F757" s="3" t="s">
        <v>4330</v>
      </c>
      <c r="G757" s="3" t="s">
        <v>7022</v>
      </c>
      <c r="H757" t="str">
        <f t="shared" si="257"/>
        <v xml:space="preserve">Бессонов Андрей Олегович</v>
      </c>
      <c r="I757" s="5">
        <f>IFERROR(IF(ISNUMBER(FIND("-",C757)),DATE(VALUE(LEFT(C757,4)),VALUE(MID(C757,6,2)),VALUE(RIGHT(C757,2))),IF(ISNUMBER(FIND(".",C757)),DATE(VALUE(RIGHT(C757,4)),VALUE(MID(C757,4,2)),VALUE(LEFT(C757,2))),DATE(VALUE(RIGHT(C757,4)),VLOOKUP(TRIM(MID(C757,FIND(" ",C757)+1,LEN(C757)-FIND(" ",C757)-5)),Справочники!$M$3:$N$14,2,0),VALUE(LEFT(C757,FIND(" ",C757)-1))))),"")</f>
        <v>31272</v>
      </c>
      <c r="J757" s="6">
        <f t="shared" si="258"/>
        <v>41</v>
      </c>
      <c r="K757" t="str">
        <f t="shared" si="259"/>
        <v>ОК</v>
      </c>
      <c r="L757" s="5">
        <f>IFERROR(IF(ISNUMBER(FIND("-",G757)),DATE(VALUE(LEFT(G757,4)),VALUE(MID(G757,6,2)),VALUE(RIGHT(G757,2))),IF(ISNUMBER(FIND(".",G757)),DATE(VALUE(RIGHT(G757,4)),VALUE(MID(G757,4,2)),VALUE(LEFT(G757,2))),DATE(VALUE(RIGHT(G757,4)),VLOOKUP(TRIM(MID(G757,FIND(" ",G757)+1,LEN(G757)-FIND(" ",G757)-5)),Справочники!$M$3:$N$14,2,0),VALUE(LEFT(G757,FIND(" ",G757)-1))))),"")</f>
        <v>52210</v>
      </c>
      <c r="M757" t="str">
        <f t="shared" si="260"/>
        <v xml:space="preserve">+7 (903) 890-12-34</v>
      </c>
      <c r="N757" t="str">
        <f t="shared" si="261"/>
        <v>bessonov@gmail</v>
      </c>
      <c r="O757" t="str">
        <f t="shared" si="262"/>
        <v xml:space="preserve">Ошибка Email</v>
      </c>
      <c r="P757" t="str">
        <f>IFERROR(VLOOKUP(TRIM(SUBSTITUTE(SUBSTITUTE(" "&amp;F757," г "," "),"г.","")),Справочники!$J$3:$K$102,2,0),TRIM(SUBSTITUTE(SUBSTITUTE(" "&amp;F757," г "," "),"г.","")))</f>
        <v>Калининград</v>
      </c>
    </row>
    <row r="758">
      <c r="A758" s="3" t="s">
        <v>3517</v>
      </c>
      <c r="B758" s="3" t="s">
        <v>7023</v>
      </c>
      <c r="C758" s="3" t="s">
        <v>7024</v>
      </c>
      <c r="D758" s="3" t="s">
        <v>4007</v>
      </c>
      <c r="E758" s="3" t="s">
        <v>7025</v>
      </c>
      <c r="F758" s="3" t="s">
        <v>4335</v>
      </c>
      <c r="G758" s="3" t="s">
        <v>7026</v>
      </c>
      <c r="H758" t="str">
        <f t="shared" si="257"/>
        <v xml:space="preserve">Верещагина Мария Владимировна</v>
      </c>
      <c r="I758" s="5">
        <f>IFERROR(IF(ISNUMBER(FIND("-",C758)),DATE(VALUE(LEFT(C758,4)),VALUE(MID(C758,6,2)),VALUE(RIGHT(C758,2))),IF(ISNUMBER(FIND(".",C758)),DATE(VALUE(RIGHT(C758,4)),VALUE(MID(C758,4,2)),VALUE(LEFT(C758,2))),DATE(VALUE(RIGHT(C758,4)),VLOOKUP(TRIM(MID(C758,FIND(" ",C758)+1,LEN(C758)-FIND(" ",C758)-5)),Справочники!$M$3:$N$14,2,0),VALUE(LEFT(C758,FIND(" ",C758)-1))))),"")</f>
        <v>26468</v>
      </c>
      <c r="J758" s="6">
        <f t="shared" si="258"/>
        <v>54</v>
      </c>
      <c r="K758" t="str">
        <f t="shared" si="259"/>
        <v>ОК</v>
      </c>
      <c r="L758" s="5">
        <f>IFERROR(IF(ISNUMBER(FIND("-",G758)),DATE(VALUE(LEFT(G758,4)),VALUE(MID(G758,6,2)),VALUE(RIGHT(G758,2))),IF(ISNUMBER(FIND(".",G758)),DATE(VALUE(RIGHT(G758,4)),VALUE(MID(G758,4,2)),VALUE(LEFT(G758,2))),DATE(VALUE(RIGHT(G758,4)),VLOOKUP(TRIM(MID(G758,FIND(" ",G758)+1,LEN(G758)-FIND(" ",G758)-5)),Справочники!$M$3:$N$14,2,0),VALUE(LEFT(G758,FIND(" ",G758)-1))))),"")</f>
        <v>52232</v>
      </c>
      <c r="M758" t="str">
        <f t="shared" si="260"/>
        <v xml:space="preserve">+7 (903) 890-12-34</v>
      </c>
      <c r="N758" t="str">
        <f t="shared" si="261"/>
        <v>vereschagina@mail</v>
      </c>
      <c r="O758" t="str">
        <f t="shared" si="262"/>
        <v xml:space="preserve">Ошибка Email</v>
      </c>
      <c r="P758" t="str">
        <f>IFERROR(VLOOKUP(TRIM(SUBSTITUTE(SUBSTITUTE(" "&amp;F758," г "," "),"г.","")),Справочники!$J$3:$K$102,2,0),TRIM(SUBSTITUTE(SUBSTITUTE(" "&amp;F758," г "," "),"г.","")))</f>
        <v>Петрозаводск</v>
      </c>
    </row>
    <row r="759">
      <c r="A759" s="3" t="s">
        <v>3518</v>
      </c>
      <c r="B759" s="3" t="s">
        <v>7027</v>
      </c>
      <c r="C759" s="3" t="s">
        <v>7028</v>
      </c>
      <c r="D759" s="3" t="s">
        <v>1619</v>
      </c>
      <c r="E759" s="3" t="s">
        <v>7029</v>
      </c>
      <c r="F759" s="3" t="s">
        <v>4340</v>
      </c>
      <c r="G759" s="3" t="s">
        <v>7030</v>
      </c>
      <c r="H759" t="str">
        <f t="shared" si="257"/>
        <v xml:space="preserve">Малинин Денис Павлович</v>
      </c>
      <c r="I759" s="5">
        <f>IFERROR(IF(ISNUMBER(FIND("-",C759)),DATE(VALUE(LEFT(C759,4)),VALUE(MID(C759,6,2)),VALUE(RIGHT(C759,2))),IF(ISNUMBER(FIND(".",C759)),DATE(VALUE(RIGHT(C759,4)),VALUE(MID(C759,4,2)),VALUE(LEFT(C759,2))),DATE(VALUE(RIGHT(C759,4)),VLOOKUP(TRIM(MID(C759,FIND(" ",C759)+1,LEN(C759)-FIND(" ",C759)-5)),Справочники!$M$3:$N$14,2,0),VALUE(LEFT(C759,FIND(" ",C759)-1))))),"")</f>
        <v>30587</v>
      </c>
      <c r="J759" s="6">
        <f t="shared" si="258"/>
        <v>43</v>
      </c>
      <c r="K759" t="str">
        <f t="shared" si="259"/>
        <v>ОК</v>
      </c>
      <c r="L759" s="5">
        <f>IFERROR(IF(ISNUMBER(FIND("-",G759)),DATE(VALUE(LEFT(G759,4)),VALUE(MID(G759,6,2)),VALUE(RIGHT(G759,2))),IF(ISNUMBER(FIND(".",G759)),DATE(VALUE(RIGHT(G759,4)),VALUE(MID(G759,4,2)),VALUE(LEFT(G759,2))),DATE(VALUE(RIGHT(G759,4)),VLOOKUP(TRIM(MID(G759,FIND(" ",G759)+1,LEN(G759)-FIND(" ",G759)-5)),Справочники!$M$3:$N$14,2,0),VALUE(LEFT(G759,FIND(" ",G759)-1))))),"")</f>
        <v>52246</v>
      </c>
      <c r="M759" t="str">
        <f t="shared" si="260"/>
        <v xml:space="preserve">+7 (903) 890-12-34</v>
      </c>
      <c r="N759" t="str">
        <f t="shared" si="261"/>
        <v>malinin@yandex</v>
      </c>
      <c r="O759" t="str">
        <f t="shared" si="262"/>
        <v xml:space="preserve">Ошибка Email</v>
      </c>
      <c r="P759" t="str">
        <f>IFERROR(VLOOKUP(TRIM(SUBSTITUTE(SUBSTITUTE(" "&amp;F759," г "," "),"г.","")),Справочники!$J$3:$K$102,2,0),TRIM(SUBSTITUTE(SUBSTITUTE(" "&amp;F759," г "," "),"г.","")))</f>
        <v>Рубцовск</v>
      </c>
    </row>
    <row r="760">
      <c r="A760" s="3" t="s">
        <v>3521</v>
      </c>
      <c r="B760" s="3" t="s">
        <v>7031</v>
      </c>
      <c r="C760" s="3" t="s">
        <v>7032</v>
      </c>
      <c r="D760" s="3" t="s">
        <v>4018</v>
      </c>
      <c r="E760" s="3" t="s">
        <v>7033</v>
      </c>
      <c r="F760" s="3" t="s">
        <v>4345</v>
      </c>
      <c r="G760" s="3" t="s">
        <v>7034</v>
      </c>
      <c r="H760" t="str">
        <f t="shared" si="257"/>
        <v xml:space="preserve">Дубова Ольга Сергеевна</v>
      </c>
      <c r="I760" s="5">
        <f>IFERROR(IF(ISNUMBER(FIND("-",C760)),DATE(VALUE(LEFT(C760,4)),VALUE(MID(C760,6,2)),VALUE(RIGHT(C760,2))),IF(ISNUMBER(FIND(".",C760)),DATE(VALUE(RIGHT(C760,4)),VALUE(MID(C760,4,2)),VALUE(LEFT(C760,2))),DATE(VALUE(RIGHT(C760,4)),VLOOKUP(TRIM(MID(C760,FIND(" ",C760)+1,LEN(C760)-FIND(" ",C760)-5)),Справочники!$M$3:$N$14,2,0),VALUE(LEFT(C760,FIND(" ",C760)-1))))),"")</f>
        <v>33211</v>
      </c>
      <c r="J760" s="6">
        <f t="shared" si="258"/>
        <v>35</v>
      </c>
      <c r="K760" t="str">
        <f t="shared" si="259"/>
        <v>ОК</v>
      </c>
      <c r="L760" s="5">
        <f>IFERROR(IF(ISNUMBER(FIND("-",G760)),DATE(VALUE(LEFT(G760,4)),VALUE(MID(G760,6,2)),VALUE(RIGHT(G760,2))),IF(ISNUMBER(FIND(".",G760)),DATE(VALUE(RIGHT(G760,4)),VALUE(MID(G760,4,2)),VALUE(LEFT(G760,2))),DATE(VALUE(RIGHT(G760,4)),VLOOKUP(TRIM(MID(G760,FIND(" ",G760)+1,LEN(G760)-FIND(" ",G760)-5)),Справочники!$M$3:$N$14,2,0),VALUE(LEFT(G760,FIND(" ",G760)-1))))),"")</f>
        <v>52246</v>
      </c>
      <c r="M760" t="str">
        <f t="shared" si="260"/>
        <v xml:space="preserve">+7 (903) 901-23-45</v>
      </c>
      <c r="N760" t="str">
        <f t="shared" si="261"/>
        <v>dubova@gmail</v>
      </c>
      <c r="O760" t="str">
        <f t="shared" si="262"/>
        <v xml:space="preserve">Ошибка Email</v>
      </c>
      <c r="P760" t="str">
        <f>IFERROR(VLOOKUP(TRIM(SUBSTITUTE(SUBSTITUTE(" "&amp;F760," г "," "),"г.","")),Справочники!$J$3:$K$102,2,0),TRIM(SUBSTITUTE(SUBSTITUTE(" "&amp;F760," г "," "),"г.","")))</f>
        <v>Элиста</v>
      </c>
    </row>
    <row r="761">
      <c r="A761" s="3" t="s">
        <v>3522</v>
      </c>
      <c r="B761" s="3" t="s">
        <v>7035</v>
      </c>
      <c r="C761" s="3" t="s">
        <v>7036</v>
      </c>
      <c r="D761" s="3" t="s">
        <v>1626</v>
      </c>
      <c r="E761" s="3" t="s">
        <v>7037</v>
      </c>
      <c r="F761" s="3" t="s">
        <v>4350</v>
      </c>
      <c r="G761" s="3" t="s">
        <v>7038</v>
      </c>
      <c r="H761" t="str">
        <f t="shared" si="257"/>
        <v xml:space="preserve">Старцев Илья Алексеевич</v>
      </c>
      <c r="I761" s="5">
        <f>IFERROR(IF(ISNUMBER(FIND("-",C761)),DATE(VALUE(LEFT(C761,4)),VALUE(MID(C761,6,2)),VALUE(RIGHT(C761,2))),IF(ISNUMBER(FIND(".",C761)),DATE(VALUE(RIGHT(C761,4)),VALUE(MID(C761,4,2)),VALUE(LEFT(C761,2))),DATE(VALUE(RIGHT(C761,4)),VLOOKUP(TRIM(MID(C761,FIND(" ",C761)+1,LEN(C761)-FIND(" ",C761)-5)),Справочники!$M$3:$N$14,2,0),VALUE(LEFT(C761,FIND(" ",C761)-1))))),"")</f>
        <v>27905</v>
      </c>
      <c r="J761" s="6">
        <f t="shared" si="258"/>
        <v>50</v>
      </c>
      <c r="K761" t="str">
        <f t="shared" si="259"/>
        <v>ОК</v>
      </c>
      <c r="L761" s="5">
        <f>IFERROR(IF(ISNUMBER(FIND("-",G761)),DATE(VALUE(LEFT(G761,4)),VALUE(MID(G761,6,2)),VALUE(RIGHT(G761,2))),IF(ISNUMBER(FIND(".",G761)),DATE(VALUE(RIGHT(G761,4)),VALUE(MID(G761,4,2)),VALUE(LEFT(G761,2))),DATE(VALUE(RIGHT(G761,4)),VLOOKUP(TRIM(MID(G761,FIND(" ",G761)+1,LEN(G761)-FIND(" ",G761)-5)),Справочники!$M$3:$N$14,2,0),VALUE(LEFT(G761,FIND(" ",G761)-1))))),"")</f>
        <v>52263</v>
      </c>
      <c r="M761" t="str">
        <f t="shared" si="260"/>
        <v xml:space="preserve">+7 (903) 901-23-45</v>
      </c>
      <c r="N761" t="str">
        <f t="shared" si="261"/>
        <v>startsev@mail</v>
      </c>
      <c r="O761" t="str">
        <f t="shared" si="262"/>
        <v xml:space="preserve">Ошибка Email</v>
      </c>
      <c r="P761" t="str">
        <f>IFERROR(VLOOKUP(TRIM(SUBSTITUTE(SUBSTITUTE(" "&amp;F761," г "," "),"г.","")),Справочники!$J$3:$K$102,2,0),TRIM(SUBSTITUTE(SUBSTITUTE(" "&amp;F761," г "," "),"г.","")))</f>
        <v>Орск</v>
      </c>
    </row>
    <row r="762">
      <c r="A762" s="3" t="s">
        <v>3524</v>
      </c>
      <c r="B762" s="3" t="s">
        <v>7039</v>
      </c>
      <c r="C762" s="3" t="s">
        <v>7040</v>
      </c>
      <c r="D762" s="3" t="s">
        <v>4176</v>
      </c>
      <c r="E762" s="3" t="s">
        <v>7041</v>
      </c>
      <c r="F762" s="3" t="s">
        <v>4355</v>
      </c>
      <c r="G762" s="3" t="s">
        <v>7042</v>
      </c>
      <c r="H762" t="str">
        <f t="shared" si="257"/>
        <v xml:space="preserve">Антипова Екатерина Владимировна</v>
      </c>
      <c r="I762" s="5">
        <f>IFERROR(IF(ISNUMBER(FIND("-",C762)),DATE(VALUE(LEFT(C762,4)),VALUE(MID(C762,6,2)),VALUE(RIGHT(C762,2))),IF(ISNUMBER(FIND(".",C762)),DATE(VALUE(RIGHT(C762,4)),VALUE(MID(C762,4,2)),VALUE(LEFT(C762,2))),DATE(VALUE(RIGHT(C762,4)),VLOOKUP(TRIM(MID(C762,FIND(" ",C762)+1,LEN(C762)-FIND(" ",C762)-5)),Справочники!$M$3:$N$14,2,0),VALUE(LEFT(C762,FIND(" ",C762)-1))))),"")</f>
        <v>32446</v>
      </c>
      <c r="J762" s="6">
        <f t="shared" si="258"/>
        <v>37</v>
      </c>
      <c r="K762" t="str">
        <f t="shared" si="259"/>
        <v>ОК</v>
      </c>
      <c r="L762" s="5">
        <f>IFERROR(IF(ISNUMBER(FIND("-",G762)),DATE(VALUE(LEFT(G762,4)),VALUE(MID(G762,6,2)),VALUE(RIGHT(G762,2))),IF(ISNUMBER(FIND(".",G762)),DATE(VALUE(RIGHT(G762,4)),VALUE(MID(G762,4,2)),VALUE(LEFT(G762,2))),DATE(VALUE(RIGHT(G762,4)),VLOOKUP(TRIM(MID(G762,FIND(" ",G762)+1,LEN(G762)-FIND(" ",G762)-5)),Справочники!$M$3:$N$14,2,0),VALUE(LEFT(G762,FIND(" ",G762)-1))))),"")</f>
        <v>52272</v>
      </c>
      <c r="M762" t="str">
        <f t="shared" si="260"/>
        <v xml:space="preserve">+7 (903) 901-23-45</v>
      </c>
      <c r="N762" t="str">
        <f t="shared" si="261"/>
        <v>antipova@yandex</v>
      </c>
      <c r="O762" t="str">
        <f t="shared" si="262"/>
        <v xml:space="preserve">Ошибка Email</v>
      </c>
      <c r="P762" t="str">
        <f>IFERROR(VLOOKUP(TRIM(SUBSTITUTE(SUBSTITUTE(" "&amp;F762," г "," "),"г.","")),Справочники!$J$3:$K$102,2,0),TRIM(SUBSTITUTE(SUBSTITUTE(" "&amp;F762," г "," "),"г.","")))</f>
        <v>Нижневартовск</v>
      </c>
    </row>
    <row r="763">
      <c r="A763" s="3" t="s">
        <v>3526</v>
      </c>
      <c r="B763" s="3" t="s">
        <v>7043</v>
      </c>
      <c r="C763" s="3" t="s">
        <v>7044</v>
      </c>
      <c r="D763" s="3" t="s">
        <v>4182</v>
      </c>
      <c r="E763" s="3" t="s">
        <v>7045</v>
      </c>
      <c r="F763" s="3" t="s">
        <v>4360</v>
      </c>
      <c r="G763" s="3" t="s">
        <v>7046</v>
      </c>
      <c r="H763" t="str">
        <f t="shared" si="257"/>
        <v xml:space="preserve">Марчук Андрей Олегович</v>
      </c>
      <c r="I763" s="5">
        <f>IFERROR(IF(ISNUMBER(FIND("-",C763)),DATE(VALUE(LEFT(C763,4)),VALUE(MID(C763,6,2)),VALUE(RIGHT(C763,2))),IF(ISNUMBER(FIND(".",C763)),DATE(VALUE(RIGHT(C763,4)),VALUE(MID(C763,4,2)),VALUE(LEFT(C763,2))),DATE(VALUE(RIGHT(C763,4)),VLOOKUP(TRIM(MID(C763,FIND(" ",C763)+1,LEN(C763)-FIND(" ",C763)-5)),Справочники!$M$3:$N$14,2,0),VALUE(LEFT(C763,FIND(" ",C763)-1))))),"")</f>
        <v>29625</v>
      </c>
      <c r="J763" s="6">
        <f t="shared" si="258"/>
        <v>45</v>
      </c>
      <c r="K763" t="str">
        <f t="shared" si="259"/>
        <v>ОК</v>
      </c>
      <c r="L763" s="5">
        <f>IFERROR(IF(ISNUMBER(FIND("-",G763)),DATE(VALUE(LEFT(G763,4)),VALUE(MID(G763,6,2)),VALUE(RIGHT(G763,2))),IF(ISNUMBER(FIND(".",G763)),DATE(VALUE(RIGHT(G763,4)),VALUE(MID(G763,4,2)),VALUE(LEFT(G763,2))),DATE(VALUE(RIGHT(G763,4)),VLOOKUP(TRIM(MID(G763,FIND(" ",G763)+1,LEN(G763)-FIND(" ",G763)-5)),Справочники!$M$3:$N$14,2,0),VALUE(LEFT(G763,FIND(" ",G763)-1))))),"")</f>
        <v>52272</v>
      </c>
      <c r="M763" t="str">
        <f t="shared" si="260"/>
        <v xml:space="preserve">+7 (903) 012-34-56</v>
      </c>
      <c r="N763" t="str">
        <f t="shared" si="261"/>
        <v>marchuk@gmail</v>
      </c>
      <c r="O763" t="str">
        <f t="shared" si="262"/>
        <v xml:space="preserve">Ошибка Email</v>
      </c>
      <c r="P763" t="str">
        <f>IFERROR(VLOOKUP(TRIM(SUBSTITUTE(SUBSTITUTE(" "&amp;F763," г "," "),"г.","")),Справочники!$J$3:$K$102,2,0),TRIM(SUBSTITUTE(SUBSTITUTE(" "&amp;F763," г "," "),"г.","")))</f>
        <v>Новороссийск</v>
      </c>
    </row>
    <row r="764">
      <c r="A764" s="3" t="s">
        <v>3529</v>
      </c>
      <c r="B764" s="3" t="s">
        <v>7047</v>
      </c>
      <c r="C764" s="3" t="s">
        <v>7048</v>
      </c>
      <c r="D764" s="3" t="s">
        <v>4188</v>
      </c>
      <c r="E764" s="3" t="s">
        <v>7049</v>
      </c>
      <c r="F764" s="3" t="s">
        <v>4365</v>
      </c>
      <c r="G764" s="3" t="s">
        <v>7050</v>
      </c>
      <c r="H764" t="str">
        <f t="shared" si="257"/>
        <v xml:space="preserve">Завьялова Мария Павловна</v>
      </c>
      <c r="I764" s="5">
        <f>IFERROR(IF(ISNUMBER(FIND("-",C764)),DATE(VALUE(LEFT(C764,4)),VALUE(MID(C764,6,2)),VALUE(RIGHT(C764,2))),IF(ISNUMBER(FIND(".",C764)),DATE(VALUE(RIGHT(C764,4)),VALUE(MID(C764,4,2)),VALUE(LEFT(C764,2))),DATE(VALUE(RIGHT(C764,4)),VLOOKUP(TRIM(MID(C764,FIND(" ",C764)+1,LEN(C764)-FIND(" ",C764)-5)),Справочники!$M$3:$N$14,2,0),VALUE(LEFT(C764,FIND(" ",C764)-1))))),"")</f>
        <v>29052</v>
      </c>
      <c r="J764" s="6">
        <f t="shared" si="258"/>
        <v>47</v>
      </c>
      <c r="K764" t="str">
        <f t="shared" si="259"/>
        <v>ОК</v>
      </c>
      <c r="L764" s="5">
        <f>IFERROR(IF(ISNUMBER(FIND("-",G764)),DATE(VALUE(LEFT(G764,4)),VALUE(MID(G764,6,2)),VALUE(RIGHT(G764,2))),IF(ISNUMBER(FIND(".",G764)),DATE(VALUE(RIGHT(G764,4)),VALUE(MID(G764,4,2)),VALUE(LEFT(G764,2))),DATE(VALUE(RIGHT(G764,4)),VLOOKUP(TRIM(MID(G764,FIND(" ",G764)+1,LEN(G764)-FIND(" ",G764)-5)),Справочники!$M$3:$N$14,2,0),VALUE(LEFT(G764,FIND(" ",G764)-1))))),"")</f>
        <v>52291</v>
      </c>
      <c r="M764" t="str">
        <f t="shared" si="260"/>
        <v xml:space="preserve">+7 (903) 012-34-56</v>
      </c>
      <c r="N764" t="str">
        <f t="shared" si="261"/>
        <v>zavyalova@mail</v>
      </c>
      <c r="O764" t="str">
        <f t="shared" si="262"/>
        <v xml:space="preserve">Ошибка Email</v>
      </c>
      <c r="P764" t="str">
        <f>IFERROR(VLOOKUP(TRIM(SUBSTITUTE(SUBSTITUTE(" "&amp;F764," г "," "),"г.","")),Справочники!$J$3:$K$102,2,0),TRIM(SUBSTITUTE(SUBSTITUTE(" "&amp;F764," г "," "),"г.","")))</f>
        <v>Химки</v>
      </c>
    </row>
    <row r="765">
      <c r="A765" s="3" t="s">
        <v>3530</v>
      </c>
      <c r="B765" s="3" t="s">
        <v>7051</v>
      </c>
      <c r="C765" s="3" t="s">
        <v>7052</v>
      </c>
      <c r="D765" s="3" t="s">
        <v>1633</v>
      </c>
      <c r="E765" s="3" t="s">
        <v>7053</v>
      </c>
      <c r="F765" s="3" t="s">
        <v>4370</v>
      </c>
      <c r="G765" s="3" t="s">
        <v>7054</v>
      </c>
      <c r="H765" t="str">
        <f t="shared" si="257"/>
        <v xml:space="preserve">Балашов Денис Викторович</v>
      </c>
      <c r="I765" s="5">
        <f>IFERROR(IF(ISNUMBER(FIND("-",C765)),DATE(VALUE(LEFT(C765,4)),VALUE(MID(C765,6,2)),VALUE(RIGHT(C765,2))),IF(ISNUMBER(FIND(".",C765)),DATE(VALUE(RIGHT(C765,4)),VALUE(MID(C765,4,2)),VALUE(LEFT(C765,2))),DATE(VALUE(RIGHT(C765,4)),VLOOKUP(TRIM(MID(C765,FIND(" ",C765)+1,LEN(C765)-FIND(" ",C765)-5)),Справочники!$M$3:$N$14,2,0),VALUE(LEFT(C765,FIND(" ",C765)-1))))),"")</f>
        <v>31674</v>
      </c>
      <c r="J765" s="6">
        <f t="shared" si="258"/>
        <v>40</v>
      </c>
      <c r="K765" t="str">
        <f t="shared" si="259"/>
        <v>ОК</v>
      </c>
      <c r="L765" s="5">
        <f>IFERROR(IF(ISNUMBER(FIND("-",G765)),DATE(VALUE(LEFT(G765,4)),VALUE(MID(G765,6,2)),VALUE(RIGHT(G765,2))),IF(ISNUMBER(FIND(".",G765)),DATE(VALUE(RIGHT(G765,4)),VALUE(MID(G765,4,2)),VALUE(LEFT(G765,2))),DATE(VALUE(RIGHT(G765,4)),VLOOKUP(TRIM(MID(G765,FIND(" ",G765)+1,LEN(G765)-FIND(" ",G765)-5)),Справочники!$M$3:$N$14,2,0),VALUE(LEFT(G765,FIND(" ",G765)-1))))),"")</f>
        <v>52305</v>
      </c>
      <c r="M765" t="str">
        <f t="shared" si="260"/>
        <v xml:space="preserve">+7 (903) 012-34-56</v>
      </c>
      <c r="N765" t="str">
        <f t="shared" si="261"/>
        <v>balashov@yandex</v>
      </c>
      <c r="O765" t="str">
        <f t="shared" si="262"/>
        <v xml:space="preserve">Ошибка Email</v>
      </c>
      <c r="P765" t="str">
        <f>IFERROR(VLOOKUP(TRIM(SUBSTITUTE(SUBSTITUTE(" "&amp;F765," г "," "),"г.","")),Справочники!$J$3:$K$102,2,0),TRIM(SUBSTITUTE(SUBSTITUTE(" "&amp;F765," г "," "),"г.","")))</f>
        <v>Подольск</v>
      </c>
    </row>
    <row r="766">
      <c r="A766" s="3" t="s">
        <v>3533</v>
      </c>
      <c r="B766" s="3" t="s">
        <v>7055</v>
      </c>
      <c r="C766" s="3" t="s">
        <v>7056</v>
      </c>
      <c r="D766" s="3" t="s">
        <v>4034</v>
      </c>
      <c r="E766" s="3" t="s">
        <v>7057</v>
      </c>
      <c r="F766" s="3" t="s">
        <v>4375</v>
      </c>
      <c r="G766" s="3" t="s">
        <v>7058</v>
      </c>
      <c r="H766" t="str">
        <f t="shared" si="257"/>
        <v xml:space="preserve">Борисенко Ольга Сергеевна</v>
      </c>
      <c r="I766" s="5">
        <f>IFERROR(IF(ISNUMBER(FIND("-",C766)),DATE(VALUE(LEFT(C766,4)),VALUE(MID(C766,6,2)),VALUE(RIGHT(C766,2))),IF(ISNUMBER(FIND(".",C766)),DATE(VALUE(RIGHT(C766,4)),VALUE(MID(C766,4,2)),VALUE(LEFT(C766,2))),DATE(VALUE(RIGHT(C766,4)),VLOOKUP(TRIM(MID(C766,FIND(" ",C766)+1,LEN(C766)-FIND(" ",C766)-5)),Справочники!$M$3:$N$14,2,0),VALUE(LEFT(C766,FIND(" ",C766)-1))))),"")</f>
        <v>30682</v>
      </c>
      <c r="J766" s="6">
        <f t="shared" si="258"/>
        <v>42</v>
      </c>
      <c r="K766" t="str">
        <f t="shared" si="259"/>
        <v>ОК</v>
      </c>
      <c r="L766" s="5">
        <f>IFERROR(IF(ISNUMBER(FIND("-",G766)),DATE(VALUE(LEFT(G766,4)),VALUE(MID(G766,6,2)),VALUE(RIGHT(G766,2))),IF(ISNUMBER(FIND(".",G766)),DATE(VALUE(RIGHT(G766,4)),VALUE(MID(G766,4,2)),VALUE(LEFT(G766,2))),DATE(VALUE(RIGHT(G766,4)),VLOOKUP(TRIM(MID(G766,FIND(" ",G766)+1,LEN(G766)-FIND(" ",G766)-5)),Справочники!$M$3:$N$14,2,0),VALUE(LEFT(G766,FIND(" ",G766)-1))))),"")</f>
        <v>52305</v>
      </c>
      <c r="M766" t="str">
        <f t="shared" si="260"/>
        <v xml:space="preserve">+7 (903) 123-45-67</v>
      </c>
      <c r="N766" t="str">
        <f t="shared" si="261"/>
        <v>borisenko@gmail</v>
      </c>
      <c r="O766" t="str">
        <f t="shared" si="262"/>
        <v xml:space="preserve">Ошибка Email</v>
      </c>
      <c r="P766" t="str">
        <f>IFERROR(VLOOKUP(TRIM(SUBSTITUTE(SUBSTITUTE(" "&amp;F766," г "," "),"г.","")),Справочники!$J$3:$K$102,2,0),TRIM(SUBSTITUTE(SUBSTITUTE(" "&amp;F766," г "," "),"г.","")))</f>
        <v>Балашиха</v>
      </c>
    </row>
    <row r="767">
      <c r="A767" s="3" t="s">
        <v>3534</v>
      </c>
      <c r="B767" s="3" t="s">
        <v>7059</v>
      </c>
      <c r="C767" s="3" t="s">
        <v>7060</v>
      </c>
      <c r="D767" s="3" t="s">
        <v>4040</v>
      </c>
      <c r="E767" s="3" t="s">
        <v>7061</v>
      </c>
      <c r="F767" s="3" t="s">
        <v>4380</v>
      </c>
      <c r="G767" s="3" t="s">
        <v>7062</v>
      </c>
      <c r="H767" t="str">
        <f t="shared" si="257"/>
        <v xml:space="preserve">Золотарев Илья Александрович</v>
      </c>
      <c r="I767" s="5">
        <f>IFERROR(IF(ISNUMBER(FIND("-",C767)),DATE(VALUE(LEFT(C767,4)),VALUE(MID(C767,6,2)),VALUE(RIGHT(C767,2))),IF(ISNUMBER(FIND(".",C767)),DATE(VALUE(RIGHT(C767,4)),VALUE(MID(C767,4,2)),VALUE(LEFT(C767,2))),DATE(VALUE(RIGHT(C767,4)),VLOOKUP(TRIM(MID(C767,FIND(" ",C767)+1,LEN(C767)-FIND(" ",C767)-5)),Справочники!$M$3:$N$14,2,0),VALUE(LEFT(C767,FIND(" ",C767)-1))))),"")</f>
        <v>28446</v>
      </c>
      <c r="J767" s="6">
        <f t="shared" si="258"/>
        <v>48</v>
      </c>
      <c r="K767" t="str">
        <f t="shared" si="259"/>
        <v>ОК</v>
      </c>
      <c r="L767" s="5">
        <f>IFERROR(IF(ISNUMBER(FIND("-",G767)),DATE(VALUE(LEFT(G767,4)),VALUE(MID(G767,6,2)),VALUE(RIGHT(G767,2))),IF(ISNUMBER(FIND(".",G767)),DATE(VALUE(RIGHT(G767,4)),VALUE(MID(G767,4,2)),VALUE(LEFT(G767,2))),DATE(VALUE(RIGHT(G767,4)),VLOOKUP(TRIM(MID(G767,FIND(" ",G767)+1,LEN(G767)-FIND(" ",G767)-5)),Справочники!$M$3:$N$14,2,0),VALUE(LEFT(G767,FIND(" ",G767)-1))))),"")</f>
        <v>52322</v>
      </c>
      <c r="M767" t="str">
        <f t="shared" si="260"/>
        <v xml:space="preserve">+7 (903) 123-45-67</v>
      </c>
      <c r="N767" t="str">
        <f t="shared" si="261"/>
        <v>zolotarev@mail</v>
      </c>
      <c r="O767" t="str">
        <f t="shared" si="262"/>
        <v xml:space="preserve">Ошибка Email</v>
      </c>
      <c r="P767" t="str">
        <f>IFERROR(VLOOKUP(TRIM(SUBSTITUTE(SUBSTITUTE(" "&amp;F767," г "," "),"г.","")),Справочники!$J$3:$K$102,2,0),TRIM(SUBSTITUTE(SUBSTITUTE(" "&amp;F767," г "," "),"г.","")))</f>
        <v>Сургут</v>
      </c>
    </row>
    <row r="768">
      <c r="A768" s="3" t="s">
        <v>3537</v>
      </c>
      <c r="B768" s="3" t="s">
        <v>7063</v>
      </c>
      <c r="C768" s="3" t="s">
        <v>7064</v>
      </c>
      <c r="D768" s="3" t="s">
        <v>1570</v>
      </c>
      <c r="E768" s="3" t="s">
        <v>7065</v>
      </c>
      <c r="F768" s="3" t="s">
        <v>4385</v>
      </c>
      <c r="G768" s="3" t="s">
        <v>7066</v>
      </c>
      <c r="H768" t="str">
        <f t="shared" si="257"/>
        <v xml:space="preserve">Никольская Екатерина Алексеевна</v>
      </c>
      <c r="I768" s="5">
        <f>IFERROR(IF(ISNUMBER(FIND("-",C768)),DATE(VALUE(LEFT(C768,4)),VALUE(MID(C768,6,2)),VALUE(RIGHT(C768,2))),IF(ISNUMBER(FIND(".",C768)),DATE(VALUE(RIGHT(C768,4)),VALUE(MID(C768,4,2)),VALUE(LEFT(C768,2))),DATE(VALUE(RIGHT(C768,4)),VLOOKUP(TRIM(MID(C768,FIND(" ",C768)+1,LEN(C768)-FIND(" ",C768)-5)),Справочники!$M$3:$N$14,2,0),VALUE(LEFT(C768,FIND(" ",C768)-1))))),"")</f>
        <v>33779</v>
      </c>
      <c r="J768" s="6">
        <f t="shared" si="258"/>
        <v>34</v>
      </c>
      <c r="K768" t="str">
        <f t="shared" si="259"/>
        <v>ОК</v>
      </c>
      <c r="L768" s="5">
        <f>IFERROR(IF(ISNUMBER(FIND("-",G768)),DATE(VALUE(LEFT(G768,4)),VALUE(MID(G768,6,2)),VALUE(RIGHT(G768,2))),IF(ISNUMBER(FIND(".",G768)),DATE(VALUE(RIGHT(G768,4)),VALUE(MID(G768,4,2)),VALUE(LEFT(G768,2))),DATE(VALUE(RIGHT(G768,4)),VLOOKUP(TRIM(MID(G768,FIND(" ",G768)+1,LEN(G768)-FIND(" ",G768)-5)),Справочники!$M$3:$N$14,2,0),VALUE(LEFT(G768,FIND(" ",G768)-1))))),"")</f>
        <v>52331</v>
      </c>
      <c r="M768" t="str">
        <f t="shared" si="260"/>
        <v xml:space="preserve">+7 (903) 123-45-67</v>
      </c>
      <c r="N768" t="str">
        <f t="shared" si="261"/>
        <v>nikolskaya@yandex</v>
      </c>
      <c r="O768" t="str">
        <f t="shared" si="262"/>
        <v xml:space="preserve">Ошибка Email</v>
      </c>
      <c r="P768" t="str">
        <f>IFERROR(VLOOKUP(TRIM(SUBSTITUTE(SUBSTITUTE(" "&amp;F768," г "," "),"г.","")),Справочники!$J$3:$K$102,2,0),TRIM(SUBSTITUTE(SUBSTITUTE(" "&amp;F768," г "," "),"г.","")))</f>
        <v>Армавир</v>
      </c>
    </row>
    <row r="769">
      <c r="A769" s="3" t="s">
        <v>3538</v>
      </c>
      <c r="B769" s="3" t="s">
        <v>7067</v>
      </c>
      <c r="C769" s="3" t="s">
        <v>7068</v>
      </c>
      <c r="D769" s="3" t="s">
        <v>4051</v>
      </c>
      <c r="E769" s="3" t="s">
        <v>7069</v>
      </c>
      <c r="F769" s="3" t="s">
        <v>4390</v>
      </c>
      <c r="G769" s="3" t="s">
        <v>7070</v>
      </c>
      <c r="H769" t="str">
        <f t="shared" si="257"/>
        <v xml:space="preserve">Шишкин Андрей Павлович</v>
      </c>
      <c r="I769" s="5">
        <f>IFERROR(IF(ISNUMBER(FIND("-",C769)),DATE(VALUE(LEFT(C769,4)),VALUE(MID(C769,6,2)),VALUE(RIGHT(C769,2))),IF(ISNUMBER(FIND(".",C769)),DATE(VALUE(RIGHT(C769,4)),VALUE(MID(C769,4,2)),VALUE(LEFT(C769,2))),DATE(VALUE(RIGHT(C769,4)),VLOOKUP(TRIM(MID(C769,FIND(" ",C769)+1,LEN(C769)-FIND(" ",C769)-5)),Справочники!$M$3:$N$14,2,0),VALUE(LEFT(C769,FIND(" ",C769)-1))))),"")</f>
        <v>31404</v>
      </c>
      <c r="J769" s="6">
        <f t="shared" si="258"/>
        <v>40</v>
      </c>
      <c r="K769" t="str">
        <f t="shared" si="259"/>
        <v>ОК</v>
      </c>
      <c r="L769" s="5">
        <f>IFERROR(IF(ISNUMBER(FIND("-",G769)),DATE(VALUE(LEFT(G769,4)),VALUE(MID(G769,6,2)),VALUE(RIGHT(G769,2))),IF(ISNUMBER(FIND(".",G769)),DATE(VALUE(RIGHT(G769,4)),VALUE(MID(G769,4,2)),VALUE(LEFT(G769,2))),DATE(VALUE(RIGHT(G769,4)),VLOOKUP(TRIM(MID(G769,FIND(" ",G769)+1,LEN(G769)-FIND(" ",G769)-5)),Справочники!$M$3:$N$14,2,0),VALUE(LEFT(G769,FIND(" ",G769)-1))))),"")</f>
        <v>52331</v>
      </c>
      <c r="M769" t="str">
        <f t="shared" si="260"/>
        <v xml:space="preserve">+7 (903) 234-56-78</v>
      </c>
      <c r="N769" t="str">
        <f t="shared" si="261"/>
        <v>shishkin@gmail</v>
      </c>
      <c r="O769" t="str">
        <f t="shared" si="262"/>
        <v xml:space="preserve">Ошибка Email</v>
      </c>
      <c r="P769" t="str">
        <f>IFERROR(VLOOKUP(TRIM(SUBSTITUTE(SUBSTITUTE(" "&amp;F769," г "," "),"г.","")),Справочники!$J$3:$K$102,2,0),TRIM(SUBSTITUTE(SUBSTITUTE(" "&amp;F769," г "," "),"г.","")))</f>
        <v>Волжский</v>
      </c>
    </row>
    <row r="770">
      <c r="A770" s="3" t="s">
        <v>3540</v>
      </c>
      <c r="B770" s="3" t="s">
        <v>7071</v>
      </c>
      <c r="C770" s="3" t="s">
        <v>4628</v>
      </c>
      <c r="D770" s="3" t="s">
        <v>4057</v>
      </c>
      <c r="E770" s="3" t="s">
        <v>4570</v>
      </c>
      <c r="F770" s="3" t="s">
        <v>4395</v>
      </c>
      <c r="G770" s="3" t="s">
        <v>7072</v>
      </c>
      <c r="H770" t="str">
        <f t="shared" si="257"/>
        <v xml:space="preserve">Гущина Мария Олеговна</v>
      </c>
      <c r="I770" s="5">
        <f>IFERROR(IF(ISNUMBER(FIND("-",C770)),DATE(VALUE(LEFT(C770,4)),VALUE(MID(C770,6,2)),VALUE(RIGHT(C770,2))),IF(ISNUMBER(FIND(".",C770)),DATE(VALUE(RIGHT(C770,4)),VALUE(MID(C770,4,2)),VALUE(LEFT(C770,2))),DATE(VALUE(RIGHT(C770,4)),VLOOKUP(TRIM(MID(C770,FIND(" ",C770)+1,LEN(C770)-FIND(" ",C770)-5)),Справочники!$M$3:$N$14,2,0),VALUE(LEFT(C770,FIND(" ",C770)-1))))),"")</f>
        <v>27221</v>
      </c>
      <c r="J770" s="6">
        <f t="shared" si="258"/>
        <v>52</v>
      </c>
      <c r="K770" t="str">
        <f t="shared" si="259"/>
        <v>ОК</v>
      </c>
      <c r="L770" s="5">
        <f>IFERROR(IF(ISNUMBER(FIND("-",G770)),DATE(VALUE(LEFT(G770,4)),VALUE(MID(G770,6,2)),VALUE(RIGHT(G770,2))),IF(ISNUMBER(FIND(".",G770)),DATE(VALUE(RIGHT(G770,4)),VALUE(MID(G770,4,2)),VALUE(LEFT(G770,2))),DATE(VALUE(RIGHT(G770,4)),VLOOKUP(TRIM(MID(G770,FIND(" ",G770)+1,LEN(G770)-FIND(" ",G770)-5)),Справочники!$M$3:$N$14,2,0),VALUE(LEFT(G770,FIND(" ",G770)-1))))),"")</f>
        <v>52352</v>
      </c>
      <c r="M770" t="str">
        <f t="shared" si="260"/>
        <v xml:space="preserve">+7 (903) 234-56-78</v>
      </c>
      <c r="N770" t="str">
        <f t="shared" si="261"/>
        <v>guschina@mail</v>
      </c>
      <c r="O770" t="str">
        <f t="shared" si="262"/>
        <v xml:space="preserve">Ошибка Email</v>
      </c>
      <c r="P770" t="str">
        <f>IFERROR(VLOOKUP(TRIM(SUBSTITUTE(SUBSTITUTE(" "&amp;F770," г "," "),"г.","")),Справочники!$J$3:$K$102,2,0),TRIM(SUBSTITUTE(SUBSTITUTE(" "&amp;F770," г "," "),"г.","")))</f>
        <v>Шахты</v>
      </c>
    </row>
    <row r="771">
      <c r="A771" s="3" t="s">
        <v>3541</v>
      </c>
      <c r="B771" s="3" t="s">
        <v>7073</v>
      </c>
      <c r="C771" s="3" t="s">
        <v>7074</v>
      </c>
      <c r="D771" s="3" t="s">
        <v>1712</v>
      </c>
      <c r="E771" s="3" t="s">
        <v>7075</v>
      </c>
      <c r="F771" s="3" t="s">
        <v>4400</v>
      </c>
      <c r="G771" s="3" t="s">
        <v>7076</v>
      </c>
      <c r="H771" t="str">
        <f t="shared" si="257"/>
        <v xml:space="preserve">Трушин Денис Сергеевич</v>
      </c>
      <c r="I771" s="5">
        <f>IFERROR(IF(ISNUMBER(FIND("-",C771)),DATE(VALUE(LEFT(C771,4)),VALUE(MID(C771,6,2)),VALUE(RIGHT(C771,2))),IF(ISNUMBER(FIND(".",C771)),DATE(VALUE(RIGHT(C771,4)),VALUE(MID(C771,4,2)),VALUE(LEFT(C771,2))),DATE(VALUE(RIGHT(C771,4)),VLOOKUP(TRIM(MID(C771,FIND(" ",C771)+1,LEN(C771)-FIND(" ",C771)-5)),Справочники!$M$3:$N$14,2,0),VALUE(LEFT(C771,FIND(" ",C771)-1))))),"")</f>
        <v>32808</v>
      </c>
      <c r="J771" s="6">
        <f t="shared" si="258"/>
        <v>36</v>
      </c>
      <c r="K771" t="str">
        <f t="shared" si="259"/>
        <v>ОК</v>
      </c>
      <c r="L771" s="5">
        <f>IFERROR(IF(ISNUMBER(FIND("-",G771)),DATE(VALUE(LEFT(G771,4)),VALUE(MID(G771,6,2)),VALUE(RIGHT(G771,2))),IF(ISNUMBER(FIND(".",G771)),DATE(VALUE(RIGHT(G771,4)),VALUE(MID(G771,4,2)),VALUE(LEFT(G771,2))),DATE(VALUE(RIGHT(G771,4)),VLOOKUP(TRIM(MID(G771,FIND(" ",G771)+1,LEN(G771)-FIND(" ",G771)-5)),Справочники!$M$3:$N$14,2,0),VALUE(LEFT(G771,FIND(" ",G771)-1))))),"")</f>
        <v>52366</v>
      </c>
      <c r="M771" t="str">
        <f t="shared" si="260"/>
        <v xml:space="preserve">+7 (903) 234-56-78</v>
      </c>
      <c r="N771" t="str">
        <f t="shared" si="261"/>
        <v>trushin@yandex</v>
      </c>
      <c r="O771" t="str">
        <f t="shared" si="262"/>
        <v xml:space="preserve">Ошибка Email</v>
      </c>
      <c r="P771" t="str">
        <f>IFERROR(VLOOKUP(TRIM(SUBSTITUTE(SUBSTITUTE(" "&amp;F771," г "," "),"г.","")),Справочники!$J$3:$K$102,2,0),TRIM(SUBSTITUTE(SUBSTITUTE(" "&amp;F771," г "," "),"г.","")))</f>
        <v>Златоуст</v>
      </c>
    </row>
    <row r="772">
      <c r="A772" s="3" t="s">
        <v>3544</v>
      </c>
      <c r="B772" s="3" t="s">
        <v>7077</v>
      </c>
      <c r="C772" s="3" t="s">
        <v>7078</v>
      </c>
      <c r="D772" s="3" t="s">
        <v>1584</v>
      </c>
      <c r="E772" s="3" t="s">
        <v>7079</v>
      </c>
      <c r="F772" s="3" t="s">
        <v>4405</v>
      </c>
      <c r="G772" s="3" t="s">
        <v>7080</v>
      </c>
      <c r="H772" t="str">
        <f t="shared" si="257"/>
        <v xml:space="preserve">Лаврикова Ольга Владимировна</v>
      </c>
      <c r="I772" s="5">
        <f>IFERROR(IF(ISNUMBER(FIND("-",C772)),DATE(VALUE(LEFT(C772,4)),VALUE(MID(C772,6,2)),VALUE(RIGHT(C772,2))),IF(ISNUMBER(FIND(".",C772)),DATE(VALUE(RIGHT(C772,4)),VALUE(MID(C772,4,2)),VALUE(LEFT(C772,2))),DATE(VALUE(RIGHT(C772,4)),VLOOKUP(TRIM(MID(C772,FIND(" ",C772)+1,LEN(C772)-FIND(" ",C772)-5)),Справочники!$M$3:$N$14,2,0),VALUE(LEFT(C772,FIND(" ",C772)-1))))),"")</f>
        <v>30015</v>
      </c>
      <c r="J772" s="6">
        <f t="shared" si="258"/>
        <v>44</v>
      </c>
      <c r="K772" t="str">
        <f t="shared" si="259"/>
        <v>ОК</v>
      </c>
      <c r="L772" s="5">
        <f>IFERROR(IF(ISNUMBER(FIND("-",G772)),DATE(VALUE(LEFT(G772,4)),VALUE(MID(G772,6,2)),VALUE(RIGHT(G772,2))),IF(ISNUMBER(FIND(".",G772)),DATE(VALUE(RIGHT(G772,4)),VALUE(MID(G772,4,2)),VALUE(LEFT(G772,2))),DATE(VALUE(RIGHT(G772,4)),VLOOKUP(TRIM(MID(G772,FIND(" ",G772)+1,LEN(G772)-FIND(" ",G772)-5)),Справочники!$M$3:$N$14,2,0),VALUE(LEFT(G772,FIND(" ",G772)-1))))),"")</f>
        <v>52366</v>
      </c>
      <c r="M772" t="str">
        <f t="shared" si="260"/>
        <v xml:space="preserve">+7 (903) 345-67-89</v>
      </c>
      <c r="N772" t="str">
        <f t="shared" si="261"/>
        <v>lavrikova@gmail</v>
      </c>
      <c r="O772" t="str">
        <f t="shared" si="262"/>
        <v xml:space="preserve">Ошибка Email</v>
      </c>
      <c r="P772" t="str">
        <f>IFERROR(VLOOKUP(TRIM(SUBSTITUTE(SUBSTITUTE(" "&amp;F772," г "," "),"г.","")),Справочники!$J$3:$K$102,2,0),TRIM(SUBSTITUTE(SUBSTITUTE(" "&amp;F772," г "," "),"г.","")))</f>
        <v>Ангарск</v>
      </c>
    </row>
    <row r="773">
      <c r="A773" s="3" t="s">
        <v>3545</v>
      </c>
      <c r="B773" s="3" t="s">
        <v>7081</v>
      </c>
      <c r="C773" s="3" t="s">
        <v>7082</v>
      </c>
      <c r="D773" s="3" t="s">
        <v>4073</v>
      </c>
      <c r="E773" s="3" t="s">
        <v>7083</v>
      </c>
      <c r="F773" s="3" t="s">
        <v>4410</v>
      </c>
      <c r="G773" s="3" t="s">
        <v>7084</v>
      </c>
      <c r="H773" t="str">
        <f t="shared" si="257"/>
        <v xml:space="preserve">Сластников Илья Алексеевич</v>
      </c>
      <c r="I773" s="5">
        <f>IFERROR(IF(ISNUMBER(FIND("-",C773)),DATE(VALUE(LEFT(C773,4)),VALUE(MID(C773,6,2)),VALUE(RIGHT(C773,2))),IF(ISNUMBER(FIND(".",C773)),DATE(VALUE(RIGHT(C773,4)),VALUE(MID(C773,4,2)),VALUE(LEFT(C773,2))),DATE(VALUE(RIGHT(C773,4)),VLOOKUP(TRIM(MID(C773,FIND(" ",C773)+1,LEN(C773)-FIND(" ",C773)-5)),Справочники!$M$3:$N$14,2,0),VALUE(LEFT(C773,FIND(" ",C773)-1))))),"")</f>
        <v>27984</v>
      </c>
      <c r="J773" s="6">
        <f t="shared" si="258"/>
        <v>50</v>
      </c>
      <c r="K773" t="str">
        <f t="shared" si="259"/>
        <v>ОК</v>
      </c>
      <c r="L773" s="5">
        <f>IFERROR(IF(ISNUMBER(FIND("-",G773)),DATE(VALUE(LEFT(G773,4)),VALUE(MID(G773,6,2)),VALUE(RIGHT(G773,2))),IF(ISNUMBER(FIND(".",G773)),DATE(VALUE(RIGHT(G773,4)),VALUE(MID(G773,4,2)),VALUE(LEFT(G773,2))),DATE(VALUE(RIGHT(G773,4)),VLOOKUP(TRIM(MID(G773,FIND(" ",G773)+1,LEN(G773)-FIND(" ",G773)-5)),Справочники!$M$3:$N$14,2,0),VALUE(LEFT(G773,FIND(" ",G773)-1))))),"")</f>
        <v>52383</v>
      </c>
      <c r="M773" t="str">
        <f t="shared" si="260"/>
        <v xml:space="preserve">+7 (903) 345-67-89</v>
      </c>
      <c r="N773" t="str">
        <f t="shared" si="261"/>
        <v>slastnikov@mail</v>
      </c>
      <c r="O773" t="str">
        <f t="shared" si="262"/>
        <v xml:space="preserve">Ошибка Email</v>
      </c>
      <c r="P773" t="str">
        <f>IFERROR(VLOOKUP(TRIM(SUBSTITUTE(SUBSTITUTE(" "&amp;F773," г "," "),"г.","")),Справочники!$J$3:$K$102,2,0),TRIM(SUBSTITUTE(SUBSTITUTE(" "&amp;F773," г "," "),"г.","")))</f>
        <v>Озёрск</v>
      </c>
    </row>
    <row r="774">
      <c r="A774" s="3" t="s">
        <v>3547</v>
      </c>
      <c r="B774" s="3" t="s">
        <v>7085</v>
      </c>
      <c r="C774" s="3" t="s">
        <v>7086</v>
      </c>
      <c r="D774" s="3" t="s">
        <v>4079</v>
      </c>
      <c r="E774" s="3" t="s">
        <v>7087</v>
      </c>
      <c r="F774" s="3" t="s">
        <v>4415</v>
      </c>
      <c r="G774" s="3" t="s">
        <v>7088</v>
      </c>
      <c r="H774" t="str">
        <f t="shared" si="257"/>
        <v xml:space="preserve">Кузьменко Екатерина Сергеевна</v>
      </c>
      <c r="I774" s="5">
        <f>IFERROR(IF(ISNUMBER(FIND("-",C774)),DATE(VALUE(LEFT(C774,4)),VALUE(MID(C774,6,2)),VALUE(RIGHT(C774,2))),IF(ISNUMBER(FIND(".",C774)),DATE(VALUE(RIGHT(C774,4)),VALUE(MID(C774,4,2)),VALUE(LEFT(C774,2))),DATE(VALUE(RIGHT(C774,4)),VLOOKUP(TRIM(MID(C774,FIND(" ",C774)+1,LEN(C774)-FIND(" ",C774)-5)),Справочники!$M$3:$N$14,2,0),VALUE(LEFT(C774,FIND(" ",C774)-1))))),"")</f>
        <v>31888</v>
      </c>
      <c r="J774" s="6">
        <f t="shared" si="258"/>
        <v>39</v>
      </c>
      <c r="K774" t="str">
        <f t="shared" si="259"/>
        <v>ОК</v>
      </c>
      <c r="L774" s="5">
        <f>IFERROR(IF(ISNUMBER(FIND("-",G774)),DATE(VALUE(LEFT(G774,4)),VALUE(MID(G774,6,2)),VALUE(RIGHT(G774,2))),IF(ISNUMBER(FIND(".",G774)),DATE(VALUE(RIGHT(G774,4)),VALUE(MID(G774,4,2)),VALUE(LEFT(G774,2))),DATE(VALUE(RIGHT(G774,4)),VLOOKUP(TRIM(MID(G774,FIND(" ",G774)+1,LEN(G774)-FIND(" ",G774)-5)),Справочники!$M$3:$N$14,2,0),VALUE(LEFT(G774,FIND(" ",G774)-1))))),"")</f>
        <v>52392</v>
      </c>
      <c r="M774" t="str">
        <f t="shared" si="260"/>
        <v xml:space="preserve">+7 (903) 345-67-89</v>
      </c>
      <c r="N774" t="str">
        <f t="shared" si="261"/>
        <v>kuzmenko@yandex</v>
      </c>
      <c r="O774" t="str">
        <f t="shared" si="262"/>
        <v xml:space="preserve">Ошибка Email</v>
      </c>
      <c r="P774" t="str">
        <f>IFERROR(VLOOKUP(TRIM(SUBSTITUTE(SUBSTITUTE(" "&amp;F774," г "," "),"г.","")),Справочники!$J$3:$K$102,2,0),TRIM(SUBSTITUTE(SUBSTITUTE(" "&amp;F774," г "," "),"г.","")))</f>
        <v>Орел</v>
      </c>
    </row>
    <row r="775">
      <c r="A775" s="3" t="s">
        <v>3549</v>
      </c>
      <c r="B775" s="3" t="s">
        <v>7089</v>
      </c>
      <c r="C775" s="3" t="s">
        <v>7090</v>
      </c>
      <c r="D775" s="3" t="s">
        <v>4085</v>
      </c>
      <c r="E775" s="3" t="s">
        <v>7091</v>
      </c>
      <c r="F775" s="3" t="s">
        <v>4184</v>
      </c>
      <c r="G775" s="3" t="s">
        <v>7092</v>
      </c>
      <c r="H775" t="str">
        <f t="shared" si="257"/>
        <v xml:space="preserve">Токаренко Андрей Олегович</v>
      </c>
      <c r="I775" s="5">
        <f>IFERROR(IF(ISNUMBER(FIND("-",C775)),DATE(VALUE(LEFT(C775,4)),VALUE(MID(C775,6,2)),VALUE(RIGHT(C775,2))),IF(ISNUMBER(FIND(".",C775)),DATE(VALUE(RIGHT(C775,4)),VALUE(MID(C775,4,2)),VALUE(LEFT(C775,2))),DATE(VALUE(RIGHT(C775,4)),VLOOKUP(TRIM(MID(C775,FIND(" ",C775)+1,LEN(C775)-FIND(" ",C775)-5)),Справочники!$M$3:$N$14,2,0),VALUE(LEFT(C775,FIND(" ",C775)-1))))),"")</f>
        <v>30573</v>
      </c>
      <c r="J775" s="6">
        <f t="shared" si="258"/>
        <v>43</v>
      </c>
      <c r="K775" t="str">
        <f t="shared" si="259"/>
        <v>ОК</v>
      </c>
      <c r="L775" s="5">
        <f>IFERROR(IF(ISNUMBER(FIND("-",G775)),DATE(VALUE(LEFT(G775,4)),VALUE(MID(G775,6,2)),VALUE(RIGHT(G775,2))),IF(ISNUMBER(FIND(".",G775)),DATE(VALUE(RIGHT(G775,4)),VALUE(MID(G775,4,2)),VALUE(LEFT(G775,2))),DATE(VALUE(RIGHT(G775,4)),VLOOKUP(TRIM(MID(G775,FIND(" ",G775)+1,LEN(G775)-FIND(" ",G775)-5)),Справочники!$M$3:$N$14,2,0),VALUE(LEFT(G775,FIND(" ",G775)-1))))),"")</f>
        <v>52392</v>
      </c>
      <c r="M775" t="str">
        <f t="shared" si="260"/>
        <v xml:space="preserve">+7 (903) 456-78-90</v>
      </c>
      <c r="N775" t="str">
        <f t="shared" si="261"/>
        <v>tokarenko@gmail</v>
      </c>
      <c r="O775" t="str">
        <f t="shared" si="262"/>
        <v xml:space="preserve">Ошибка Email</v>
      </c>
      <c r="P775" t="str">
        <f>IFERROR(VLOOKUP(TRIM(SUBSTITUTE(SUBSTITUTE(" "&amp;F775," г "," "),"г.","")),Справочники!$J$3:$K$102,2,0),TRIM(SUBSTITUTE(SUBSTITUTE(" "&amp;F775," г "," "),"г.","")))</f>
        <v>Магнитогорск</v>
      </c>
    </row>
    <row r="776">
      <c r="A776" s="3" t="s">
        <v>3551</v>
      </c>
      <c r="B776" s="3" t="s">
        <v>7093</v>
      </c>
      <c r="C776" s="3" t="s">
        <v>7094</v>
      </c>
      <c r="D776" s="3" t="s">
        <v>1591</v>
      </c>
      <c r="E776" s="3" t="s">
        <v>4629</v>
      </c>
      <c r="F776" s="3" t="s">
        <v>4205</v>
      </c>
      <c r="G776" s="3" t="s">
        <v>7095</v>
      </c>
      <c r="H776" t="str">
        <f t="shared" si="257"/>
        <v xml:space="preserve">Симонова Мария Павловна</v>
      </c>
      <c r="I776" s="5">
        <f>IFERROR(IF(ISNUMBER(FIND("-",C776)),DATE(VALUE(LEFT(C776,4)),VALUE(MID(C776,6,2)),VALUE(RIGHT(C776,2))),IF(ISNUMBER(FIND(".",C776)),DATE(VALUE(RIGHT(C776,4)),VALUE(MID(C776,4,2)),VALUE(LEFT(C776,2))),DATE(VALUE(RIGHT(C776,4)),VLOOKUP(TRIM(MID(C776,FIND(" ",C776)+1,LEN(C776)-FIND(" ",C776)-5)),Справочники!$M$3:$N$14,2,0),VALUE(LEFT(C776,FIND(" ",C776)-1))))),"")</f>
        <v>25901</v>
      </c>
      <c r="J776" s="6">
        <f t="shared" si="258"/>
        <v>55</v>
      </c>
      <c r="K776" t="str">
        <f t="shared" si="259"/>
        <v>ОК</v>
      </c>
      <c r="L776" s="5">
        <f>IFERROR(IF(ISNUMBER(FIND("-",G776)),DATE(VALUE(LEFT(G776,4)),VALUE(MID(G776,6,2)),VALUE(RIGHT(G776,2))),IF(ISNUMBER(FIND(".",G776)),DATE(VALUE(RIGHT(G776,4)),VALUE(MID(G776,4,2)),VALUE(LEFT(G776,2))),DATE(VALUE(RIGHT(G776,4)),VLOOKUP(TRIM(MID(G776,FIND(" ",G776)+1,LEN(G776)-FIND(" ",G776)-5)),Справочники!$M$3:$N$14,2,0),VALUE(LEFT(G776,FIND(" ",G776)-1))))),"")</f>
        <v>52413</v>
      </c>
      <c r="M776" t="str">
        <f t="shared" si="260"/>
        <v xml:space="preserve">+7 (903) 456-78-90</v>
      </c>
      <c r="N776" t="str">
        <f t="shared" si="261"/>
        <v>simonova@mail</v>
      </c>
      <c r="O776" t="str">
        <f t="shared" si="262"/>
        <v xml:space="preserve">Ошибка Email</v>
      </c>
      <c r="P776" t="str">
        <f>IFERROR(VLOOKUP(TRIM(SUBSTITUTE(SUBSTITUTE(" "&amp;F776," г "," "),"г.","")),Справочники!$J$3:$K$102,2,0),TRIM(SUBSTITUTE(SUBSTITUTE(" "&amp;F776," г "," "),"г.","")))</f>
        <v>Якутск</v>
      </c>
    </row>
    <row r="777">
      <c r="A777" s="3" t="s">
        <v>3552</v>
      </c>
      <c r="B777" s="3" t="s">
        <v>7096</v>
      </c>
      <c r="C777" s="3" t="s">
        <v>7097</v>
      </c>
      <c r="D777" s="3" t="s">
        <v>1660</v>
      </c>
      <c r="E777" s="3" t="s">
        <v>7098</v>
      </c>
      <c r="F777" s="3" t="s">
        <v>4152</v>
      </c>
      <c r="G777" s="3" t="s">
        <v>7099</v>
      </c>
      <c r="H777" t="str">
        <f t="shared" si="257"/>
        <v xml:space="preserve">Царев Денис Викторович</v>
      </c>
      <c r="I777" s="5">
        <f>IFERROR(IF(ISNUMBER(FIND("-",C777)),DATE(VALUE(LEFT(C777,4)),VALUE(MID(C777,6,2)),VALUE(RIGHT(C777,2))),IF(ISNUMBER(FIND(".",C777)),DATE(VALUE(RIGHT(C777,4)),VALUE(MID(C777,4,2)),VALUE(LEFT(C777,2))),DATE(VALUE(RIGHT(C777,4)),VLOOKUP(TRIM(MID(C777,FIND(" ",C777)+1,LEN(C777)-FIND(" ",C777)-5)),Справочники!$M$3:$N$14,2,0),VALUE(LEFT(C777,FIND(" ",C777)-1))))),"")</f>
        <v>32302</v>
      </c>
      <c r="J777" s="6">
        <f t="shared" si="258"/>
        <v>38</v>
      </c>
      <c r="K777" t="str">
        <f t="shared" si="259"/>
        <v>ОК</v>
      </c>
      <c r="L777" s="5">
        <f>IFERROR(IF(ISNUMBER(FIND("-",G777)),DATE(VALUE(LEFT(G777,4)),VALUE(MID(G777,6,2)),VALUE(RIGHT(G777,2))),IF(ISNUMBER(FIND(".",G777)),DATE(VALUE(RIGHT(G777,4)),VALUE(MID(G777,4,2)),VALUE(LEFT(G777,2))),DATE(VALUE(RIGHT(G777,4)),VLOOKUP(TRIM(MID(G777,FIND(" ",G777)+1,LEN(G777)-FIND(" ",G777)-5)),Справочники!$M$3:$N$14,2,0),VALUE(LEFT(G777,FIND(" ",G777)-1))))),"")</f>
        <v>52427</v>
      </c>
      <c r="M777" t="str">
        <f t="shared" si="260"/>
        <v xml:space="preserve">+7 (903) 456-78-90</v>
      </c>
      <c r="N777" t="str">
        <f t="shared" si="261"/>
        <v>tsarev@yandex</v>
      </c>
      <c r="O777" t="str">
        <f t="shared" si="262"/>
        <v xml:space="preserve">Ошибка Email</v>
      </c>
      <c r="P777" t="str">
        <f>IFERROR(VLOOKUP(TRIM(SUBSTITUTE(SUBSTITUTE(" "&amp;F777," г "," "),"г.","")),Справочники!$J$3:$K$102,2,0),TRIM(SUBSTITUTE(SUBSTITUTE(" "&amp;F777," г "," "),"г.","")))</f>
        <v>Чебоксары</v>
      </c>
    </row>
    <row r="778">
      <c r="A778" s="3" t="s">
        <v>3554</v>
      </c>
      <c r="B778" s="3" t="s">
        <v>7100</v>
      </c>
      <c r="C778" s="3" t="s">
        <v>7101</v>
      </c>
      <c r="D778" s="3" t="s">
        <v>3984</v>
      </c>
      <c r="E778" s="3" t="s">
        <v>7102</v>
      </c>
      <c r="F778" s="3" t="s">
        <v>4245</v>
      </c>
      <c r="G778" s="3" t="s">
        <v>7103</v>
      </c>
      <c r="H778" t="str">
        <f t="shared" si="257"/>
        <v xml:space="preserve">Крупина Ольга Сергеевна</v>
      </c>
      <c r="I778" s="5">
        <f>IFERROR(IF(ISNUMBER(FIND("-",C778)),DATE(VALUE(LEFT(C778,4)),VALUE(MID(C778,6,2)),VALUE(RIGHT(C778,2))),IF(ISNUMBER(FIND(".",C778)),DATE(VALUE(RIGHT(C778,4)),VALUE(MID(C778,4,2)),VALUE(LEFT(C778,2))),DATE(VALUE(RIGHT(C778,4)),VLOOKUP(TRIM(MID(C778,FIND(" ",C778)+1,LEN(C778)-FIND(" ",C778)-5)),Справочники!$M$3:$N$14,2,0),VALUE(LEFT(C778,FIND(" ",C778)-1))))),"")</f>
        <v>28705</v>
      </c>
      <c r="J778" s="6">
        <f t="shared" si="258"/>
        <v>48</v>
      </c>
      <c r="K778" t="str">
        <f t="shared" si="259"/>
        <v>ОК</v>
      </c>
      <c r="L778" s="5">
        <f>IFERROR(IF(ISNUMBER(FIND("-",G778)),DATE(VALUE(LEFT(G778,4)),VALUE(MID(G778,6,2)),VALUE(RIGHT(G778,2))),IF(ISNUMBER(FIND(".",G778)),DATE(VALUE(RIGHT(G778,4)),VALUE(MID(G778,4,2)),VALUE(LEFT(G778,2))),DATE(VALUE(RIGHT(G778,4)),VLOOKUP(TRIM(MID(G778,FIND(" ",G778)+1,LEN(G778)-FIND(" ",G778)-5)),Справочники!$M$3:$N$14,2,0),VALUE(LEFT(G778,FIND(" ",G778)-1))))),"")</f>
        <v>52427</v>
      </c>
      <c r="M778" t="str">
        <f t="shared" si="260"/>
        <v xml:space="preserve">+7 (903) 567-89-01</v>
      </c>
      <c r="N778" t="str">
        <f t="shared" si="261"/>
        <v>krupina@gmail</v>
      </c>
      <c r="O778" t="str">
        <f t="shared" si="262"/>
        <v xml:space="preserve">Ошибка Email</v>
      </c>
      <c r="P778" t="str">
        <f>IFERROR(VLOOKUP(TRIM(SUBSTITUTE(SUBSTITUTE(" "&amp;F778," г "," "),"г.","")),Справочники!$J$3:$K$102,2,0),TRIM(SUBSTITUTE(SUBSTITUTE(" "&amp;F778," г "," "),"г.","")))</f>
        <v>Мурманск</v>
      </c>
    </row>
    <row r="779">
      <c r="A779" s="3" t="s">
        <v>3556</v>
      </c>
      <c r="B779" s="3" t="s">
        <v>7104</v>
      </c>
      <c r="C779" s="3" t="s">
        <v>7105</v>
      </c>
      <c r="D779" s="3" t="s">
        <v>3990</v>
      </c>
      <c r="E779" s="3" t="s">
        <v>7106</v>
      </c>
      <c r="F779" s="3" t="s">
        <v>4235</v>
      </c>
      <c r="G779" s="3" t="s">
        <v>7107</v>
      </c>
      <c r="H779" t="str">
        <f t="shared" si="257"/>
        <v xml:space="preserve">Бурцев Илья Александрович</v>
      </c>
      <c r="I779" s="5">
        <f>IFERROR(IF(ISNUMBER(FIND("-",C779)),DATE(VALUE(LEFT(C779,4)),VALUE(MID(C779,6,2)),VALUE(RIGHT(C779,2))),IF(ISNUMBER(FIND(".",C779)),DATE(VALUE(RIGHT(C779,4)),VALUE(MID(C779,4,2)),VALUE(LEFT(C779,2))),DATE(VALUE(RIGHT(C779,4)),VLOOKUP(TRIM(MID(C779,FIND(" ",C779)+1,LEN(C779)-FIND(" ",C779)-5)),Справочники!$M$3:$N$14,2,0),VALUE(LEFT(C779,FIND(" ",C779)-1))))),"")</f>
        <v>30971</v>
      </c>
      <c r="J779" s="6">
        <f t="shared" si="258"/>
        <v>42</v>
      </c>
      <c r="K779" t="str">
        <f t="shared" si="259"/>
        <v>ОК</v>
      </c>
      <c r="L779" s="5">
        <f>IFERROR(IF(ISNUMBER(FIND("-",G779)),DATE(VALUE(LEFT(G779,4)),VALUE(MID(G779,6,2)),VALUE(RIGHT(G779,2))),IF(ISNUMBER(FIND(".",G779)),DATE(VALUE(RIGHT(G779,4)),VALUE(MID(G779,4,2)),VALUE(LEFT(G779,2))),DATE(VALUE(RIGHT(G779,4)),VLOOKUP(TRIM(MID(G779,FIND(" ",G779)+1,LEN(G779)-FIND(" ",G779)-5)),Справочники!$M$3:$N$14,2,0),VALUE(LEFT(G779,FIND(" ",G779)-1))))),"")</f>
        <v>52444</v>
      </c>
      <c r="M779" t="str">
        <f t="shared" si="260"/>
        <v xml:space="preserve">+7 (903) 567-89-01</v>
      </c>
      <c r="N779" t="str">
        <f t="shared" si="261"/>
        <v>burtsev@mail</v>
      </c>
      <c r="O779" t="str">
        <f t="shared" si="262"/>
        <v xml:space="preserve">Ошибка Email</v>
      </c>
      <c r="P779" t="str">
        <f>IFERROR(VLOOKUP(TRIM(SUBSTITUTE(SUBSTITUTE(" "&amp;F779," г "," "),"г.","")),Справочники!$J$3:$K$102,2,0),TRIM(SUBSTITUTE(SUBSTITUTE(" "&amp;F779," г "," "),"г.","")))</f>
        <v>Смоленск</v>
      </c>
    </row>
    <row r="780">
      <c r="A780" s="3" t="s">
        <v>3558</v>
      </c>
      <c r="B780" s="3" t="s">
        <v>7108</v>
      </c>
      <c r="C780" s="3" t="s">
        <v>6784</v>
      </c>
      <c r="D780" s="3" t="s">
        <v>1598</v>
      </c>
      <c r="E780" s="3" t="s">
        <v>7109</v>
      </c>
      <c r="F780" s="3" t="s">
        <v>4220</v>
      </c>
      <c r="G780" s="3" t="s">
        <v>7110</v>
      </c>
      <c r="H780" t="str">
        <f t="shared" si="257"/>
        <v xml:space="preserve">Илюхина Екатерина Владимировна</v>
      </c>
      <c r="I780" s="5">
        <f>IFERROR(IF(ISNUMBER(FIND("-",C780)),DATE(VALUE(LEFT(C780,4)),VALUE(MID(C780,6,2)),VALUE(RIGHT(C780,2))),IF(ISNUMBER(FIND(".",C780)),DATE(VALUE(RIGHT(C780,4)),VALUE(MID(C780,4,2)),VALUE(LEFT(C780,2))),DATE(VALUE(RIGHT(C780,4)),VLOOKUP(TRIM(MID(C780,FIND(" ",C780)+1,LEN(C780)-FIND(" ",C780)-5)),Справочники!$M$3:$N$14,2,0),VALUE(LEFT(C780,FIND(" ",C780)-1))))),"")</f>
        <v>33257</v>
      </c>
      <c r="J780" s="6">
        <f t="shared" si="258"/>
        <v>35</v>
      </c>
      <c r="K780" t="str">
        <f t="shared" si="259"/>
        <v>ОК</v>
      </c>
      <c r="L780" s="5">
        <f>IFERROR(IF(ISNUMBER(FIND("-",G780)),DATE(VALUE(LEFT(G780,4)),VALUE(MID(G780,6,2)),VALUE(RIGHT(G780,2))),IF(ISNUMBER(FIND(".",G780)),DATE(VALUE(RIGHT(G780,4)),VALUE(MID(G780,4,2)),VALUE(LEFT(G780,2))),DATE(VALUE(RIGHT(G780,4)),VLOOKUP(TRIM(MID(G780,FIND(" ",G780)+1,LEN(G780)-FIND(" ",G780)-5)),Справочники!$M$3:$N$14,2,0),VALUE(LEFT(G780,FIND(" ",G780)-1))))),"")</f>
        <v>52453</v>
      </c>
      <c r="M780" t="str">
        <f t="shared" si="260"/>
        <v xml:space="preserve">+7 (903) 567-89-01</v>
      </c>
      <c r="N780" t="str">
        <f t="shared" si="261"/>
        <v>ilyuhina@yandex</v>
      </c>
      <c r="O780" t="str">
        <f t="shared" si="262"/>
        <v xml:space="preserve">Ошибка Email</v>
      </c>
      <c r="P780" t="str">
        <f>IFERROR(VLOOKUP(TRIM(SUBSTITUTE(SUBSTITUTE(" "&amp;F780," г "," "),"г.","")),Справочники!$J$3:$K$102,2,0),TRIM(SUBSTITUTE(SUBSTITUTE(" "&amp;F780," г "," "),"г.","")))</f>
        <v>Тула</v>
      </c>
    </row>
    <row r="781">
      <c r="A781" s="3" t="s">
        <v>3560</v>
      </c>
      <c r="B781" s="3" t="s">
        <v>7111</v>
      </c>
      <c r="C781" s="3" t="s">
        <v>7112</v>
      </c>
      <c r="D781" s="3" t="s">
        <v>4116</v>
      </c>
      <c r="E781" s="3" t="s">
        <v>7113</v>
      </c>
      <c r="F781" s="3" t="s">
        <v>4225</v>
      </c>
      <c r="G781" s="3" t="s">
        <v>7114</v>
      </c>
      <c r="H781" t="str">
        <f t="shared" si="257"/>
        <v xml:space="preserve">Груздев Андрей Олегович</v>
      </c>
      <c r="I781" s="5">
        <f>IFERROR(IF(ISNUMBER(FIND("-",C781)),DATE(VALUE(LEFT(C781,4)),VALUE(MID(C781,6,2)),VALUE(RIGHT(C781,2))),IF(ISNUMBER(FIND(".",C781)),DATE(VALUE(RIGHT(C781,4)),VALUE(MID(C781,4,2)),VALUE(LEFT(C781,2))),DATE(VALUE(RIGHT(C781,4)),VLOOKUP(TRIM(MID(C781,FIND(" ",C781)+1,LEN(C781)-FIND(" ",C781)-5)),Справочники!$M$3:$N$14,2,0),VALUE(LEFT(C781,FIND(" ",C781)-1))))),"")</f>
        <v>26809</v>
      </c>
      <c r="J781" s="6">
        <f t="shared" si="258"/>
        <v>53</v>
      </c>
      <c r="K781" t="str">
        <f t="shared" si="259"/>
        <v>ОК</v>
      </c>
      <c r="L781" s="5">
        <f>IFERROR(IF(ISNUMBER(FIND("-",G781)),DATE(VALUE(LEFT(G781,4)),VALUE(MID(G781,6,2)),VALUE(RIGHT(G781,2))),IF(ISNUMBER(FIND(".",G781)),DATE(VALUE(RIGHT(G781,4)),VALUE(MID(G781,4,2)),VALUE(LEFT(G781,2))),DATE(VALUE(RIGHT(G781,4)),VLOOKUP(TRIM(MID(G781,FIND(" ",G781)+1,LEN(G781)-FIND(" ",G781)-5)),Справочники!$M$3:$N$14,2,0),VALUE(LEFT(G781,FIND(" ",G781)-1))))),"")</f>
        <v>52453</v>
      </c>
      <c r="M781" t="str">
        <f t="shared" si="260"/>
        <v xml:space="preserve">+7 (903) 678-90-12</v>
      </c>
      <c r="N781" t="str">
        <f t="shared" si="261"/>
        <v>gruzdev@gmail</v>
      </c>
      <c r="O781" t="str">
        <f t="shared" si="262"/>
        <v xml:space="preserve">Ошибка Email</v>
      </c>
      <c r="P781" t="str">
        <f>IFERROR(VLOOKUP(TRIM(SUBSTITUTE(SUBSTITUTE(" "&amp;F781," г "," "),"г.","")),Справочники!$J$3:$K$102,2,0),TRIM(SUBSTITUTE(SUBSTITUTE(" "&amp;F781," г "," "),"г.","")))</f>
        <v>Калуга</v>
      </c>
    </row>
    <row r="782">
      <c r="A782" s="3" t="s">
        <v>3562</v>
      </c>
      <c r="B782" s="3" t="s">
        <v>7115</v>
      </c>
      <c r="C782" s="3" t="s">
        <v>7116</v>
      </c>
      <c r="D782" s="3" t="s">
        <v>4122</v>
      </c>
      <c r="E782" s="3" t="s">
        <v>7117</v>
      </c>
      <c r="F782" s="3" t="s">
        <v>4230</v>
      </c>
      <c r="G782" s="3" t="s">
        <v>7118</v>
      </c>
      <c r="H782" t="str">
        <f t="shared" si="257"/>
        <v xml:space="preserve">Новикова Мария Павловна</v>
      </c>
      <c r="I782" s="5">
        <f>IFERROR(IF(ISNUMBER(FIND("-",C782)),DATE(VALUE(LEFT(C782,4)),VALUE(MID(C782,6,2)),VALUE(RIGHT(C782,2))),IF(ISNUMBER(FIND(".",C782)),DATE(VALUE(RIGHT(C782,4)),VALUE(MID(C782,4,2)),VALUE(LEFT(C782,2))),DATE(VALUE(RIGHT(C782,4)),VLOOKUP(TRIM(MID(C782,FIND(" ",C782)+1,LEN(C782)-FIND(" ",C782)-5)),Справочники!$M$3:$N$14,2,0),VALUE(LEFT(C782,FIND(" ",C782)-1))))),"")</f>
        <v>30143</v>
      </c>
      <c r="J782" s="6">
        <f t="shared" si="258"/>
        <v>44</v>
      </c>
      <c r="K782" t="str">
        <f t="shared" si="259"/>
        <v>ОК</v>
      </c>
      <c r="L782" s="5">
        <f>IFERROR(IF(ISNUMBER(FIND("-",G782)),DATE(VALUE(LEFT(G782,4)),VALUE(MID(G782,6,2)),VALUE(RIGHT(G782,2))),IF(ISNUMBER(FIND(".",G782)),DATE(VALUE(RIGHT(G782,4)),VALUE(MID(G782,4,2)),VALUE(LEFT(G782,2))),DATE(VALUE(RIGHT(G782,4)),VLOOKUP(TRIM(MID(G782,FIND(" ",G782)+1,LEN(G782)-FIND(" ",G782)-5)),Справочники!$M$3:$N$14,2,0),VALUE(LEFT(G782,FIND(" ",G782)-1))))),"")</f>
        <v>52475</v>
      </c>
      <c r="M782" t="str">
        <f t="shared" si="260"/>
        <v xml:space="preserve">+7 (903) 678-90-12</v>
      </c>
      <c r="N782" t="str">
        <f t="shared" si="261"/>
        <v>novikova@mail</v>
      </c>
      <c r="O782" t="str">
        <f t="shared" si="262"/>
        <v xml:space="preserve">Ошибка Email</v>
      </c>
      <c r="P782" t="str">
        <f>IFERROR(VLOOKUP(TRIM(SUBSTITUTE(SUBSTITUTE(" "&amp;F782," г "," "),"г.","")),Справочники!$J$3:$K$102,2,0),TRIM(SUBSTITUTE(SUBSTITUTE(" "&amp;F782," г "," "),"г.","")))</f>
        <v>Владикавказ</v>
      </c>
    </row>
    <row r="783">
      <c r="A783" s="3" t="s">
        <v>3563</v>
      </c>
      <c r="B783" s="3" t="s">
        <v>7119</v>
      </c>
      <c r="C783" s="3" t="s">
        <v>7120</v>
      </c>
      <c r="D783" s="3" t="s">
        <v>1605</v>
      </c>
      <c r="E783" s="3" t="s">
        <v>4161</v>
      </c>
      <c r="F783" s="3" t="s">
        <v>4235</v>
      </c>
      <c r="G783" s="3" t="s">
        <v>7121</v>
      </c>
      <c r="H783" t="str">
        <f t="shared" si="257"/>
        <v xml:space="preserve">Куликов Денис Сергеевич</v>
      </c>
      <c r="I783" s="5">
        <f>IFERROR(IF(ISNUMBER(FIND("-",C783)),DATE(VALUE(LEFT(C783,4)),VALUE(MID(C783,6,2)),VALUE(RIGHT(C783,2))),IF(ISNUMBER(FIND(".",C783)),DATE(VALUE(RIGHT(C783,4)),VALUE(MID(C783,4,2)),VALUE(LEFT(C783,2))),DATE(VALUE(RIGHT(C783,4)),VLOOKUP(TRIM(MID(C783,FIND(" ",C783)+1,LEN(C783)-FIND(" ",C783)-5)),Справочники!$M$3:$N$14,2,0),VALUE(LEFT(C783,FIND(" ",C783)-1))))),"")</f>
        <v>32845</v>
      </c>
      <c r="J783" s="6">
        <f t="shared" si="258"/>
        <v>36</v>
      </c>
      <c r="K783" t="str">
        <f t="shared" si="259"/>
        <v>ОК</v>
      </c>
      <c r="L783" s="5">
        <f>IFERROR(IF(ISNUMBER(FIND("-",G783)),DATE(VALUE(LEFT(G783,4)),VALUE(MID(G783,6,2)),VALUE(RIGHT(G783,2))),IF(ISNUMBER(FIND(".",G783)),DATE(VALUE(RIGHT(G783,4)),VALUE(MID(G783,4,2)),VALUE(LEFT(G783,2))),DATE(VALUE(RIGHT(G783,4)),VLOOKUP(TRIM(MID(G783,FIND(" ",G783)+1,LEN(G783)-FIND(" ",G783)-5)),Справочники!$M$3:$N$14,2,0),VALUE(LEFT(G783,FIND(" ",G783)-1))))),"")</f>
        <v>52489</v>
      </c>
      <c r="M783" t="str">
        <f t="shared" si="260"/>
        <v xml:space="preserve">+7 (903) 678-90-12</v>
      </c>
      <c r="N783" t="str">
        <f t="shared" si="261"/>
        <v>kulikov@yandex</v>
      </c>
      <c r="O783" t="str">
        <f t="shared" si="262"/>
        <v xml:space="preserve">Ошибка Email</v>
      </c>
      <c r="P783" t="str">
        <f>IFERROR(VLOOKUP(TRIM(SUBSTITUTE(SUBSTITUTE(" "&amp;F783," г "," "),"г.","")),Справочники!$J$3:$K$102,2,0),TRIM(SUBSTITUTE(SUBSTITUTE(" "&amp;F783," г "," "),"г.","")))</f>
        <v>Смоленск</v>
      </c>
    </row>
    <row r="784">
      <c r="A784" s="3" t="s">
        <v>3566</v>
      </c>
      <c r="B784" s="3" t="s">
        <v>7122</v>
      </c>
      <c r="C784" s="3" t="s">
        <v>7123</v>
      </c>
      <c r="D784" s="3" t="s">
        <v>4001</v>
      </c>
      <c r="E784" s="3" t="s">
        <v>7124</v>
      </c>
      <c r="F784" s="3" t="s">
        <v>4240</v>
      </c>
      <c r="G784" s="3" t="s">
        <v>7125</v>
      </c>
      <c r="H784" t="str">
        <f t="shared" si="257"/>
        <v xml:space="preserve">Быкова Ольга Владимировна</v>
      </c>
      <c r="I784" s="5">
        <f>IFERROR(IF(ISNUMBER(FIND("-",C784)),DATE(VALUE(LEFT(C784,4)),VALUE(MID(C784,6,2)),VALUE(RIGHT(C784,2))),IF(ISNUMBER(FIND(".",C784)),DATE(VALUE(RIGHT(C784,4)),VALUE(MID(C784,4,2)),VALUE(LEFT(C784,2))),DATE(VALUE(RIGHT(C784,4)),VLOOKUP(TRIM(MID(C784,FIND(" ",C784)+1,LEN(C784)-FIND(" ",C784)-5)),Справочники!$M$3:$N$14,2,0),VALUE(LEFT(C784,FIND(" ",C784)-1))))),"")</f>
        <v>28375</v>
      </c>
      <c r="J784" s="6">
        <f t="shared" si="258"/>
        <v>49</v>
      </c>
      <c r="K784" t="str">
        <f t="shared" si="259"/>
        <v>ОК</v>
      </c>
      <c r="L784" s="5">
        <f>IFERROR(IF(ISNUMBER(FIND("-",G784)),DATE(VALUE(LEFT(G784,4)),VALUE(MID(G784,6,2)),VALUE(RIGHT(G784,2))),IF(ISNUMBER(FIND(".",G784)),DATE(VALUE(RIGHT(G784,4)),VALUE(MID(G784,4,2)),VALUE(LEFT(G784,2))),DATE(VALUE(RIGHT(G784,4)),VLOOKUP(TRIM(MID(G784,FIND(" ",G784)+1,LEN(G784)-FIND(" ",G784)-5)),Справочники!$M$3:$N$14,2,0),VALUE(LEFT(G784,FIND(" ",G784)-1))))),"")</f>
        <v>52489</v>
      </c>
      <c r="M784" t="str">
        <f t="shared" si="260"/>
        <v xml:space="preserve">+7 (903) 789-01-23</v>
      </c>
      <c r="N784" t="str">
        <f t="shared" si="261"/>
        <v>bykova@gmail</v>
      </c>
      <c r="O784" t="str">
        <f t="shared" si="262"/>
        <v xml:space="preserve">Ошибка Email</v>
      </c>
      <c r="P784" t="str">
        <f>IFERROR(VLOOKUP(TRIM(SUBSTITUTE(SUBSTITUTE(" "&amp;F784," г "," "),"г.","")),Справочники!$J$3:$K$102,2,0),TRIM(SUBSTITUTE(SUBSTITUTE(" "&amp;F784," г "," "),"г.","")))</f>
        <v>Белгород</v>
      </c>
    </row>
    <row r="785">
      <c r="A785" s="3" t="s">
        <v>3567</v>
      </c>
      <c r="B785" s="3" t="s">
        <v>7126</v>
      </c>
      <c r="C785" s="3" t="s">
        <v>7127</v>
      </c>
      <c r="D785" s="3" t="s">
        <v>4138</v>
      </c>
      <c r="E785" s="3" t="s">
        <v>7128</v>
      </c>
      <c r="F785" s="3" t="s">
        <v>4245</v>
      </c>
      <c r="G785" s="3" t="s">
        <v>7129</v>
      </c>
      <c r="H785" t="str">
        <f t="shared" si="257"/>
        <v xml:space="preserve">Щеглов Илья Алексеевич</v>
      </c>
      <c r="I785" s="5">
        <f>IFERROR(IF(ISNUMBER(FIND("-",C785)),DATE(VALUE(LEFT(C785,4)),VALUE(MID(C785,6,2)),VALUE(RIGHT(C785,2))),IF(ISNUMBER(FIND(".",C785)),DATE(VALUE(RIGHT(C785,4)),VALUE(MID(C785,4,2)),VALUE(LEFT(C785,2))),DATE(VALUE(RIGHT(C785,4)),VLOOKUP(TRIM(MID(C785,FIND(" ",C785)+1,LEN(C785)-FIND(" ",C785)-5)),Справочники!$M$3:$N$14,2,0),VALUE(LEFT(C785,FIND(" ",C785)-1))))),"")</f>
        <v>31069</v>
      </c>
      <c r="J785" s="6">
        <f t="shared" si="258"/>
        <v>41</v>
      </c>
      <c r="K785" t="str">
        <f t="shared" si="259"/>
        <v>ОК</v>
      </c>
      <c r="L785" s="5">
        <f>IFERROR(IF(ISNUMBER(FIND("-",G785)),DATE(VALUE(LEFT(G785,4)),VALUE(MID(G785,6,2)),VALUE(RIGHT(G785,2))),IF(ISNUMBER(FIND(".",G785)),DATE(VALUE(RIGHT(G785,4)),VALUE(MID(G785,4,2)),VALUE(LEFT(G785,2))),DATE(VALUE(RIGHT(G785,4)),VLOOKUP(TRIM(MID(G785,FIND(" ",G785)+1,LEN(G785)-FIND(" ",G785)-5)),Справочники!$M$3:$N$14,2,0),VALUE(LEFT(G785,FIND(" ",G785)-1))))),"")</f>
        <v>52505</v>
      </c>
      <c r="M785" t="str">
        <f t="shared" si="260"/>
        <v xml:space="preserve">+7 (903) 789-01-23</v>
      </c>
      <c r="N785" t="str">
        <f t="shared" si="261"/>
        <v>scheglov@mail</v>
      </c>
      <c r="O785" t="str">
        <f t="shared" si="262"/>
        <v xml:space="preserve">Ошибка Email</v>
      </c>
      <c r="P785" t="str">
        <f>IFERROR(VLOOKUP(TRIM(SUBSTITUTE(SUBSTITUTE(" "&amp;F785," г "," "),"г.","")),Справочники!$J$3:$K$102,2,0),TRIM(SUBSTITUTE(SUBSTITUTE(" "&amp;F785," г "," "),"г.","")))</f>
        <v>Мурманск</v>
      </c>
    </row>
    <row r="786">
      <c r="A786" s="3" t="s">
        <v>3570</v>
      </c>
      <c r="B786" s="3" t="s">
        <v>7130</v>
      </c>
      <c r="C786" s="3" t="s">
        <v>7131</v>
      </c>
      <c r="D786" s="3" t="s">
        <v>4144</v>
      </c>
      <c r="E786" s="3" t="s">
        <v>7132</v>
      </c>
      <c r="F786" s="3" t="s">
        <v>4250</v>
      </c>
      <c r="G786" s="3" t="s">
        <v>7133</v>
      </c>
      <c r="H786" t="str">
        <f t="shared" si="257"/>
        <v xml:space="preserve">Коровина Екатерина Сергеевна</v>
      </c>
      <c r="I786" s="5">
        <f>IFERROR(IF(ISNUMBER(FIND("-",C786)),DATE(VALUE(LEFT(C786,4)),VALUE(MID(C786,6,2)),VALUE(RIGHT(C786,2))),IF(ISNUMBER(FIND(".",C786)),DATE(VALUE(RIGHT(C786,4)),VALUE(MID(C786,4,2)),VALUE(LEFT(C786,2))),DATE(VALUE(RIGHT(C786,4)),VLOOKUP(TRIM(MID(C786,FIND(" ",C786)+1,LEN(C786)-FIND(" ",C786)-5)),Справочники!$M$3:$N$14,2,0),VALUE(LEFT(C786,FIND(" ",C786)-1))))),"")</f>
        <v>33932</v>
      </c>
      <c r="J786" s="6">
        <f t="shared" si="258"/>
        <v>33</v>
      </c>
      <c r="K786" t="str">
        <f t="shared" si="259"/>
        <v>ОК</v>
      </c>
      <c r="L786" s="5">
        <f>IFERROR(IF(ISNUMBER(FIND("-",G786)),DATE(VALUE(LEFT(G786,4)),VALUE(MID(G786,6,2)),VALUE(RIGHT(G786,2))),IF(ISNUMBER(FIND(".",G786)),DATE(VALUE(RIGHT(G786,4)),VALUE(MID(G786,4,2)),VALUE(LEFT(G786,2))),DATE(VALUE(RIGHT(G786,4)),VLOOKUP(TRIM(MID(G786,FIND(" ",G786)+1,LEN(G786)-FIND(" ",G786)-5)),Справочники!$M$3:$N$14,2,0),VALUE(LEFT(G786,FIND(" ",G786)-1))))),"")</f>
        <v>52514</v>
      </c>
      <c r="M786" t="str">
        <f t="shared" si="260"/>
        <v xml:space="preserve">+7 (903) 789-01-23</v>
      </c>
      <c r="N786" t="str">
        <f t="shared" si="261"/>
        <v>korovina@yandex</v>
      </c>
      <c r="O786" t="str">
        <f t="shared" si="262"/>
        <v xml:space="preserve">Ошибка Email</v>
      </c>
      <c r="P786" t="str">
        <f>IFERROR(VLOOKUP(TRIM(SUBSTITUTE(SUBSTITUTE(" "&amp;F786," г "," "),"г.","")),Справочники!$J$3:$K$102,2,0),TRIM(SUBSTITUTE(SUBSTITUTE(" "&amp;F786," г "," "),"г.","")))</f>
        <v>Ставрополь</v>
      </c>
    </row>
    <row r="787">
      <c r="A787" s="3" t="s">
        <v>3571</v>
      </c>
      <c r="B787" s="3" t="s">
        <v>7134</v>
      </c>
      <c r="C787" s="3" t="s">
        <v>7135</v>
      </c>
      <c r="D787" s="3" t="s">
        <v>4150</v>
      </c>
      <c r="E787" s="3" t="s">
        <v>7136</v>
      </c>
      <c r="F787" s="3" t="s">
        <v>4255</v>
      </c>
      <c r="G787" s="3" t="s">
        <v>7137</v>
      </c>
      <c r="H787" t="str">
        <f t="shared" si="257"/>
        <v xml:space="preserve">Денисов Андрей Олегович</v>
      </c>
      <c r="I787" s="5">
        <f>IFERROR(IF(ISNUMBER(FIND("-",C787)),DATE(VALUE(LEFT(C787,4)),VALUE(MID(C787,6,2)),VALUE(RIGHT(C787,2))),IF(ISNUMBER(FIND(".",C787)),DATE(VALUE(RIGHT(C787,4)),VALUE(MID(C787,4,2)),VALUE(LEFT(C787,2))),DATE(VALUE(RIGHT(C787,4)),VLOOKUP(TRIM(MID(C787,FIND(" ",C787)+1,LEN(C787)-FIND(" ",C787)-5)),Справочники!$M$3:$N$14,2,0),VALUE(LEFT(C787,FIND(" ",C787)-1))))),"")</f>
        <v>27913</v>
      </c>
      <c r="J787" s="6">
        <f t="shared" si="258"/>
        <v>50</v>
      </c>
      <c r="K787" t="str">
        <f t="shared" si="259"/>
        <v>ОК</v>
      </c>
      <c r="L787" s="5">
        <f>IFERROR(IF(ISNUMBER(FIND("-",G787)),DATE(VALUE(LEFT(G787,4)),VALUE(MID(G787,6,2)),VALUE(RIGHT(G787,2))),IF(ISNUMBER(FIND(".",G787)),DATE(VALUE(RIGHT(G787,4)),VALUE(MID(G787,4,2)),VALUE(LEFT(G787,2))),DATE(VALUE(RIGHT(G787,4)),VLOOKUP(TRIM(MID(G787,FIND(" ",G787)+1,LEN(G787)-FIND(" ",G787)-5)),Справочники!$M$3:$N$14,2,0),VALUE(LEFT(G787,FIND(" ",G787)-1))))),"")</f>
        <v>52514</v>
      </c>
      <c r="M787" t="str">
        <f t="shared" si="260"/>
        <v xml:space="preserve">+7 (903) 890-12-34</v>
      </c>
      <c r="N787" t="str">
        <f t="shared" si="261"/>
        <v>denisov@gmail</v>
      </c>
      <c r="O787" t="str">
        <f t="shared" si="262"/>
        <v xml:space="preserve">Ошибка Email</v>
      </c>
      <c r="P787" t="str">
        <f>IFERROR(VLOOKUP(TRIM(SUBSTITUTE(SUBSTITUTE(" "&amp;F787," г "," "),"г.","")),Справочники!$J$3:$K$102,2,0),TRIM(SUBSTITUTE(SUBSTITUTE(" "&amp;F787," г "," "),"г.","")))</f>
        <v>Севастополь</v>
      </c>
    </row>
    <row r="788">
      <c r="A788" s="3" t="s">
        <v>3573</v>
      </c>
      <c r="B788" s="3" t="s">
        <v>7138</v>
      </c>
      <c r="C788" s="3" t="s">
        <v>7139</v>
      </c>
      <c r="D788" s="3" t="s">
        <v>4007</v>
      </c>
      <c r="E788" s="3" t="s">
        <v>7140</v>
      </c>
      <c r="F788" s="3" t="s">
        <v>4260</v>
      </c>
      <c r="G788" s="3" t="s">
        <v>7141</v>
      </c>
      <c r="H788" t="str">
        <f t="shared" si="257"/>
        <v xml:space="preserve">Ковалева Мария Павловна</v>
      </c>
      <c r="I788" s="5">
        <f>IFERROR(IF(ISNUMBER(FIND("-",C788)),DATE(VALUE(LEFT(C788,4)),VALUE(MID(C788,6,2)),VALUE(RIGHT(C788,2))),IF(ISNUMBER(FIND(".",C788)),DATE(VALUE(RIGHT(C788,4)),VALUE(MID(C788,4,2)),VALUE(LEFT(C788,2))),DATE(VALUE(RIGHT(C788,4)),VLOOKUP(TRIM(MID(C788,FIND(" ",C788)+1,LEN(C788)-FIND(" ",C788)-5)),Справочники!$M$3:$N$14,2,0),VALUE(LEFT(C788,FIND(" ",C788)-1))))),"")</f>
        <v>30607</v>
      </c>
      <c r="J788" s="6">
        <f t="shared" si="258"/>
        <v>43</v>
      </c>
      <c r="K788" t="str">
        <f t="shared" si="259"/>
        <v>ОК</v>
      </c>
      <c r="L788" s="5">
        <f>IFERROR(IF(ISNUMBER(FIND("-",G788)),DATE(VALUE(LEFT(G788,4)),VALUE(MID(G788,6,2)),VALUE(RIGHT(G788,2))),IF(ISNUMBER(FIND(".",G788)),DATE(VALUE(RIGHT(G788,4)),VALUE(MID(G788,4,2)),VALUE(LEFT(G788,2))),DATE(VALUE(RIGHT(G788,4)),VLOOKUP(TRIM(MID(G788,FIND(" ",G788)+1,LEN(G788)-FIND(" ",G788)-5)),Справочники!$M$3:$N$14,2,0),VALUE(LEFT(G788,FIND(" ",G788)-1))))),"")</f>
        <v>52536</v>
      </c>
      <c r="M788" t="str">
        <f t="shared" si="260"/>
        <v xml:space="preserve">+7 (903) 890-12-34</v>
      </c>
      <c r="N788" t="str">
        <f t="shared" si="261"/>
        <v>kovaleva@mail</v>
      </c>
      <c r="O788" t="str">
        <f t="shared" si="262"/>
        <v xml:space="preserve">Ошибка Email</v>
      </c>
      <c r="P788" t="str">
        <f>IFERROR(VLOOKUP(TRIM(SUBSTITUTE(SUBSTITUTE(" "&amp;F788," г "," "),"г.","")),Справочники!$J$3:$K$102,2,0),TRIM(SUBSTITUTE(SUBSTITUTE(" "&amp;F788," г "," "),"г.","")))</f>
        <v>Сочи</v>
      </c>
    </row>
    <row r="789">
      <c r="A789" s="3" t="s">
        <v>3574</v>
      </c>
      <c r="B789" s="3" t="s">
        <v>7142</v>
      </c>
      <c r="C789" s="3" t="s">
        <v>7143</v>
      </c>
      <c r="D789" s="3" t="s">
        <v>1619</v>
      </c>
      <c r="E789" s="3" t="s">
        <v>7144</v>
      </c>
      <c r="F789" s="3" t="s">
        <v>4265</v>
      </c>
      <c r="G789" s="3" t="s">
        <v>7145</v>
      </c>
      <c r="H789" t="str">
        <f t="shared" si="257"/>
        <v xml:space="preserve">Сердюков Денис Викторович</v>
      </c>
      <c r="I789" s="5">
        <f>IFERROR(IF(ISNUMBER(FIND("-",C789)),DATE(VALUE(LEFT(C789,4)),VALUE(MID(C789,6,2)),VALUE(RIGHT(C789,2))),IF(ISNUMBER(FIND(".",C789)),DATE(VALUE(RIGHT(C789,4)),VALUE(MID(C789,4,2)),VALUE(LEFT(C789,2))),DATE(VALUE(RIGHT(C789,4)),VLOOKUP(TRIM(MID(C789,FIND(" ",C789)+1,LEN(C789)-FIND(" ",C789)-5)),Справочники!$M$3:$N$14,2,0),VALUE(LEFT(C789,FIND(" ",C789)-1))))),"")</f>
        <v>32941</v>
      </c>
      <c r="J789" s="6">
        <f t="shared" si="258"/>
        <v>36</v>
      </c>
      <c r="K789" t="str">
        <f t="shared" si="259"/>
        <v>ОК</v>
      </c>
      <c r="L789" s="5">
        <f>IFERROR(IF(ISNUMBER(FIND("-",G789)),DATE(VALUE(LEFT(G789,4)),VALUE(MID(G789,6,2)),VALUE(RIGHT(G789,2))),IF(ISNUMBER(FIND(".",G789)),DATE(VALUE(RIGHT(G789,4)),VALUE(MID(G789,4,2)),VALUE(LEFT(G789,2))),DATE(VALUE(RIGHT(G789,4)),VLOOKUP(TRIM(MID(G789,FIND(" ",G789)+1,LEN(G789)-FIND(" ",G789)-5)),Справочники!$M$3:$N$14,2,0),VALUE(LEFT(G789,FIND(" ",G789)-1))))),"")</f>
        <v>52550</v>
      </c>
      <c r="M789" t="str">
        <f t="shared" si="260"/>
        <v xml:space="preserve">+7 (903) 890-12-34</v>
      </c>
      <c r="N789" t="str">
        <f t="shared" si="261"/>
        <v>serdyukov@yandex</v>
      </c>
      <c r="O789" t="str">
        <f t="shared" si="262"/>
        <v xml:space="preserve">Ошибка Email</v>
      </c>
      <c r="P789" t="str">
        <f>IFERROR(VLOOKUP(TRIM(SUBSTITUTE(SUBSTITUTE(" "&amp;F789," г "," "),"г.","")),Справочники!$J$3:$K$102,2,0),TRIM(SUBSTITUTE(SUBSTITUTE(" "&amp;F789," г "," "),"г.","")))</f>
        <v>Симферополь</v>
      </c>
    </row>
    <row r="790">
      <c r="A790" s="3" t="s">
        <v>3576</v>
      </c>
      <c r="B790" s="3" t="s">
        <v>7146</v>
      </c>
      <c r="C790" s="3" t="s">
        <v>7147</v>
      </c>
      <c r="D790" s="3" t="s">
        <v>4018</v>
      </c>
      <c r="E790" s="3" t="s">
        <v>7148</v>
      </c>
      <c r="F790" s="3" t="s">
        <v>4270</v>
      </c>
      <c r="G790" s="3" t="s">
        <v>7149</v>
      </c>
      <c r="H790" t="str">
        <f t="shared" si="257"/>
        <v xml:space="preserve">Долгова Ольга Сергеевна</v>
      </c>
      <c r="I790" s="5">
        <f>IFERROR(IF(ISNUMBER(FIND("-",C790)),DATE(VALUE(LEFT(C790,4)),VALUE(MID(C790,6,2)),VALUE(RIGHT(C790,2))),IF(ISNUMBER(FIND(".",C790)),DATE(VALUE(RIGHT(C790,4)),VALUE(MID(C790,4,2)),VALUE(LEFT(C790,2))),DATE(VALUE(RIGHT(C790,4)),VLOOKUP(TRIM(MID(C790,FIND(" ",C790)+1,LEN(C790)-FIND(" ",C790)-5)),Справочники!$M$3:$N$14,2,0),VALUE(LEFT(C790,FIND(" ",C790)-1))))),"")</f>
        <v>29203</v>
      </c>
      <c r="J790" s="6">
        <f t="shared" si="258"/>
        <v>46</v>
      </c>
      <c r="K790" t="str">
        <f t="shared" si="259"/>
        <v>ОК</v>
      </c>
      <c r="L790" s="5">
        <f>IFERROR(IF(ISNUMBER(FIND("-",G790)),DATE(VALUE(LEFT(G790,4)),VALUE(MID(G790,6,2)),VALUE(RIGHT(G790,2))),IF(ISNUMBER(FIND(".",G790)),DATE(VALUE(RIGHT(G790,4)),VALUE(MID(G790,4,2)),VALUE(LEFT(G790,2))),DATE(VALUE(RIGHT(G790,4)),VLOOKUP(TRIM(MID(G790,FIND(" ",G790)+1,LEN(G790)-FIND(" ",G790)-5)),Справочники!$M$3:$N$14,2,0),VALUE(LEFT(G790,FIND(" ",G790)-1))))),"")</f>
        <v>52550</v>
      </c>
      <c r="M790" t="str">
        <f t="shared" si="260"/>
        <v xml:space="preserve">+7 (903) 901-23-45</v>
      </c>
      <c r="N790" t="str">
        <f t="shared" si="261"/>
        <v>dolgova@gmail</v>
      </c>
      <c r="O790" t="str">
        <f t="shared" si="262"/>
        <v xml:space="preserve">Ошибка Email</v>
      </c>
      <c r="P790" t="str">
        <f>IFERROR(VLOOKUP(TRIM(SUBSTITUTE(SUBSTITUTE(" "&amp;F790," г "," "),"г.","")),Справочники!$J$3:$K$102,2,0),TRIM(SUBSTITUTE(SUBSTITUTE(" "&amp;F790," г "," "),"г.","")))</f>
        <v>Брянск</v>
      </c>
    </row>
    <row r="791">
      <c r="A791" s="3" t="s">
        <v>3577</v>
      </c>
      <c r="B791" s="3" t="s">
        <v>7150</v>
      </c>
      <c r="C791" s="3" t="s">
        <v>5296</v>
      </c>
      <c r="D791" s="3" t="s">
        <v>1626</v>
      </c>
      <c r="E791" s="3" t="s">
        <v>7151</v>
      </c>
      <c r="F791" s="3" t="s">
        <v>4275</v>
      </c>
      <c r="G791" s="3" t="s">
        <v>7152</v>
      </c>
      <c r="H791" t="str">
        <f t="shared" si="257"/>
        <v xml:space="preserve">Пирогов Илья Александрович</v>
      </c>
      <c r="I791" s="5">
        <f>IFERROR(IF(ISNUMBER(FIND("-",C791)),DATE(VALUE(LEFT(C791,4)),VALUE(MID(C791,6,2)),VALUE(RIGHT(C791,2))),IF(ISNUMBER(FIND(".",C791)),DATE(VALUE(RIGHT(C791,4)),VALUE(MID(C791,4,2)),VALUE(LEFT(C791,2))),DATE(VALUE(RIGHT(C791,4)),VLOOKUP(TRIM(MID(C791,FIND(" ",C791)+1,LEN(C791)-FIND(" ",C791)-5)),Справочники!$M$3:$N$14,2,0),VALUE(LEFT(C791,FIND(" ",C791)-1))))),"")</f>
        <v>31894</v>
      </c>
      <c r="J791" s="6">
        <f t="shared" si="258"/>
        <v>39</v>
      </c>
      <c r="K791" t="str">
        <f t="shared" si="259"/>
        <v>ОК</v>
      </c>
      <c r="L791" s="5">
        <f>IFERROR(IF(ISNUMBER(FIND("-",G791)),DATE(VALUE(LEFT(G791,4)),VALUE(MID(G791,6,2)),VALUE(RIGHT(G791,2))),IF(ISNUMBER(FIND(".",G791)),DATE(VALUE(RIGHT(G791,4)),VALUE(MID(G791,4,2)),VALUE(LEFT(G791,2))),DATE(VALUE(RIGHT(G791,4)),VLOOKUP(TRIM(MID(G791,FIND(" ",G791)+1,LEN(G791)-FIND(" ",G791)-5)),Справочники!$M$3:$N$14,2,0),VALUE(LEFT(G791,FIND(" ",G791)-1))))),"")</f>
        <v>52566</v>
      </c>
      <c r="M791" t="str">
        <f t="shared" si="260"/>
        <v xml:space="preserve">+7 (903) 901-23-45</v>
      </c>
      <c r="N791" t="str">
        <f t="shared" si="261"/>
        <v>pirogov@mail</v>
      </c>
      <c r="O791" t="str">
        <f t="shared" si="262"/>
        <v xml:space="preserve">Ошибка Email</v>
      </c>
      <c r="P791" t="str">
        <f>IFERROR(VLOOKUP(TRIM(SUBSTITUTE(SUBSTITUTE(" "&amp;F791," г "," "),"г.","")),Справочники!$J$3:$K$102,2,0),TRIM(SUBSTITUTE(SUBSTITUTE(" "&amp;F791," г "," "),"г.","")))</f>
        <v>Абакан</v>
      </c>
    </row>
    <row r="792">
      <c r="A792" s="3" t="s">
        <v>3579</v>
      </c>
      <c r="B792" s="3" t="s">
        <v>7153</v>
      </c>
      <c r="C792" s="3" t="s">
        <v>7154</v>
      </c>
      <c r="D792" s="3" t="s">
        <v>4176</v>
      </c>
      <c r="E792" s="3" t="s">
        <v>7155</v>
      </c>
      <c r="F792" s="3" t="s">
        <v>4280</v>
      </c>
      <c r="G792" s="3" t="s">
        <v>7156</v>
      </c>
      <c r="H792" t="str">
        <f t="shared" si="257"/>
        <v xml:space="preserve">Зубкова Екатерина Владимировна</v>
      </c>
      <c r="I792" s="5">
        <f>IFERROR(IF(ISNUMBER(FIND("-",C792)),DATE(VALUE(LEFT(C792,4)),VALUE(MID(C792,6,2)),VALUE(RIGHT(C792,2))),IF(ISNUMBER(FIND(".",C792)),DATE(VALUE(RIGHT(C792,4)),VALUE(MID(C792,4,2)),VALUE(LEFT(C792,2))),DATE(VALUE(RIGHT(C792,4)),VLOOKUP(TRIM(MID(C792,FIND(" ",C792)+1,LEN(C792)-FIND(" ",C792)-5)),Справочники!$M$3:$N$14,2,0),VALUE(LEFT(C792,FIND(" ",C792)-1))))),"")</f>
        <v>29828</v>
      </c>
      <c r="J792" s="6">
        <f t="shared" si="258"/>
        <v>45</v>
      </c>
      <c r="K792" t="str">
        <f t="shared" si="259"/>
        <v>ОК</v>
      </c>
      <c r="L792" s="5">
        <f>IFERROR(IF(ISNUMBER(FIND("-",G792)),DATE(VALUE(LEFT(G792,4)),VALUE(MID(G792,6,2)),VALUE(RIGHT(G792,2))),IF(ISNUMBER(FIND(".",G792)),DATE(VALUE(RIGHT(G792,4)),VALUE(MID(G792,4,2)),VALUE(LEFT(G792,2))),DATE(VALUE(RIGHT(G792,4)),VLOOKUP(TRIM(MID(G792,FIND(" ",G792)+1,LEN(G792)-FIND(" ",G792)-5)),Справочники!$M$3:$N$14,2,0),VALUE(LEFT(G792,FIND(" ",G792)-1))))),"")</f>
        <v>52575</v>
      </c>
      <c r="M792" t="str">
        <f t="shared" si="260"/>
        <v xml:space="preserve">+7 (903) 901-23-45</v>
      </c>
      <c r="N792" t="str">
        <f t="shared" si="261"/>
        <v>zubkova@yandex</v>
      </c>
      <c r="O792" t="str">
        <f t="shared" si="262"/>
        <v xml:space="preserve">Ошибка Email</v>
      </c>
      <c r="P792" t="str">
        <f>IFERROR(VLOOKUP(TRIM(SUBSTITUTE(SUBSTITUTE(" "&amp;F792," г "," "),"г.","")),Справочники!$J$3:$K$102,2,0),TRIM(SUBSTITUTE(SUBSTITUTE(" "&amp;F792," г "," "),"г.","")))</f>
        <v>Грозный</v>
      </c>
    </row>
    <row r="793">
      <c r="A793" s="3" t="s">
        <v>3580</v>
      </c>
      <c r="B793" s="3" t="s">
        <v>7157</v>
      </c>
      <c r="C793" s="3" t="s">
        <v>7158</v>
      </c>
      <c r="D793" s="3" t="s">
        <v>4182</v>
      </c>
      <c r="E793" s="3" t="s">
        <v>7159</v>
      </c>
      <c r="F793" s="3" t="s">
        <v>4285</v>
      </c>
      <c r="G793" s="3" t="s">
        <v>7160</v>
      </c>
      <c r="H793" t="str">
        <f t="shared" si="257"/>
        <v xml:space="preserve">Суслов Андрей Олегович</v>
      </c>
      <c r="I793" s="5">
        <f>IFERROR(IF(ISNUMBER(FIND("-",C793)),DATE(VALUE(LEFT(C793,4)),VALUE(MID(C793,6,2)),VALUE(RIGHT(C793,2))),IF(ISNUMBER(FIND(".",C793)),DATE(VALUE(RIGHT(C793,4)),VALUE(MID(C793,4,2)),VALUE(LEFT(C793,2))),DATE(VALUE(RIGHT(C793,4)),VLOOKUP(TRIM(MID(C793,FIND(" ",C793)+1,LEN(C793)-FIND(" ",C793)-5)),Справочники!$M$3:$N$14,2,0),VALUE(LEFT(C793,FIND(" ",C793)-1))))),"")</f>
        <v>26608</v>
      </c>
      <c r="J793" s="6">
        <f t="shared" si="258"/>
        <v>53</v>
      </c>
      <c r="K793" t="str">
        <f t="shared" si="259"/>
        <v>ОК</v>
      </c>
      <c r="L793" s="5">
        <f>IFERROR(IF(ISNUMBER(FIND("-",G793)),DATE(VALUE(LEFT(G793,4)),VALUE(MID(G793,6,2)),VALUE(RIGHT(G793,2))),IF(ISNUMBER(FIND(".",G793)),DATE(VALUE(RIGHT(G793,4)),VALUE(MID(G793,4,2)),VALUE(LEFT(G793,2))),DATE(VALUE(RIGHT(G793,4)),VLOOKUP(TRIM(MID(G793,FIND(" ",G793)+1,LEN(G793)-FIND(" ",G793)-5)),Справочники!$M$3:$N$14,2,0),VALUE(LEFT(G793,FIND(" ",G793)-1))))),"")</f>
        <v>52575</v>
      </c>
      <c r="M793" t="str">
        <f t="shared" si="260"/>
        <v xml:space="preserve">+7 (903) 012-34-56</v>
      </c>
      <c r="N793" t="str">
        <f t="shared" si="261"/>
        <v>suslov@gmail</v>
      </c>
      <c r="O793" t="str">
        <f t="shared" si="262"/>
        <v xml:space="preserve">Ошибка Email</v>
      </c>
      <c r="P793" t="str">
        <f>IFERROR(VLOOKUP(TRIM(SUBSTITUTE(SUBSTITUTE(" "&amp;F793," г "," "),"г.","")),Справочники!$J$3:$K$102,2,0),TRIM(SUBSTITUTE(SUBSTITUTE(" "&amp;F793," г "," "),"г.","")))</f>
        <v>Бийск</v>
      </c>
    </row>
    <row r="794">
      <c r="A794" s="3" t="s">
        <v>3582</v>
      </c>
      <c r="B794" s="3" t="s">
        <v>7161</v>
      </c>
      <c r="C794" s="3" t="s">
        <v>7162</v>
      </c>
      <c r="D794" s="3" t="s">
        <v>4188</v>
      </c>
      <c r="E794" s="3" t="s">
        <v>7163</v>
      </c>
      <c r="F794" s="3" t="s">
        <v>4290</v>
      </c>
      <c r="G794" s="3" t="s">
        <v>7164</v>
      </c>
      <c r="H794" t="str">
        <f t="shared" si="257"/>
        <v xml:space="preserve">Куракина Мария Олеговна</v>
      </c>
      <c r="I794" s="5">
        <f>IFERROR(IF(ISNUMBER(FIND("-",C794)),DATE(VALUE(LEFT(C794,4)),VALUE(MID(C794,6,2)),VALUE(RIGHT(C794,2))),IF(ISNUMBER(FIND(".",C794)),DATE(VALUE(RIGHT(C794,4)),VALUE(MID(C794,4,2)),VALUE(LEFT(C794,2))),DATE(VALUE(RIGHT(C794,4)),VLOOKUP(TRIM(MID(C794,FIND(" ",C794)+1,LEN(C794)-FIND(" ",C794)-5)),Справочники!$M$3:$N$14,2,0),VALUE(LEFT(C794,FIND(" ",C794)-1))))),"")</f>
        <v>31244</v>
      </c>
      <c r="J794" s="6">
        <f t="shared" si="258"/>
        <v>41</v>
      </c>
      <c r="K794" t="str">
        <f t="shared" si="259"/>
        <v>ОК</v>
      </c>
      <c r="L794" s="5">
        <f>IFERROR(IF(ISNUMBER(FIND("-",G794)),DATE(VALUE(LEFT(G794,4)),VALUE(MID(G794,6,2)),VALUE(RIGHT(G794,2))),IF(ISNUMBER(FIND(".",G794)),DATE(VALUE(RIGHT(G794,4)),VALUE(MID(G794,4,2)),VALUE(LEFT(G794,2))),DATE(VALUE(RIGHT(G794,4)),VLOOKUP(TRIM(MID(G794,FIND(" ",G794)+1,LEN(G794)-FIND(" ",G794)-5)),Справочники!$M$3:$N$14,2,0),VALUE(LEFT(G794,FIND(" ",G794)-1))))),"")</f>
        <v>52597</v>
      </c>
      <c r="M794" t="str">
        <f t="shared" si="260"/>
        <v xml:space="preserve">+7 (903) 012-34-56</v>
      </c>
      <c r="N794" t="str">
        <f t="shared" si="261"/>
        <v>kurakina@mail</v>
      </c>
      <c r="O794" t="str">
        <f t="shared" si="262"/>
        <v xml:space="preserve">Ошибка Email</v>
      </c>
      <c r="P794" t="str">
        <f>IFERROR(VLOOKUP(TRIM(SUBSTITUTE(SUBSTITUTE(" "&amp;F794," г "," "),"г.","")),Справочники!$J$3:$K$102,2,0),TRIM(SUBSTITUTE(SUBSTITUTE(" "&amp;F794," г "," "),"г.","")))</f>
        <v>Йошкар-Ола</v>
      </c>
    </row>
    <row r="795">
      <c r="A795" s="3" t="s">
        <v>3583</v>
      </c>
      <c r="B795" s="3" t="s">
        <v>7165</v>
      </c>
      <c r="C795" s="3" t="s">
        <v>6273</v>
      </c>
      <c r="D795" s="3" t="s">
        <v>1633</v>
      </c>
      <c r="E795" s="3" t="s">
        <v>7166</v>
      </c>
      <c r="F795" s="3" t="s">
        <v>4295</v>
      </c>
      <c r="G795" s="3" t="s">
        <v>7167</v>
      </c>
      <c r="H795" t="str">
        <f t="shared" si="257"/>
        <v xml:space="preserve">Калашников Денис Павлович</v>
      </c>
      <c r="I795" s="5">
        <f>IFERROR(IF(ISNUMBER(FIND("-",C795)),DATE(VALUE(LEFT(C795,4)),VALUE(MID(C795,6,2)),VALUE(RIGHT(C795,2))),IF(ISNUMBER(FIND(".",C795)),DATE(VALUE(RIGHT(C795,4)),VALUE(MID(C795,4,2)),VALUE(LEFT(C795,2))),DATE(VALUE(RIGHT(C795,4)),VLOOKUP(TRIM(MID(C795,FIND(" ",C795)+1,LEN(C795)-FIND(" ",C795)-5)),Справочники!$M$3:$N$14,2,0),VALUE(LEFT(C795,FIND(" ",C795)-1))))),"")</f>
        <v>32270</v>
      </c>
      <c r="J795" s="6">
        <f t="shared" si="258"/>
        <v>38</v>
      </c>
      <c r="K795" t="str">
        <f t="shared" si="259"/>
        <v>ОК</v>
      </c>
      <c r="L795" s="5">
        <f>IFERROR(IF(ISNUMBER(FIND("-",G795)),DATE(VALUE(LEFT(G795,4)),VALUE(MID(G795,6,2)),VALUE(RIGHT(G795,2))),IF(ISNUMBER(FIND(".",G795)),DATE(VALUE(RIGHT(G795,4)),VALUE(MID(G795,4,2)),VALUE(LEFT(G795,2))),DATE(VALUE(RIGHT(G795,4)),VLOOKUP(TRIM(MID(G795,FIND(" ",G795)+1,LEN(G795)-FIND(" ",G795)-5)),Справочники!$M$3:$N$14,2,0),VALUE(LEFT(G795,FIND(" ",G795)-1))))),"")</f>
        <v>52611</v>
      </c>
      <c r="M795" t="str">
        <f t="shared" si="260"/>
        <v xml:space="preserve">+7 (903) 012-34-56</v>
      </c>
      <c r="N795" t="str">
        <f t="shared" si="261"/>
        <v>kalashnikov@yandex</v>
      </c>
      <c r="O795" t="str">
        <f t="shared" si="262"/>
        <v xml:space="preserve">Ошибка Email</v>
      </c>
      <c r="P795" t="str">
        <f>IFERROR(VLOOKUP(TRIM(SUBSTITUTE(SUBSTITUTE(" "&amp;F795," г "," "),"г.","")),Справочники!$J$3:$K$102,2,0),TRIM(SUBSTITUTE(SUBSTITUTE(" "&amp;F795," г "," "),"г.","")))</f>
        <v>Курган</v>
      </c>
    </row>
    <row r="796">
      <c r="A796" s="3" t="s">
        <v>3585</v>
      </c>
      <c r="B796" s="3" t="s">
        <v>7168</v>
      </c>
      <c r="C796" s="3" t="s">
        <v>7169</v>
      </c>
      <c r="D796" s="3" t="s">
        <v>4034</v>
      </c>
      <c r="E796" s="3" t="s">
        <v>7170</v>
      </c>
      <c r="F796" s="3" t="s">
        <v>4300</v>
      </c>
      <c r="G796" s="3" t="s">
        <v>7171</v>
      </c>
      <c r="H796" t="str">
        <f t="shared" si="257"/>
        <v xml:space="preserve">Гриднева Ольга Сергеевна</v>
      </c>
      <c r="I796" s="5">
        <f>IFERROR(IF(ISNUMBER(FIND("-",C796)),DATE(VALUE(LEFT(C796,4)),VALUE(MID(C796,6,2)),VALUE(RIGHT(C796,2))),IF(ISNUMBER(FIND(".",C796)),DATE(VALUE(RIGHT(C796,4)),VALUE(MID(C796,4,2)),VALUE(LEFT(C796,2))),DATE(VALUE(RIGHT(C796,4)),VLOOKUP(TRIM(MID(C796,FIND(" ",C796)+1,LEN(C796)-FIND(" ",C796)-5)),Справочники!$M$3:$N$14,2,0),VALUE(LEFT(C796,FIND(" ",C796)-1))))),"")</f>
        <v>27274</v>
      </c>
      <c r="J796" s="6">
        <f t="shared" si="258"/>
        <v>52</v>
      </c>
      <c r="K796" t="str">
        <f t="shared" si="259"/>
        <v>ОК</v>
      </c>
      <c r="L796" s="5">
        <f>IFERROR(IF(ISNUMBER(FIND("-",G796)),DATE(VALUE(LEFT(G796,4)),VALUE(MID(G796,6,2)),VALUE(RIGHT(G796,2))),IF(ISNUMBER(FIND(".",G796)),DATE(VALUE(RIGHT(G796,4)),VALUE(MID(G796,4,2)),VALUE(LEFT(G796,2))),DATE(VALUE(RIGHT(G796,4)),VLOOKUP(TRIM(MID(G796,FIND(" ",G796)+1,LEN(G796)-FIND(" ",G796)-5)),Справочники!$M$3:$N$14,2,0),VALUE(LEFT(G796,FIND(" ",G796)-1))))),"")</f>
        <v>52611</v>
      </c>
      <c r="M796" t="str">
        <f t="shared" si="260"/>
        <v xml:space="preserve">+7 (903) 123-45-67</v>
      </c>
      <c r="N796" t="str">
        <f t="shared" si="261"/>
        <v>gridneva@gmail</v>
      </c>
      <c r="O796" t="str">
        <f t="shared" si="262"/>
        <v xml:space="preserve">Ошибка Email</v>
      </c>
      <c r="P796" t="str">
        <f>IFERROR(VLOOKUP(TRIM(SUBSTITUTE(SUBSTITUTE(" "&amp;F796," г "," "),"г.","")),Справочники!$J$3:$K$102,2,0),TRIM(SUBSTITUTE(SUBSTITUTE(" "&amp;F796," г "," "),"г.","")))</f>
        <v>Архангельск</v>
      </c>
    </row>
    <row r="797">
      <c r="A797" s="3" t="s">
        <v>3587</v>
      </c>
      <c r="B797" s="3" t="s">
        <v>7172</v>
      </c>
      <c r="C797" s="3" t="s">
        <v>7173</v>
      </c>
      <c r="D797" s="3" t="s">
        <v>4040</v>
      </c>
      <c r="E797" s="3" t="s">
        <v>7174</v>
      </c>
      <c r="F797" s="3" t="s">
        <v>4305</v>
      </c>
      <c r="G797" s="3" t="s">
        <v>7175</v>
      </c>
      <c r="H797" t="str">
        <f t="shared" si="257"/>
        <v xml:space="preserve">Маслов Илья Александрович</v>
      </c>
      <c r="I797" s="5">
        <f>IFERROR(IF(ISNUMBER(FIND("-",C797)),DATE(VALUE(LEFT(C797,4)),VALUE(MID(C797,6,2)),VALUE(RIGHT(C797,2))),IF(ISNUMBER(FIND(".",C797)),DATE(VALUE(RIGHT(C797,4)),VALUE(MID(C797,4,2)),VALUE(LEFT(C797,2))),DATE(VALUE(RIGHT(C797,4)),VLOOKUP(TRIM(MID(C797,FIND(" ",C797)+1,LEN(C797)-FIND(" ",C797)-5)),Справочники!$M$3:$N$14,2,0),VALUE(LEFT(C797,FIND(" ",C797)-1))))),"")</f>
        <v>30398</v>
      </c>
      <c r="J797" s="6">
        <f t="shared" si="258"/>
        <v>43</v>
      </c>
      <c r="K797" t="str">
        <f t="shared" si="259"/>
        <v>ОК</v>
      </c>
      <c r="L797" s="5">
        <f>IFERROR(IF(ISNUMBER(FIND("-",G797)),DATE(VALUE(LEFT(G797,4)),VALUE(MID(G797,6,2)),VALUE(RIGHT(G797,2))),IF(ISNUMBER(FIND(".",G797)),DATE(VALUE(RIGHT(G797,4)),VALUE(MID(G797,4,2)),VALUE(LEFT(G797,2))),DATE(VALUE(RIGHT(G797,4)),VLOOKUP(TRIM(MID(G797,FIND(" ",G797)+1,LEN(G797)-FIND(" ",G797)-5)),Справочники!$M$3:$N$14,2,0),VALUE(LEFT(G797,FIND(" ",G797)-1))))),"")</f>
        <v>52628</v>
      </c>
      <c r="M797" t="str">
        <f t="shared" si="260"/>
        <v xml:space="preserve">+7 (903) 123-45-67</v>
      </c>
      <c r="N797" t="str">
        <f t="shared" si="261"/>
        <v>maslov@mail</v>
      </c>
      <c r="O797" t="str">
        <f t="shared" si="262"/>
        <v xml:space="preserve">Ошибка Email</v>
      </c>
      <c r="P797" t="str">
        <f>IFERROR(VLOOKUP(TRIM(SUBSTITUTE(SUBSTITUTE(" "&amp;F797," г "," "),"г.","")),Справочники!$J$3:$K$102,2,0),TRIM(SUBSTITUTE(SUBSTITUTE(" "&amp;F797," г "," "),"г.","")))</f>
        <v>Благовещенск</v>
      </c>
    </row>
    <row r="798">
      <c r="A798" s="3" t="s">
        <v>3589</v>
      </c>
      <c r="B798" s="3" t="s">
        <v>7176</v>
      </c>
      <c r="C798" s="3" t="s">
        <v>7177</v>
      </c>
      <c r="D798" s="3" t="s">
        <v>1570</v>
      </c>
      <c r="E798" s="3" t="s">
        <v>7178</v>
      </c>
      <c r="F798" s="3" t="s">
        <v>4310</v>
      </c>
      <c r="G798" s="3" t="s">
        <v>7179</v>
      </c>
      <c r="H798" t="str">
        <f t="shared" si="257"/>
        <v xml:space="preserve">Александрова Екатерина Сергеевна</v>
      </c>
      <c r="I798" s="5">
        <f>IFERROR(IF(ISNUMBER(FIND("-",C798)),DATE(VALUE(LEFT(C798,4)),VALUE(MID(C798,6,2)),VALUE(RIGHT(C798,2))),IF(ISNUMBER(FIND(".",C798)),DATE(VALUE(RIGHT(C798,4)),VALUE(MID(C798,4,2)),VALUE(LEFT(C798,2))),DATE(VALUE(RIGHT(C798,4)),VLOOKUP(TRIM(MID(C798,FIND(" ",C798)+1,LEN(C798)-FIND(" ",C798)-5)),Справочники!$M$3:$N$14,2,0),VALUE(LEFT(C798,FIND(" ",C798)-1))))),"")</f>
        <v>33582</v>
      </c>
      <c r="J798" s="6">
        <f t="shared" si="258"/>
        <v>34</v>
      </c>
      <c r="K798" t="str">
        <f t="shared" si="259"/>
        <v>ОК</v>
      </c>
      <c r="L798" s="5">
        <f>IFERROR(IF(ISNUMBER(FIND("-",G798)),DATE(VALUE(LEFT(G798,4)),VALUE(MID(G798,6,2)),VALUE(RIGHT(G798,2))),IF(ISNUMBER(FIND(".",G798)),DATE(VALUE(RIGHT(G798,4)),VALUE(MID(G798,4,2)),VALUE(LEFT(G798,2))),DATE(VALUE(RIGHT(G798,4)),VLOOKUP(TRIM(MID(G798,FIND(" ",G798)+1,LEN(G798)-FIND(" ",G798)-5)),Справочники!$M$3:$N$14,2,0),VALUE(LEFT(G798,FIND(" ",G798)-1))))),"")</f>
        <v>52637</v>
      </c>
      <c r="M798" t="str">
        <f t="shared" si="260"/>
        <v xml:space="preserve">+7 (903) 123-45-67</v>
      </c>
      <c r="N798" t="str">
        <f t="shared" si="261"/>
        <v>aleksandrova@yandex</v>
      </c>
      <c r="O798" t="str">
        <f t="shared" si="262"/>
        <v xml:space="preserve">Ошибка Email</v>
      </c>
      <c r="P798" t="str">
        <f>IFERROR(VLOOKUP(TRIM(SUBSTITUTE(SUBSTITUTE(" "&amp;F798," г "," "),"г.","")),Справочники!$J$3:$K$102,2,0),TRIM(SUBSTITUTE(SUBSTITUTE(" "&amp;F798," г "," "),"г.","")))</f>
        <v>Майкоп</v>
      </c>
    </row>
    <row r="799">
      <c r="A799" s="3" t="s">
        <v>3591</v>
      </c>
      <c r="B799" s="3" t="s">
        <v>7180</v>
      </c>
      <c r="C799" s="3" t="s">
        <v>7181</v>
      </c>
      <c r="D799" s="3" t="s">
        <v>4051</v>
      </c>
      <c r="E799" s="3" t="s">
        <v>7182</v>
      </c>
      <c r="F799" s="3" t="s">
        <v>4315</v>
      </c>
      <c r="G799" s="3" t="s">
        <v>7183</v>
      </c>
      <c r="H799" t="str">
        <f t="shared" si="257"/>
        <v xml:space="preserve">Косогоров Андрей Олегович</v>
      </c>
      <c r="I799" s="5">
        <f>IFERROR(IF(ISNUMBER(FIND("-",C799)),DATE(VALUE(LEFT(C799,4)),VALUE(MID(C799,6,2)),VALUE(RIGHT(C799,2))),IF(ISNUMBER(FIND(".",C799)),DATE(VALUE(RIGHT(C799,4)),VALUE(MID(C799,4,2)),VALUE(LEFT(C799,2))),DATE(VALUE(RIGHT(C799,4)),VLOOKUP(TRIM(MID(C799,FIND(" ",C799)+1,LEN(C799)-FIND(" ",C799)-5)),Справочники!$M$3:$N$14,2,0),VALUE(LEFT(C799,FIND(" ",C799)-1))))),"")</f>
        <v>28352</v>
      </c>
      <c r="J799" s="6">
        <f t="shared" si="258"/>
        <v>49</v>
      </c>
      <c r="K799" t="str">
        <f t="shared" si="259"/>
        <v>ОК</v>
      </c>
      <c r="L799" s="5">
        <f>IFERROR(IF(ISNUMBER(FIND("-",G799)),DATE(VALUE(LEFT(G799,4)),VALUE(MID(G799,6,2)),VALUE(RIGHT(G799,2))),IF(ISNUMBER(FIND(".",G799)),DATE(VALUE(RIGHT(G799,4)),VALUE(MID(G799,4,2)),VALUE(LEFT(G799,2))),DATE(VALUE(RIGHT(G799,4)),VLOOKUP(TRIM(MID(G799,FIND(" ",G799)+1,LEN(G799)-FIND(" ",G799)-5)),Справочники!$M$3:$N$14,2,0),VALUE(LEFT(G799,FIND(" ",G799)-1))))),"")</f>
        <v>52637</v>
      </c>
      <c r="M799" t="str">
        <f t="shared" si="260"/>
        <v xml:space="preserve">+7 (903) 234-56-78</v>
      </c>
      <c r="N799" t="str">
        <f t="shared" si="261"/>
        <v>kosogorov@gmail</v>
      </c>
      <c r="O799" t="str">
        <f t="shared" si="262"/>
        <v xml:space="preserve">Ошибка Email</v>
      </c>
      <c r="P799" t="str">
        <f>IFERROR(VLOOKUP(TRIM(SUBSTITUTE(SUBSTITUTE(" "&amp;F799," г "," "),"г.","")),Справочники!$J$3:$K$102,2,0),TRIM(SUBSTITUTE(SUBSTITUTE(" "&amp;F799," г "," "),"г.","")))</f>
        <v>Уссурийск</v>
      </c>
    </row>
    <row r="800">
      <c r="A800" s="3" t="s">
        <v>3594</v>
      </c>
      <c r="B800" s="3" t="s">
        <v>7184</v>
      </c>
      <c r="C800" s="3" t="s">
        <v>7185</v>
      </c>
      <c r="D800" s="3" t="s">
        <v>4057</v>
      </c>
      <c r="E800" s="3" t="s">
        <v>7186</v>
      </c>
      <c r="F800" s="3" t="s">
        <v>4320</v>
      </c>
      <c r="G800" s="3" t="s">
        <v>7187</v>
      </c>
      <c r="H800" t="str">
        <f t="shared" si="257"/>
        <v xml:space="preserve">Свиридова Мария Павловна</v>
      </c>
      <c r="I800" s="5">
        <f>IFERROR(IF(ISNUMBER(FIND("-",C800)),DATE(VALUE(LEFT(C800,4)),VALUE(MID(C800,6,2)),VALUE(RIGHT(C800,2))),IF(ISNUMBER(FIND(".",C800)),DATE(VALUE(RIGHT(C800,4)),VALUE(MID(C800,4,2)),VALUE(LEFT(C800,2))),DATE(VALUE(RIGHT(C800,4)),VLOOKUP(TRIM(MID(C800,FIND(" ",C800)+1,LEN(C800)-FIND(" ",C800)-5)),Справочники!$M$3:$N$14,2,0),VALUE(LEFT(C800,FIND(" ",C800)-1))))),"")</f>
        <v>30984</v>
      </c>
      <c r="J800" s="6">
        <f t="shared" si="258"/>
        <v>41</v>
      </c>
      <c r="K800" t="str">
        <f t="shared" si="259"/>
        <v>ОК</v>
      </c>
      <c r="L800" s="5">
        <f>IFERROR(IF(ISNUMBER(FIND("-",G800)),DATE(VALUE(LEFT(G800,4)),VALUE(MID(G800,6,2)),VALUE(RIGHT(G800,2))),IF(ISNUMBER(FIND(".",G800)),DATE(VALUE(RIGHT(G800,4)),VALUE(MID(G800,4,2)),VALUE(LEFT(G800,2))),DATE(VALUE(RIGHT(G800,4)),VLOOKUP(TRIM(MID(G800,FIND(" ",G800)+1,LEN(G800)-FIND(" ",G800)-5)),Справочники!$M$3:$N$14,2,0),VALUE(LEFT(G800,FIND(" ",G800)-1))))),"")</f>
        <v>52657</v>
      </c>
      <c r="M800" t="str">
        <f t="shared" si="260"/>
        <v xml:space="preserve">+7 (903) 234-56-78</v>
      </c>
      <c r="N800" t="str">
        <f t="shared" si="261"/>
        <v>sviridova@mail</v>
      </c>
      <c r="O800" t="str">
        <f t="shared" si="262"/>
        <v xml:space="preserve">Ошибка Email</v>
      </c>
      <c r="P800" t="str">
        <f>IFERROR(VLOOKUP(TRIM(SUBSTITUTE(SUBSTITUTE(" "&amp;F800," г "," "),"г.","")),Справочники!$J$3:$K$102,2,0),TRIM(SUBSTITUTE(SUBSTITUTE(" "&amp;F800," г "," "),"г.","")))</f>
        <v>Миасс</v>
      </c>
    </row>
    <row r="801">
      <c r="A801" s="3" t="s">
        <v>3595</v>
      </c>
      <c r="B801" s="3" t="s">
        <v>7188</v>
      </c>
      <c r="C801" s="3" t="s">
        <v>7189</v>
      </c>
      <c r="D801" s="3" t="s">
        <v>1712</v>
      </c>
      <c r="E801" s="3" t="s">
        <v>7190</v>
      </c>
      <c r="F801" s="3" t="s">
        <v>4325</v>
      </c>
      <c r="G801" s="3" t="s">
        <v>7191</v>
      </c>
      <c r="H801" t="str">
        <f t="shared" si="257"/>
        <v xml:space="preserve">Бондарь Денис Викторович</v>
      </c>
      <c r="I801" s="5">
        <f>IFERROR(IF(ISNUMBER(FIND("-",C801)),DATE(VALUE(LEFT(C801,4)),VALUE(MID(C801,6,2)),VALUE(RIGHT(C801,2))),IF(ISNUMBER(FIND(".",C801)),DATE(VALUE(RIGHT(C801,4)),VALUE(MID(C801,4,2)),VALUE(LEFT(C801,2))),DATE(VALUE(RIGHT(C801,4)),VLOOKUP(TRIM(MID(C801,FIND(" ",C801)+1,LEN(C801)-FIND(" ",C801)-5)),Справочники!$M$3:$N$14,2,0),VALUE(LEFT(C801,FIND(" ",C801)-1))))),"")</f>
        <v>33031</v>
      </c>
      <c r="J801" s="6">
        <f t="shared" si="258"/>
        <v>36</v>
      </c>
      <c r="K801" t="str">
        <f t="shared" si="259"/>
        <v>ОК</v>
      </c>
      <c r="L801" s="5">
        <f>IFERROR(IF(ISNUMBER(FIND("-",G801)),DATE(VALUE(LEFT(G801,4)),VALUE(MID(G801,6,2)),VALUE(RIGHT(G801,2))),IF(ISNUMBER(FIND(".",G801)),DATE(VALUE(RIGHT(G801,4)),VALUE(MID(G801,4,2)),VALUE(LEFT(G801,2))),DATE(VALUE(RIGHT(G801,4)),VLOOKUP(TRIM(MID(G801,FIND(" ",G801)+1,LEN(G801)-FIND(" ",G801)-5)),Справочники!$M$3:$N$14,2,0),VALUE(LEFT(G801,FIND(" ",G801)-1))))),"")</f>
        <v>52671</v>
      </c>
      <c r="M801" t="str">
        <f t="shared" si="260"/>
        <v xml:space="preserve">+7 (903) 234-56-78</v>
      </c>
      <c r="N801" t="str">
        <f t="shared" si="261"/>
        <v>bondar@yandex</v>
      </c>
      <c r="O801" t="str">
        <f t="shared" si="262"/>
        <v xml:space="preserve">Ошибка Email</v>
      </c>
      <c r="P801" t="str">
        <f>IFERROR(VLOOKUP(TRIM(SUBSTITUTE(SUBSTITUTE(" "&amp;F801," г "," "),"г.","")),Справочники!$J$3:$K$102,2,0),TRIM(SUBSTITUTE(SUBSTITUTE(" "&amp;F801," г "," "),"г.","")))</f>
        <v>Кызыл</v>
      </c>
    </row>
    <row r="802">
      <c r="A802" s="3" t="s">
        <v>3597</v>
      </c>
      <c r="B802" s="3" t="s">
        <v>7192</v>
      </c>
      <c r="C802" s="3" t="s">
        <v>7193</v>
      </c>
      <c r="D802" s="3" t="s">
        <v>1584</v>
      </c>
      <c r="E802" s="3" t="s">
        <v>4459</v>
      </c>
      <c r="F802" s="3" t="s">
        <v>4330</v>
      </c>
      <c r="G802" s="3" t="s">
        <v>7194</v>
      </c>
      <c r="H802" t="str">
        <f t="shared" si="257"/>
        <v xml:space="preserve">Кузьмина Ольга Сергеевна</v>
      </c>
      <c r="I802" s="5">
        <f>IFERROR(IF(ISNUMBER(FIND("-",C802)),DATE(VALUE(LEFT(C802,4)),VALUE(MID(C802,6,2)),VALUE(RIGHT(C802,2))),IF(ISNUMBER(FIND(".",C802)),DATE(VALUE(RIGHT(C802,4)),VALUE(MID(C802,4,2)),VALUE(LEFT(C802,2))),DATE(VALUE(RIGHT(C802,4)),VLOOKUP(TRIM(MID(C802,FIND(" ",C802)+1,LEN(C802)-FIND(" ",C802)-5)),Справочники!$M$3:$N$14,2,0),VALUE(LEFT(C802,FIND(" ",C802)-1))))),"")</f>
        <v>27778</v>
      </c>
      <c r="J802" s="6">
        <f t="shared" si="258"/>
        <v>50</v>
      </c>
      <c r="K802" t="str">
        <f t="shared" si="259"/>
        <v>ОК</v>
      </c>
      <c r="L802" s="5">
        <f>IFERROR(IF(ISNUMBER(FIND("-",G802)),DATE(VALUE(LEFT(G802,4)),VALUE(MID(G802,6,2)),VALUE(RIGHT(G802,2))),IF(ISNUMBER(FIND(".",G802)),DATE(VALUE(RIGHT(G802,4)),VALUE(MID(G802,4,2)),VALUE(LEFT(G802,2))),DATE(VALUE(RIGHT(G802,4)),VLOOKUP(TRIM(MID(G802,FIND(" ",G802)+1,LEN(G802)-FIND(" ",G802)-5)),Справочники!$M$3:$N$14,2,0),VALUE(LEFT(G802,FIND(" ",G802)-1))))),"")</f>
        <v>52671</v>
      </c>
      <c r="M802" t="str">
        <f t="shared" si="260"/>
        <v xml:space="preserve">+7 (903) 345-67-89</v>
      </c>
      <c r="N802" t="str">
        <f t="shared" si="261"/>
        <v>kuzmina@gmail</v>
      </c>
      <c r="O802" t="str">
        <f t="shared" si="262"/>
        <v xml:space="preserve">Ошибка Email</v>
      </c>
      <c r="P802" t="str">
        <f>IFERROR(VLOOKUP(TRIM(SUBSTITUTE(SUBSTITUTE(" "&amp;F802," г "," "),"г.","")),Справочники!$J$3:$K$102,2,0),TRIM(SUBSTITUTE(SUBSTITUTE(" "&amp;F802," г "," "),"г.","")))</f>
        <v>Калининград</v>
      </c>
    </row>
    <row r="803">
      <c r="A803" s="3" t="s">
        <v>3599</v>
      </c>
      <c r="B803" s="3" t="s">
        <v>7195</v>
      </c>
      <c r="C803" s="3" t="s">
        <v>4779</v>
      </c>
      <c r="D803" s="3" t="s">
        <v>4073</v>
      </c>
      <c r="E803" s="3" t="s">
        <v>7196</v>
      </c>
      <c r="F803" s="3" t="s">
        <v>4335</v>
      </c>
      <c r="G803" s="3" t="s">
        <v>7197</v>
      </c>
      <c r="H803" t="str">
        <f t="shared" si="257"/>
        <v xml:space="preserve">Федосов Илья Алексеевич</v>
      </c>
      <c r="I803" s="5">
        <f>IFERROR(IF(ISNUMBER(FIND("-",C803)),DATE(VALUE(LEFT(C803,4)),VALUE(MID(C803,6,2)),VALUE(RIGHT(C803,2))),IF(ISNUMBER(FIND(".",C803)),DATE(VALUE(RIGHT(C803,4)),VALUE(MID(C803,4,2)),VALUE(LEFT(C803,2))),DATE(VALUE(RIGHT(C803,4)),VLOOKUP(TRIM(MID(C803,FIND(" ",C803)+1,LEN(C803)-FIND(" ",C803)-5)),Справочники!$M$3:$N$14,2,0),VALUE(LEFT(C803,FIND(" ",C803)-1))))),"")</f>
        <v>30225</v>
      </c>
      <c r="J803" s="6">
        <f t="shared" si="258"/>
        <v>44</v>
      </c>
      <c r="K803" t="str">
        <f t="shared" si="259"/>
        <v>ОК</v>
      </c>
      <c r="L803" s="5">
        <f>IFERROR(IF(ISNUMBER(FIND("-",G803)),DATE(VALUE(LEFT(G803,4)),VALUE(MID(G803,6,2)),VALUE(RIGHT(G803,2))),IF(ISNUMBER(FIND(".",G803)),DATE(VALUE(RIGHT(G803,4)),VALUE(MID(G803,4,2)),VALUE(LEFT(G803,2))),DATE(VALUE(RIGHT(G803,4)),VLOOKUP(TRIM(MID(G803,FIND(" ",G803)+1,LEN(G803)-FIND(" ",G803)-5)),Справочники!$M$3:$N$14,2,0),VALUE(LEFT(G803,FIND(" ",G803)-1))))),"")</f>
        <v>52688</v>
      </c>
      <c r="M803" t="str">
        <f t="shared" si="260"/>
        <v xml:space="preserve">+7 (903) 345-67-89</v>
      </c>
      <c r="N803" t="str">
        <f t="shared" si="261"/>
        <v>fedosov@mail</v>
      </c>
      <c r="O803" t="str">
        <f t="shared" si="262"/>
        <v xml:space="preserve">Ошибка Email</v>
      </c>
      <c r="P803" t="str">
        <f>IFERROR(VLOOKUP(TRIM(SUBSTITUTE(SUBSTITUTE(" "&amp;F803," г "," "),"г.","")),Справочники!$J$3:$K$102,2,0),TRIM(SUBSTITUTE(SUBSTITUTE(" "&amp;F803," г "," "),"г.","")))</f>
        <v>Петрозаводск</v>
      </c>
    </row>
    <row r="804">
      <c r="A804" s="3" t="s">
        <v>3602</v>
      </c>
      <c r="B804" s="3" t="s">
        <v>7198</v>
      </c>
      <c r="C804" s="3" t="s">
        <v>7199</v>
      </c>
      <c r="D804" s="3" t="s">
        <v>4079</v>
      </c>
      <c r="E804" s="3" t="s">
        <v>7200</v>
      </c>
      <c r="F804" s="3" t="s">
        <v>4340</v>
      </c>
      <c r="G804" s="3" t="s">
        <v>7201</v>
      </c>
      <c r="H804" t="str">
        <f t="shared" ref="H804:H867" si="263">PROPER(TRIM(B804))</f>
        <v xml:space="preserve">Иващенко Екатерина Владимировна</v>
      </c>
      <c r="I804" s="5">
        <f>IFERROR(IF(ISNUMBER(FIND("-",C804)),DATE(VALUE(LEFT(C804,4)),VALUE(MID(C804,6,2)),VALUE(RIGHT(C804,2))),IF(ISNUMBER(FIND(".",C804)),DATE(VALUE(RIGHT(C804,4)),VALUE(MID(C804,4,2)),VALUE(LEFT(C804,2))),DATE(VALUE(RIGHT(C804,4)),VLOOKUP(TRIM(MID(C804,FIND(" ",C804)+1,LEN(C804)-FIND(" ",C804)-5)),Справочники!$M$3:$N$14,2,0),VALUE(LEFT(C804,FIND(" ",C804)-1))))),"")</f>
        <v>32461</v>
      </c>
      <c r="J804" s="6">
        <f t="shared" ref="J804:J867" si="264">IF(I804="","",DATEDIF(I804,TODAY(),"Y"))</f>
        <v>37</v>
      </c>
      <c r="K804" t="str">
        <f t="shared" ref="K804:K867" si="265">IF(OR(I804="",J804&lt;18,J804&gt;120),"Ошибка даты рождения","ОК")</f>
        <v>ОК</v>
      </c>
      <c r="L804" s="5">
        <f>IFERROR(IF(ISNUMBER(FIND("-",G804)),DATE(VALUE(LEFT(G804,4)),VALUE(MID(G804,6,2)),VALUE(RIGHT(G804,2))),IF(ISNUMBER(FIND(".",G804)),DATE(VALUE(RIGHT(G804,4)),VALUE(MID(G804,4,2)),VALUE(LEFT(G804,2))),DATE(VALUE(RIGHT(G804,4)),VLOOKUP(TRIM(MID(G804,FIND(" ",G804)+1,LEN(G804)-FIND(" ",G804)-5)),Справочники!$M$3:$N$14,2,0),VALUE(LEFT(G804,FIND(" ",G804)-1))))),"")</f>
        <v>52697</v>
      </c>
      <c r="M804" t="str">
        <f t="shared" ref="M804:M867" si="266">IF(LEN(SUBSTITUTE(SUBSTITUTE(SUBSTITUTE(SUBSTITUTE(SUBSTITUTE(D804,"+",""),"-","")," ",""),"(",""),")",""))&lt;10,"Ошибка телефона","+7 ("&amp;MID(RIGHT(SUBSTITUTE(SUBSTITUTE(SUBSTITUTE(SUBSTITUTE(SUBSTITUTE(D804,"+",""),"-","")," ",""),"(",""),")",""),10),1,3)&amp;") "&amp;MID(RIGHT(SUBSTITUTE(SUBSTITUTE(SUBSTITUTE(SUBSTITUTE(SUBSTITUTE(D804,"+",""),"-","")," ",""),"(",""),")",""),10),4,3)&amp;"-"&amp;MID(RIGHT(SUBSTITUTE(SUBSTITUTE(SUBSTITUTE(SUBSTITUTE(SUBSTITUTE(D804,"+",""),"-","")," ",""),"(",""),")",""),10),7,2)&amp;"-"&amp;RIGHT(SUBSTITUTE(SUBSTITUTE(SUBSTITUTE(SUBSTITUTE(SUBSTITUTE(D804,"+",""),"-","")," ",""),"(",""),")",""),2))</f>
        <v xml:space="preserve">+7 (903) 345-67-89</v>
      </c>
      <c r="N804" t="str">
        <f t="shared" ref="N804:N867" si="267">LOWER(SUBSTITUTE(TRIM(E804)," ",""))</f>
        <v>ivaschenko@yandex</v>
      </c>
      <c r="O804" t="str">
        <f t="shared" ref="O804:O867" si="268">IF(AND(ISNUMBER(FIND("@",N804)),ISNUMBER(FIND(".",N804,FIND("@",N804)+2))),"ОК","Ошибка Email")</f>
        <v xml:space="preserve">Ошибка Email</v>
      </c>
      <c r="P804" t="str">
        <f>IFERROR(VLOOKUP(TRIM(SUBSTITUTE(SUBSTITUTE(" "&amp;F804," г "," "),"г.","")),Справочники!$J$3:$K$102,2,0),TRIM(SUBSTITUTE(SUBSTITUTE(" "&amp;F804," г "," "),"г.","")))</f>
        <v>Рубцовск</v>
      </c>
    </row>
    <row r="805">
      <c r="A805" s="3" t="s">
        <v>3603</v>
      </c>
      <c r="B805" s="3" t="s">
        <v>7202</v>
      </c>
      <c r="C805" s="3" t="s">
        <v>7203</v>
      </c>
      <c r="D805" s="3" t="s">
        <v>4085</v>
      </c>
      <c r="E805" s="3" t="s">
        <v>7204</v>
      </c>
      <c r="F805" s="3" t="s">
        <v>4345</v>
      </c>
      <c r="G805" s="3" t="s">
        <v>7205</v>
      </c>
      <c r="H805" t="str">
        <f t="shared" si="263"/>
        <v xml:space="preserve">Поляков Андрей Олегович</v>
      </c>
      <c r="I805" s="5">
        <f>IFERROR(IF(ISNUMBER(FIND("-",C805)),DATE(VALUE(LEFT(C805,4)),VALUE(MID(C805,6,2)),VALUE(RIGHT(C805,2))),IF(ISNUMBER(FIND(".",C805)),DATE(VALUE(RIGHT(C805,4)),VALUE(MID(C805,4,2)),VALUE(LEFT(C805,2))),DATE(VALUE(RIGHT(C805,4)),VLOOKUP(TRIM(MID(C805,FIND(" ",C805)+1,LEN(C805)-FIND(" ",C805)-5)),Справочники!$M$3:$N$14,2,0),VALUE(LEFT(C805,FIND(" ",C805)-1))))),"")</f>
        <v>27578</v>
      </c>
      <c r="J805" s="6">
        <f t="shared" si="264"/>
        <v>51</v>
      </c>
      <c r="K805" t="str">
        <f t="shared" si="265"/>
        <v>ОК</v>
      </c>
      <c r="L805" s="5">
        <f>IFERROR(IF(ISNUMBER(FIND("-",G805)),DATE(VALUE(LEFT(G805,4)),VALUE(MID(G805,6,2)),VALUE(RIGHT(G805,2))),IF(ISNUMBER(FIND(".",G805)),DATE(VALUE(RIGHT(G805,4)),VALUE(MID(G805,4,2)),VALUE(LEFT(G805,2))),DATE(VALUE(RIGHT(G805,4)),VLOOKUP(TRIM(MID(G805,FIND(" ",G805)+1,LEN(G805)-FIND(" ",G805)-5)),Справочники!$M$3:$N$14,2,0),VALUE(LEFT(G805,FIND(" ",G805)-1))))),"")</f>
        <v>52697</v>
      </c>
      <c r="M805" t="str">
        <f t="shared" si="266"/>
        <v xml:space="preserve">+7 (903) 456-78-90</v>
      </c>
      <c r="N805" t="str">
        <f t="shared" si="267"/>
        <v>polyakov@gmail</v>
      </c>
      <c r="O805" t="str">
        <f t="shared" si="268"/>
        <v xml:space="preserve">Ошибка Email</v>
      </c>
      <c r="P805" t="str">
        <f>IFERROR(VLOOKUP(TRIM(SUBSTITUTE(SUBSTITUTE(" "&amp;F805," г "," "),"г.","")),Справочники!$J$3:$K$102,2,0),TRIM(SUBSTITUTE(SUBSTITUTE(" "&amp;F805," г "," "),"г.","")))</f>
        <v>Элиста</v>
      </c>
    </row>
    <row r="806">
      <c r="A806" s="3" t="s">
        <v>3605</v>
      </c>
      <c r="B806" s="3" t="s">
        <v>7206</v>
      </c>
      <c r="C806" s="3" t="s">
        <v>7207</v>
      </c>
      <c r="D806" s="3" t="s">
        <v>1591</v>
      </c>
      <c r="E806" s="3" t="s">
        <v>4665</v>
      </c>
      <c r="F806" s="3" t="s">
        <v>4350</v>
      </c>
      <c r="G806" s="3" t="s">
        <v>7208</v>
      </c>
      <c r="H806" t="str">
        <f t="shared" si="263"/>
        <v xml:space="preserve">Павлова Мария Павловна</v>
      </c>
      <c r="I806" s="5">
        <f>IFERROR(IF(ISNUMBER(FIND("-",C806)),DATE(VALUE(LEFT(C806,4)),VALUE(MID(C806,6,2)),VALUE(RIGHT(C806,2))),IF(ISNUMBER(FIND(".",C806)),DATE(VALUE(RIGHT(C806,4)),VALUE(MID(C806,4,2)),VALUE(LEFT(C806,2))),DATE(VALUE(RIGHT(C806,4)),VLOOKUP(TRIM(MID(C806,FIND(" ",C806)+1,LEN(C806)-FIND(" ",C806)-5)),Справочники!$M$3:$N$14,2,0),VALUE(LEFT(C806,FIND(" ",C806)-1))))),"")</f>
        <v>29638</v>
      </c>
      <c r="J806" s="6">
        <f t="shared" si="264"/>
        <v>45</v>
      </c>
      <c r="K806" t="str">
        <f t="shared" si="265"/>
        <v>ОК</v>
      </c>
      <c r="L806" s="5">
        <f>IFERROR(IF(ISNUMBER(FIND("-",G806)),DATE(VALUE(LEFT(G806,4)),VALUE(MID(G806,6,2)),VALUE(RIGHT(G806,2))),IF(ISNUMBER(FIND(".",G806)),DATE(VALUE(RIGHT(G806,4)),VALUE(MID(G806,4,2)),VALUE(LEFT(G806,2))),DATE(VALUE(RIGHT(G806,4)),VLOOKUP(TRIM(MID(G806,FIND(" ",G806)+1,LEN(G806)-FIND(" ",G806)-5)),Справочники!$M$3:$N$14,2,0),VALUE(LEFT(G806,FIND(" ",G806)-1))))),"")</f>
        <v>52718</v>
      </c>
      <c r="M806" t="str">
        <f t="shared" si="266"/>
        <v xml:space="preserve">+7 (903) 456-78-90</v>
      </c>
      <c r="N806" t="str">
        <f t="shared" si="267"/>
        <v>pavlova@mail</v>
      </c>
      <c r="O806" t="str">
        <f t="shared" si="268"/>
        <v xml:space="preserve">Ошибка Email</v>
      </c>
      <c r="P806" t="str">
        <f>IFERROR(VLOOKUP(TRIM(SUBSTITUTE(SUBSTITUTE(" "&amp;F806," г "," "),"г.","")),Справочники!$J$3:$K$102,2,0),TRIM(SUBSTITUTE(SUBSTITUTE(" "&amp;F806," г "," "),"г.","")))</f>
        <v>Орск</v>
      </c>
    </row>
    <row r="807">
      <c r="A807" s="3" t="s">
        <v>3606</v>
      </c>
      <c r="B807" s="3" t="s">
        <v>7209</v>
      </c>
      <c r="C807" s="3" t="s">
        <v>7210</v>
      </c>
      <c r="D807" s="3" t="s">
        <v>1660</v>
      </c>
      <c r="E807" s="3" t="s">
        <v>7211</v>
      </c>
      <c r="F807" s="3" t="s">
        <v>4355</v>
      </c>
      <c r="G807" s="3" t="s">
        <v>7212</v>
      </c>
      <c r="H807" t="str">
        <f t="shared" si="263"/>
        <v xml:space="preserve">Трунов Денис Сергеевич</v>
      </c>
      <c r="I807" s="5">
        <f>IFERROR(IF(ISNUMBER(FIND("-",C807)),DATE(VALUE(LEFT(C807,4)),VALUE(MID(C807,6,2)),VALUE(RIGHT(C807,2))),IF(ISNUMBER(FIND(".",C807)),DATE(VALUE(RIGHT(C807,4)),VALUE(MID(C807,4,2)),VALUE(LEFT(C807,2))),DATE(VALUE(RIGHT(C807,4)),VLOOKUP(TRIM(MID(C807,FIND(" ",C807)+1,LEN(C807)-FIND(" ",C807)-5)),Справочники!$M$3:$N$14,2,0),VALUE(LEFT(C807,FIND(" ",C807)-1))))),"")</f>
        <v>31770</v>
      </c>
      <c r="J807" s="6">
        <f t="shared" si="264"/>
        <v>39</v>
      </c>
      <c r="K807" t="str">
        <f t="shared" si="265"/>
        <v>ОК</v>
      </c>
      <c r="L807" s="5">
        <f>IFERROR(IF(ISNUMBER(FIND("-",G807)),DATE(VALUE(LEFT(G807,4)),VALUE(MID(G807,6,2)),VALUE(RIGHT(G807,2))),IF(ISNUMBER(FIND(".",G807)),DATE(VALUE(RIGHT(G807,4)),VALUE(MID(G807,4,2)),VALUE(LEFT(G807,2))),DATE(VALUE(RIGHT(G807,4)),VLOOKUP(TRIM(MID(G807,FIND(" ",G807)+1,LEN(G807)-FIND(" ",G807)-5)),Справочники!$M$3:$N$14,2,0),VALUE(LEFT(G807,FIND(" ",G807)-1))))),"")</f>
        <v>52732</v>
      </c>
      <c r="M807" t="str">
        <f t="shared" si="266"/>
        <v xml:space="preserve">+7 (903) 456-78-90</v>
      </c>
      <c r="N807" t="str">
        <f t="shared" si="267"/>
        <v>trunov@yandex</v>
      </c>
      <c r="O807" t="str">
        <f t="shared" si="268"/>
        <v xml:space="preserve">Ошибка Email</v>
      </c>
      <c r="P807" t="str">
        <f>IFERROR(VLOOKUP(TRIM(SUBSTITUTE(SUBSTITUTE(" "&amp;F807," г "," "),"г.","")),Справочники!$J$3:$K$102,2,0),TRIM(SUBSTITUTE(SUBSTITUTE(" "&amp;F807," г "," "),"г.","")))</f>
        <v>Нижневартовск</v>
      </c>
    </row>
    <row r="808">
      <c r="A808" s="3" t="s">
        <v>3608</v>
      </c>
      <c r="B808" s="3" t="s">
        <v>7213</v>
      </c>
      <c r="C808" s="3" t="s">
        <v>7214</v>
      </c>
      <c r="D808" s="3" t="s">
        <v>3984</v>
      </c>
      <c r="E808" s="3" t="s">
        <v>7215</v>
      </c>
      <c r="F808" s="3" t="s">
        <v>4360</v>
      </c>
      <c r="G808" s="3" t="s">
        <v>7216</v>
      </c>
      <c r="H808" t="str">
        <f t="shared" si="263"/>
        <v xml:space="preserve">Байкова Ольга Владимировна</v>
      </c>
      <c r="I808" s="5">
        <f>IFERROR(IF(ISNUMBER(FIND("-",C808)),DATE(VALUE(LEFT(C808,4)),VALUE(MID(C808,6,2)),VALUE(RIGHT(C808,2))),IF(ISNUMBER(FIND(".",C808)),DATE(VALUE(RIGHT(C808,4)),VALUE(MID(C808,4,2)),VALUE(LEFT(C808,2))),DATE(VALUE(RIGHT(C808,4)),VLOOKUP(TRIM(MID(C808,FIND(" ",C808)+1,LEN(C808)-FIND(" ",C808)-5)),Справочники!$M$3:$N$14,2,0),VALUE(LEFT(C808,FIND(" ",C808)-1))))),"")</f>
        <v>26762</v>
      </c>
      <c r="J808" s="6">
        <f t="shared" si="264"/>
        <v>53</v>
      </c>
      <c r="K808" t="str">
        <f t="shared" si="265"/>
        <v>ОК</v>
      </c>
      <c r="L808" s="5">
        <f>IFERROR(IF(ISNUMBER(FIND("-",G808)),DATE(VALUE(LEFT(G808,4)),VALUE(MID(G808,6,2)),VALUE(RIGHT(G808,2))),IF(ISNUMBER(FIND(".",G808)),DATE(VALUE(RIGHT(G808,4)),VALUE(MID(G808,4,2)),VALUE(LEFT(G808,2))),DATE(VALUE(RIGHT(G808,4)),VLOOKUP(TRIM(MID(G808,FIND(" ",G808)+1,LEN(G808)-FIND(" ",G808)-5)),Справочники!$M$3:$N$14,2,0),VALUE(LEFT(G808,FIND(" ",G808)-1))))),"")</f>
        <v>52732</v>
      </c>
      <c r="M808" t="str">
        <f t="shared" si="266"/>
        <v xml:space="preserve">+7 (903) 567-89-01</v>
      </c>
      <c r="N808" t="str">
        <f t="shared" si="267"/>
        <v>baykova@gmail</v>
      </c>
      <c r="O808" t="str">
        <f t="shared" si="268"/>
        <v xml:space="preserve">Ошибка Email</v>
      </c>
      <c r="P808" t="str">
        <f>IFERROR(VLOOKUP(TRIM(SUBSTITUTE(SUBSTITUTE(" "&amp;F808," г "," "),"г.","")),Справочники!$J$3:$K$102,2,0),TRIM(SUBSTITUTE(SUBSTITUTE(" "&amp;F808," г "," "),"г.","")))</f>
        <v>Новороссийск</v>
      </c>
    </row>
    <row r="809">
      <c r="A809" s="3" t="s">
        <v>3609</v>
      </c>
      <c r="B809" s="3" t="s">
        <v>7217</v>
      </c>
      <c r="C809" s="3" t="s">
        <v>7218</v>
      </c>
      <c r="D809" s="3" t="s">
        <v>3990</v>
      </c>
      <c r="E809" s="3" t="s">
        <v>7219</v>
      </c>
      <c r="F809" s="3" t="s">
        <v>4365</v>
      </c>
      <c r="G809" s="3" t="s">
        <v>7220</v>
      </c>
      <c r="H809" t="str">
        <f t="shared" si="263"/>
        <v xml:space="preserve">Клишин Илья Александрович</v>
      </c>
      <c r="I809" s="5">
        <f>IFERROR(IF(ISNUMBER(FIND("-",C809)),DATE(VALUE(LEFT(C809,4)),VALUE(MID(C809,6,2)),VALUE(RIGHT(C809,2))),IF(ISNUMBER(FIND(".",C809)),DATE(VALUE(RIGHT(C809,4)),VALUE(MID(C809,4,2)),VALUE(LEFT(C809,2))),DATE(VALUE(RIGHT(C809,4)),VLOOKUP(TRIM(MID(C809,FIND(" ",C809)+1,LEN(C809)-FIND(" ",C809)-5)),Справочники!$M$3:$N$14,2,0),VALUE(LEFT(C809,FIND(" ",C809)-1))))),"")</f>
        <v>31303</v>
      </c>
      <c r="J809" s="6">
        <f t="shared" si="264"/>
        <v>41</v>
      </c>
      <c r="K809" t="str">
        <f t="shared" si="265"/>
        <v>ОК</v>
      </c>
      <c r="L809" s="5">
        <f>IFERROR(IF(ISNUMBER(FIND("-",G809)),DATE(VALUE(LEFT(G809,4)),VALUE(MID(G809,6,2)),VALUE(RIGHT(G809,2))),IF(ISNUMBER(FIND(".",G809)),DATE(VALUE(RIGHT(G809,4)),VALUE(MID(G809,4,2)),VALUE(LEFT(G809,2))),DATE(VALUE(RIGHT(G809,4)),VLOOKUP(TRIM(MID(G809,FIND(" ",G809)+1,LEN(G809)-FIND(" ",G809)-5)),Справочники!$M$3:$N$14,2,0),VALUE(LEFT(G809,FIND(" ",G809)-1))))),"")</f>
        <v>52749</v>
      </c>
      <c r="M809" t="str">
        <f t="shared" si="266"/>
        <v xml:space="preserve">+7 (903) 567-89-01</v>
      </c>
      <c r="N809" t="str">
        <f t="shared" si="267"/>
        <v>klishin@mail</v>
      </c>
      <c r="O809" t="str">
        <f t="shared" si="268"/>
        <v xml:space="preserve">Ошибка Email</v>
      </c>
      <c r="P809" t="str">
        <f>IFERROR(VLOOKUP(TRIM(SUBSTITUTE(SUBSTITUTE(" "&amp;F809," г "," "),"г.","")),Справочники!$J$3:$K$102,2,0),TRIM(SUBSTITUTE(SUBSTITUTE(" "&amp;F809," г "," "),"г.","")))</f>
        <v>Химки</v>
      </c>
    </row>
    <row r="810">
      <c r="A810" s="3" t="s">
        <v>3611</v>
      </c>
      <c r="B810" s="3" t="s">
        <v>7221</v>
      </c>
      <c r="C810" s="3" t="s">
        <v>7222</v>
      </c>
      <c r="D810" s="3" t="s">
        <v>1598</v>
      </c>
      <c r="E810" s="3" t="s">
        <v>7223</v>
      </c>
      <c r="F810" s="3" t="s">
        <v>4370</v>
      </c>
      <c r="G810" s="3" t="s">
        <v>7224</v>
      </c>
      <c r="H810" t="str">
        <f t="shared" si="263"/>
        <v xml:space="preserve">Ярцева Екатерина Сергеевна</v>
      </c>
      <c r="I810" s="5">
        <f>IFERROR(IF(ISNUMBER(FIND("-",C810)),DATE(VALUE(LEFT(C810,4)),VALUE(MID(C810,6,2)),VALUE(RIGHT(C810,2))),IF(ISNUMBER(FIND(".",C810)),DATE(VALUE(RIGHT(C810,4)),VALUE(MID(C810,4,2)),VALUE(LEFT(C810,2))),DATE(VALUE(RIGHT(C810,4)),VLOOKUP(TRIM(MID(C810,FIND(" ",C810)+1,LEN(C810)-FIND(" ",C810)-5)),Справочники!$M$3:$N$14,2,0),VALUE(LEFT(C810,FIND(" ",C810)-1))))),"")</f>
        <v>33755</v>
      </c>
      <c r="J810" s="6">
        <f t="shared" si="264"/>
        <v>34</v>
      </c>
      <c r="K810" t="str">
        <f t="shared" si="265"/>
        <v>ОК</v>
      </c>
      <c r="L810" s="5">
        <f>IFERROR(IF(ISNUMBER(FIND("-",G810)),DATE(VALUE(LEFT(G810,4)),VALUE(MID(G810,6,2)),VALUE(RIGHT(G810,2))),IF(ISNUMBER(FIND(".",G810)),DATE(VALUE(RIGHT(G810,4)),VALUE(MID(G810,4,2)),VALUE(LEFT(G810,2))),DATE(VALUE(RIGHT(G810,4)),VLOOKUP(TRIM(MID(G810,FIND(" ",G810)+1,LEN(G810)-FIND(" ",G810)-5)),Справочники!$M$3:$N$14,2,0),VALUE(LEFT(G810,FIND(" ",G810)-1))))),"")</f>
        <v>52758</v>
      </c>
      <c r="M810" t="str">
        <f t="shared" si="266"/>
        <v xml:space="preserve">+7 (903) 567-89-01</v>
      </c>
      <c r="N810" t="str">
        <f t="shared" si="267"/>
        <v>yartseva@yandex</v>
      </c>
      <c r="O810" t="str">
        <f t="shared" si="268"/>
        <v xml:space="preserve">Ошибка Email</v>
      </c>
      <c r="P810" t="str">
        <f>IFERROR(VLOOKUP(TRIM(SUBSTITUTE(SUBSTITUTE(" "&amp;F810," г "," "),"г.","")),Справочники!$J$3:$K$102,2,0),TRIM(SUBSTITUTE(SUBSTITUTE(" "&amp;F810," г "," "),"г.","")))</f>
        <v>Подольск</v>
      </c>
    </row>
    <row r="811">
      <c r="A811" s="3" t="s">
        <v>3612</v>
      </c>
      <c r="B811" s="3" t="s">
        <v>7225</v>
      </c>
      <c r="C811" s="3" t="s">
        <v>7226</v>
      </c>
      <c r="D811" s="3" t="s">
        <v>4116</v>
      </c>
      <c r="E811" s="3" t="s">
        <v>7227</v>
      </c>
      <c r="F811" s="3" t="s">
        <v>4375</v>
      </c>
      <c r="G811" s="3" t="s">
        <v>7228</v>
      </c>
      <c r="H811" t="str">
        <f t="shared" si="263"/>
        <v xml:space="preserve">Касаткин Андрей Павлович</v>
      </c>
      <c r="I811" s="5">
        <f>IFERROR(IF(ISNUMBER(FIND("-",C811)),DATE(VALUE(LEFT(C811,4)),VALUE(MID(C811,6,2)),VALUE(RIGHT(C811,2))),IF(ISNUMBER(FIND(".",C811)),DATE(VALUE(RIGHT(C811,4)),VALUE(MID(C811,4,2)),VALUE(LEFT(C811,2))),DATE(VALUE(RIGHT(C811,4)),VLOOKUP(TRIM(MID(C811,FIND(" ",C811)+1,LEN(C811)-FIND(" ",C811)-5)),Справочники!$M$3:$N$14,2,0),VALUE(LEFT(C811,FIND(" ",C811)-1))))),"")</f>
        <v>28704</v>
      </c>
      <c r="J811" s="6">
        <f t="shared" si="264"/>
        <v>48</v>
      </c>
      <c r="K811" t="str">
        <f t="shared" si="265"/>
        <v>ОК</v>
      </c>
      <c r="L811" s="5">
        <f>IFERROR(IF(ISNUMBER(FIND("-",G811)),DATE(VALUE(LEFT(G811,4)),VALUE(MID(G811,6,2)),VALUE(RIGHT(G811,2))),IF(ISNUMBER(FIND(".",G811)),DATE(VALUE(RIGHT(G811,4)),VALUE(MID(G811,4,2)),VALUE(LEFT(G811,2))),DATE(VALUE(RIGHT(G811,4)),VLOOKUP(TRIM(MID(G811,FIND(" ",G811)+1,LEN(G811)-FIND(" ",G811)-5)),Справочники!$M$3:$N$14,2,0),VALUE(LEFT(G811,FIND(" ",G811)-1))))),"")</f>
        <v>52758</v>
      </c>
      <c r="M811" t="str">
        <f t="shared" si="266"/>
        <v xml:space="preserve">+7 (903) 678-90-12</v>
      </c>
      <c r="N811" t="str">
        <f t="shared" si="267"/>
        <v>kasatkin@gmail</v>
      </c>
      <c r="O811" t="str">
        <f t="shared" si="268"/>
        <v xml:space="preserve">Ошибка Email</v>
      </c>
      <c r="P811" t="str">
        <f>IFERROR(VLOOKUP(TRIM(SUBSTITUTE(SUBSTITUTE(" "&amp;F811," г "," "),"г.","")),Справочники!$J$3:$K$102,2,0),TRIM(SUBSTITUTE(SUBSTITUTE(" "&amp;F811," г "," "),"г.","")))</f>
        <v>Балашиха</v>
      </c>
    </row>
    <row r="812">
      <c r="A812" s="3" t="s">
        <v>3614</v>
      </c>
      <c r="B812" s="3" t="s">
        <v>7229</v>
      </c>
      <c r="C812" s="3" t="s">
        <v>7230</v>
      </c>
      <c r="D812" s="3" t="s">
        <v>4122</v>
      </c>
      <c r="E812" s="3" t="s">
        <v>7231</v>
      </c>
      <c r="F812" s="3" t="s">
        <v>4380</v>
      </c>
      <c r="G812" s="3" t="s">
        <v>7232</v>
      </c>
      <c r="H812" t="str">
        <f t="shared" si="263"/>
        <v xml:space="preserve">Мещерякова Мария Олеговна</v>
      </c>
      <c r="I812" s="5">
        <f>IFERROR(IF(ISNUMBER(FIND("-",C812)),DATE(VALUE(LEFT(C812,4)),VALUE(MID(C812,6,2)),VALUE(RIGHT(C812,2))),IF(ISNUMBER(FIND(".",C812)),DATE(VALUE(RIGHT(C812,4)),VALUE(MID(C812,4,2)),VALUE(LEFT(C812,2))),DATE(VALUE(RIGHT(C812,4)),VLOOKUP(TRIM(MID(C812,FIND(" ",C812)+1,LEN(C812)-FIND(" ",C812)-5)),Справочники!$M$3:$N$14,2,0),VALUE(LEFT(C812,FIND(" ",C812)-1))))),"")</f>
        <v>30996</v>
      </c>
      <c r="J812" s="6">
        <f t="shared" si="264"/>
        <v>41</v>
      </c>
      <c r="K812" t="str">
        <f t="shared" si="265"/>
        <v>ОК</v>
      </c>
      <c r="L812" s="5">
        <f>IFERROR(IF(ISNUMBER(FIND("-",G812)),DATE(VALUE(LEFT(G812,4)),VALUE(MID(G812,6,2)),VALUE(RIGHT(G812,2))),IF(ISNUMBER(FIND(".",G812)),DATE(VALUE(RIGHT(G812,4)),VALUE(MID(G812,4,2)),VALUE(LEFT(G812,2))),DATE(VALUE(RIGHT(G812,4)),VLOOKUP(TRIM(MID(G812,FIND(" ",G812)+1,LEN(G812)-FIND(" ",G812)-5)),Справочники!$M$3:$N$14,2,0),VALUE(LEFT(G812,FIND(" ",G812)-1))))),"")</f>
        <v>52779</v>
      </c>
      <c r="M812" t="str">
        <f t="shared" si="266"/>
        <v xml:space="preserve">+7 (903) 678-90-12</v>
      </c>
      <c r="N812" t="str">
        <f t="shared" si="267"/>
        <v>mescheryakovа@mail</v>
      </c>
      <c r="O812" t="str">
        <f t="shared" si="268"/>
        <v xml:space="preserve">Ошибка Email</v>
      </c>
      <c r="P812" t="str">
        <f>IFERROR(VLOOKUP(TRIM(SUBSTITUTE(SUBSTITUTE(" "&amp;F812," г "," "),"г.","")),Справочники!$J$3:$K$102,2,0),TRIM(SUBSTITUTE(SUBSTITUTE(" "&amp;F812," г "," "),"г.","")))</f>
        <v>Сургут</v>
      </c>
    </row>
    <row r="813">
      <c r="A813" s="3" t="s">
        <v>3615</v>
      </c>
      <c r="B813" s="3" t="s">
        <v>7233</v>
      </c>
      <c r="C813" s="3" t="s">
        <v>7234</v>
      </c>
      <c r="D813" s="3" t="s">
        <v>1605</v>
      </c>
      <c r="E813" s="3" t="s">
        <v>7235</v>
      </c>
      <c r="F813" s="3" t="s">
        <v>4385</v>
      </c>
      <c r="G813" s="3" t="s">
        <v>7236</v>
      </c>
      <c r="H813" t="str">
        <f t="shared" si="263"/>
        <v xml:space="preserve">Жданов Денис Викторович</v>
      </c>
      <c r="I813" s="5">
        <f>IFERROR(IF(ISNUMBER(FIND("-",C813)),DATE(VALUE(LEFT(C813,4)),VALUE(MID(C813,6,2)),VALUE(RIGHT(C813,2))),IF(ISNUMBER(FIND(".",C813)),DATE(VALUE(RIGHT(C813,4)),VALUE(MID(C813,4,2)),VALUE(LEFT(C813,2))),DATE(VALUE(RIGHT(C813,4)),VLOOKUP(TRIM(MID(C813,FIND(" ",C813)+1,LEN(C813)-FIND(" ",C813)-5)),Справочники!$M$3:$N$14,2,0),VALUE(LEFT(C813,FIND(" ",C813)-1))))),"")</f>
        <v>32949</v>
      </c>
      <c r="J813" s="6">
        <f t="shared" si="264"/>
        <v>36</v>
      </c>
      <c r="K813" t="str">
        <f t="shared" si="265"/>
        <v>ОК</v>
      </c>
      <c r="L813" s="5">
        <f>IFERROR(IF(ISNUMBER(FIND("-",G813)),DATE(VALUE(LEFT(G813,4)),VALUE(MID(G813,6,2)),VALUE(RIGHT(G813,2))),IF(ISNUMBER(FIND(".",G813)),DATE(VALUE(RIGHT(G813,4)),VALUE(MID(G813,4,2)),VALUE(LEFT(G813,2))),DATE(VALUE(RIGHT(G813,4)),VLOOKUP(TRIM(MID(G813,FIND(" ",G813)+1,LEN(G813)-FIND(" ",G813)-5)),Справочники!$M$3:$N$14,2,0),VALUE(LEFT(G813,FIND(" ",G813)-1))))),"")</f>
        <v>52793</v>
      </c>
      <c r="M813" t="str">
        <f t="shared" si="266"/>
        <v xml:space="preserve">+7 (903) 678-90-12</v>
      </c>
      <c r="N813" t="str">
        <f t="shared" si="267"/>
        <v>zhdanov@yandex</v>
      </c>
      <c r="O813" t="str">
        <f t="shared" si="268"/>
        <v xml:space="preserve">Ошибка Email</v>
      </c>
      <c r="P813" t="str">
        <f>IFERROR(VLOOKUP(TRIM(SUBSTITUTE(SUBSTITUTE(" "&amp;F813," г "," "),"г.","")),Справочники!$J$3:$K$102,2,0),TRIM(SUBSTITUTE(SUBSTITUTE(" "&amp;F813," г "," "),"г.","")))</f>
        <v>Армавир</v>
      </c>
    </row>
    <row r="814">
      <c r="A814" s="3" t="s">
        <v>3617</v>
      </c>
      <c r="B814" s="3" t="s">
        <v>7237</v>
      </c>
      <c r="C814" s="3" t="s">
        <v>7238</v>
      </c>
      <c r="D814" s="3" t="s">
        <v>4001</v>
      </c>
      <c r="E814" s="3" t="s">
        <v>7239</v>
      </c>
      <c r="F814" s="3" t="s">
        <v>4390</v>
      </c>
      <c r="G814" s="3" t="s">
        <v>7240</v>
      </c>
      <c r="H814" t="str">
        <f t="shared" si="263"/>
        <v xml:space="preserve">Куликова Ольга Павловна</v>
      </c>
      <c r="I814" s="5">
        <f>IFERROR(IF(ISNUMBER(FIND("-",C814)),DATE(VALUE(LEFT(C814,4)),VALUE(MID(C814,6,2)),VALUE(RIGHT(C814,2))),IF(ISNUMBER(FIND(".",C814)),DATE(VALUE(RIGHT(C814,4)),VALUE(MID(C814,4,2)),VALUE(LEFT(C814,2))),DATE(VALUE(RIGHT(C814,4)),VLOOKUP(TRIM(MID(C814,FIND(" ",C814)+1,LEN(C814)-FIND(" ",C814)-5)),Справочники!$M$3:$N$14,2,0),VALUE(LEFT(C814,FIND(" ",C814)-1))))),"")</f>
        <v>29041</v>
      </c>
      <c r="J814" s="6">
        <f t="shared" si="264"/>
        <v>47</v>
      </c>
      <c r="K814" t="str">
        <f t="shared" si="265"/>
        <v>ОК</v>
      </c>
      <c r="L814" s="5">
        <f>IFERROR(IF(ISNUMBER(FIND("-",G814)),DATE(VALUE(LEFT(G814,4)),VALUE(MID(G814,6,2)),VALUE(RIGHT(G814,2))),IF(ISNUMBER(FIND(".",G814)),DATE(VALUE(RIGHT(G814,4)),VALUE(MID(G814,4,2)),VALUE(LEFT(G814,2))),DATE(VALUE(RIGHT(G814,4)),VLOOKUP(TRIM(MID(G814,FIND(" ",G814)+1,LEN(G814)-FIND(" ",G814)-5)),Справочники!$M$3:$N$14,2,0),VALUE(LEFT(G814,FIND(" ",G814)-1))))),"")</f>
        <v>52793</v>
      </c>
      <c r="M814" t="str">
        <f t="shared" si="266"/>
        <v xml:space="preserve">+7 (903) 789-01-23</v>
      </c>
      <c r="N814" t="str">
        <f t="shared" si="267"/>
        <v>kulikova@gmail</v>
      </c>
      <c r="O814" t="str">
        <f t="shared" si="268"/>
        <v xml:space="preserve">Ошибка Email</v>
      </c>
      <c r="P814" t="str">
        <f>IFERROR(VLOOKUP(TRIM(SUBSTITUTE(SUBSTITUTE(" "&amp;F814," г "," "),"г.","")),Справочники!$J$3:$K$102,2,0),TRIM(SUBSTITUTE(SUBSTITUTE(" "&amp;F814," г "," "),"г.","")))</f>
        <v>Волжский</v>
      </c>
    </row>
    <row r="815">
      <c r="A815" s="3" t="s">
        <v>3618</v>
      </c>
      <c r="B815" s="3" t="s">
        <v>7241</v>
      </c>
      <c r="C815" s="3" t="s">
        <v>7242</v>
      </c>
      <c r="D815" s="3" t="s">
        <v>4138</v>
      </c>
      <c r="E815" s="3" t="s">
        <v>7243</v>
      </c>
      <c r="F815" s="3" t="s">
        <v>4395</v>
      </c>
      <c r="G815" s="3" t="s">
        <v>7244</v>
      </c>
      <c r="H815" t="str">
        <f t="shared" si="263"/>
        <v xml:space="preserve">Леднев Илья Алексеевич</v>
      </c>
      <c r="I815" s="5">
        <f>IFERROR(IF(ISNUMBER(FIND("-",C815)),DATE(VALUE(LEFT(C815,4)),VALUE(MID(C815,6,2)),VALUE(RIGHT(C815,2))),IF(ISNUMBER(FIND(".",C815)),DATE(VALUE(RIGHT(C815,4)),VALUE(MID(C815,4,2)),VALUE(LEFT(C815,2))),DATE(VALUE(RIGHT(C815,4)),VLOOKUP(TRIM(MID(C815,FIND(" ",C815)+1,LEN(C815)-FIND(" ",C815)-5)),Справочники!$M$3:$N$14,2,0),VALUE(LEFT(C815,FIND(" ",C815)-1))))),"")</f>
        <v>30678</v>
      </c>
      <c r="J815" s="6">
        <f t="shared" si="264"/>
        <v>42</v>
      </c>
      <c r="K815" t="str">
        <f t="shared" si="265"/>
        <v>ОК</v>
      </c>
      <c r="L815" s="5">
        <f>IFERROR(IF(ISNUMBER(FIND("-",G815)),DATE(VALUE(LEFT(G815,4)),VALUE(MID(G815,6,2)),VALUE(RIGHT(G815,2))),IF(ISNUMBER(FIND(".",G815)),DATE(VALUE(RIGHT(G815,4)),VALUE(MID(G815,4,2)),VALUE(LEFT(G815,2))),DATE(VALUE(RIGHT(G815,4)),VLOOKUP(TRIM(MID(G815,FIND(" ",G815)+1,LEN(G815)-FIND(" ",G815)-5)),Справочники!$M$3:$N$14,2,0),VALUE(LEFT(G815,FIND(" ",G815)-1))))),"")</f>
        <v>52810</v>
      </c>
      <c r="M815" t="str">
        <f t="shared" si="266"/>
        <v xml:space="preserve">+7 (903) 789-01-23</v>
      </c>
      <c r="N815" t="str">
        <f t="shared" si="267"/>
        <v>lednev@mail</v>
      </c>
      <c r="O815" t="str">
        <f t="shared" si="268"/>
        <v xml:space="preserve">Ошибка Email</v>
      </c>
      <c r="P815" t="str">
        <f>IFERROR(VLOOKUP(TRIM(SUBSTITUTE(SUBSTITUTE(" "&amp;F815," г "," "),"г.","")),Справочники!$J$3:$K$102,2,0),TRIM(SUBSTITUTE(SUBSTITUTE(" "&amp;F815," г "," "),"г.","")))</f>
        <v>Шахты</v>
      </c>
    </row>
    <row r="816">
      <c r="A816" s="3" t="s">
        <v>3620</v>
      </c>
      <c r="B816" s="3" t="s">
        <v>7245</v>
      </c>
      <c r="C816" s="3" t="s">
        <v>7246</v>
      </c>
      <c r="D816" s="3" t="s">
        <v>4144</v>
      </c>
      <c r="E816" s="3" t="s">
        <v>7247</v>
      </c>
      <c r="F816" s="3" t="s">
        <v>4400</v>
      </c>
      <c r="G816" s="3" t="s">
        <v>7248</v>
      </c>
      <c r="H816" t="str">
        <f t="shared" si="263"/>
        <v xml:space="preserve">Соколовская Екатерина Сергеевна</v>
      </c>
      <c r="I816" s="5">
        <f>IFERROR(IF(ISNUMBER(FIND("-",C816)),DATE(VALUE(LEFT(C816,4)),VALUE(MID(C816,6,2)),VALUE(RIGHT(C816,2))),IF(ISNUMBER(FIND(".",C816)),DATE(VALUE(RIGHT(C816,4)),VALUE(MID(C816,4,2)),VALUE(LEFT(C816,2))),DATE(VALUE(RIGHT(C816,4)),VLOOKUP(TRIM(MID(C816,FIND(" ",C816)+1,LEN(C816)-FIND(" ",C816)-5)),Справочники!$M$3:$N$14,2,0),VALUE(LEFT(C816,FIND(" ",C816)-1))))),"")</f>
        <v>31943</v>
      </c>
      <c r="J816" s="6">
        <f t="shared" si="264"/>
        <v>39</v>
      </c>
      <c r="K816" t="str">
        <f t="shared" si="265"/>
        <v>ОК</v>
      </c>
      <c r="L816" s="5">
        <f>IFERROR(IF(ISNUMBER(FIND("-",G816)),DATE(VALUE(LEFT(G816,4)),VALUE(MID(G816,6,2)),VALUE(RIGHT(G816,2))),IF(ISNUMBER(FIND(".",G816)),DATE(VALUE(RIGHT(G816,4)),VALUE(MID(G816,4,2)),VALUE(LEFT(G816,2))),DATE(VALUE(RIGHT(G816,4)),VLOOKUP(TRIM(MID(G816,FIND(" ",G816)+1,LEN(G816)-FIND(" ",G816)-5)),Справочники!$M$3:$N$14,2,0),VALUE(LEFT(G816,FIND(" ",G816)-1))))),"")</f>
        <v>52819</v>
      </c>
      <c r="M816" t="str">
        <f t="shared" si="266"/>
        <v xml:space="preserve">+7 (903) 789-01-23</v>
      </c>
      <c r="N816" t="str">
        <f t="shared" si="267"/>
        <v>sokolovskaya@yandex</v>
      </c>
      <c r="O816" t="str">
        <f t="shared" si="268"/>
        <v xml:space="preserve">Ошибка Email</v>
      </c>
      <c r="P816" t="str">
        <f>IFERROR(VLOOKUP(TRIM(SUBSTITUTE(SUBSTITUTE(" "&amp;F816," г "," "),"г.","")),Справочники!$J$3:$K$102,2,0),TRIM(SUBSTITUTE(SUBSTITUTE(" "&amp;F816," г "," "),"г.","")))</f>
        <v>Златоуст</v>
      </c>
    </row>
    <row r="817">
      <c r="A817" s="3" t="s">
        <v>3622</v>
      </c>
      <c r="B817" s="3" t="s">
        <v>7249</v>
      </c>
      <c r="C817" s="3" t="s">
        <v>7250</v>
      </c>
      <c r="D817" s="3" t="s">
        <v>4150</v>
      </c>
      <c r="E817" s="3" t="s">
        <v>7251</v>
      </c>
      <c r="F817" s="3" t="s">
        <v>4405</v>
      </c>
      <c r="G817" s="3" t="s">
        <v>7252</v>
      </c>
      <c r="H817" t="str">
        <f t="shared" si="263"/>
        <v xml:space="preserve">Синельников Андрей Олегович</v>
      </c>
      <c r="I817" s="5">
        <f>IFERROR(IF(ISNUMBER(FIND("-",C817)),DATE(VALUE(LEFT(C817,4)),VALUE(MID(C817,6,2)),VALUE(RIGHT(C817,2))),IF(ISNUMBER(FIND(".",C817)),DATE(VALUE(RIGHT(C817,4)),VALUE(MID(C817,4,2)),VALUE(LEFT(C817,2))),DATE(VALUE(RIGHT(C817,4)),VLOOKUP(TRIM(MID(C817,FIND(" ",C817)+1,LEN(C817)-FIND(" ",C817)-5)),Справочники!$M$3:$N$14,2,0),VALUE(LEFT(C817,FIND(" ",C817)-1))))),"")</f>
        <v>27810</v>
      </c>
      <c r="J817" s="6">
        <f t="shared" si="264"/>
        <v>50</v>
      </c>
      <c r="K817" t="str">
        <f t="shared" si="265"/>
        <v>ОК</v>
      </c>
      <c r="L817" s="5">
        <f>IFERROR(IF(ISNUMBER(FIND("-",G817)),DATE(VALUE(LEFT(G817,4)),VALUE(MID(G817,6,2)),VALUE(RIGHT(G817,2))),IF(ISNUMBER(FIND(".",G817)),DATE(VALUE(RIGHT(G817,4)),VALUE(MID(G817,4,2)),VALUE(LEFT(G817,2))),DATE(VALUE(RIGHT(G817,4)),VLOOKUP(TRIM(MID(G817,FIND(" ",G817)+1,LEN(G817)-FIND(" ",G817)-5)),Справочники!$M$3:$N$14,2,0),VALUE(LEFT(G817,FIND(" ",G817)-1))))),"")</f>
        <v>52819</v>
      </c>
      <c r="M817" t="str">
        <f t="shared" si="266"/>
        <v xml:space="preserve">+7 (903) 890-12-34</v>
      </c>
      <c r="N817" t="str">
        <f t="shared" si="267"/>
        <v>sinelnikov@gmail</v>
      </c>
      <c r="O817" t="str">
        <f t="shared" si="268"/>
        <v xml:space="preserve">Ошибка Email</v>
      </c>
      <c r="P817" t="str">
        <f>IFERROR(VLOOKUP(TRIM(SUBSTITUTE(SUBSTITUTE(" "&amp;F817," г "," "),"г.","")),Справочники!$J$3:$K$102,2,0),TRIM(SUBSTITUTE(SUBSTITUTE(" "&amp;F817," г "," "),"г.","")))</f>
        <v>Ангарск</v>
      </c>
    </row>
    <row r="818">
      <c r="A818" s="3" t="s">
        <v>3625</v>
      </c>
      <c r="B818" s="3" t="s">
        <v>7253</v>
      </c>
      <c r="C818" s="3" t="s">
        <v>7254</v>
      </c>
      <c r="D818" s="3" t="s">
        <v>4007</v>
      </c>
      <c r="E818" s="3" t="s">
        <v>7255</v>
      </c>
      <c r="F818" s="3" t="s">
        <v>4410</v>
      </c>
      <c r="G818" s="3" t="s">
        <v>7256</v>
      </c>
      <c r="H818" t="str">
        <f t="shared" si="263"/>
        <v xml:space="preserve">Калинкина Мария Владимировна</v>
      </c>
      <c r="I818" s="5">
        <f>IFERROR(IF(ISNUMBER(FIND("-",C818)),DATE(VALUE(LEFT(C818,4)),VALUE(MID(C818,6,2)),VALUE(RIGHT(C818,2))),IF(ISNUMBER(FIND(".",C818)),DATE(VALUE(RIGHT(C818,4)),VALUE(MID(C818,4,2)),VALUE(LEFT(C818,2))),DATE(VALUE(RIGHT(C818,4)),VLOOKUP(TRIM(MID(C818,FIND(" ",C818)+1,LEN(C818)-FIND(" ",C818)-5)),Справочники!$M$3:$N$14,2,0),VALUE(LEFT(C818,FIND(" ",C818)-1))))),"")</f>
        <v>30228</v>
      </c>
      <c r="J818" s="6">
        <f t="shared" si="264"/>
        <v>44</v>
      </c>
      <c r="K818" t="str">
        <f t="shared" si="265"/>
        <v>ОК</v>
      </c>
      <c r="L818" s="5">
        <f>IFERROR(IF(ISNUMBER(FIND("-",G818)),DATE(VALUE(LEFT(G818,4)),VALUE(MID(G818,6,2)),VALUE(RIGHT(G818,2))),IF(ISNUMBER(FIND(".",G818)),DATE(VALUE(RIGHT(G818,4)),VALUE(MID(G818,4,2)),VALUE(LEFT(G818,2))),DATE(VALUE(RIGHT(G818,4)),VLOOKUP(TRIM(MID(G818,FIND(" ",G818)+1,LEN(G818)-FIND(" ",G818)-5)),Справочники!$M$3:$N$14,2,0),VALUE(LEFT(G818,FIND(" ",G818)-1))))),"")</f>
        <v>52841</v>
      </c>
      <c r="M818" t="str">
        <f t="shared" si="266"/>
        <v xml:space="preserve">+7 (903) 890-12-34</v>
      </c>
      <c r="N818" t="str">
        <f t="shared" si="267"/>
        <v>kalinkina@mail</v>
      </c>
      <c r="O818" t="str">
        <f t="shared" si="268"/>
        <v xml:space="preserve">Ошибка Email</v>
      </c>
      <c r="P818" t="str">
        <f>IFERROR(VLOOKUP(TRIM(SUBSTITUTE(SUBSTITUTE(" "&amp;F818," г "," "),"г.","")),Справочники!$J$3:$K$102,2,0),TRIM(SUBSTITUTE(SUBSTITUTE(" "&amp;F818," г "," "),"г.","")))</f>
        <v>Озёрск</v>
      </c>
    </row>
    <row r="819">
      <c r="A819" s="3" t="s">
        <v>3626</v>
      </c>
      <c r="B819" s="3" t="s">
        <v>7257</v>
      </c>
      <c r="C819" s="3" t="s">
        <v>7258</v>
      </c>
      <c r="D819" s="3" t="s">
        <v>1619</v>
      </c>
      <c r="E819" s="3" t="s">
        <v>7259</v>
      </c>
      <c r="F819" s="3" t="s">
        <v>4415</v>
      </c>
      <c r="G819" s="3" t="s">
        <v>7260</v>
      </c>
      <c r="H819" t="str">
        <f t="shared" si="263"/>
        <v xml:space="preserve">Загороднев Денис Павлович</v>
      </c>
      <c r="I819" s="5">
        <f>IFERROR(IF(ISNUMBER(FIND("-",C819)),DATE(VALUE(LEFT(C819,4)),VALUE(MID(C819,6,2)),VALUE(RIGHT(C819,2))),IF(ISNUMBER(FIND(".",C819)),DATE(VALUE(RIGHT(C819,4)),VALUE(MID(C819,4,2)),VALUE(LEFT(C819,2))),DATE(VALUE(RIGHT(C819,4)),VLOOKUP(TRIM(MID(C819,FIND(" ",C819)+1,LEN(C819)-FIND(" ",C819)-5)),Справочники!$M$3:$N$14,2,0),VALUE(LEFT(C819,FIND(" ",C819)-1))))),"")</f>
        <v>33374</v>
      </c>
      <c r="J819" s="6">
        <f t="shared" si="264"/>
        <v>35</v>
      </c>
      <c r="K819" t="str">
        <f t="shared" si="265"/>
        <v>ОК</v>
      </c>
      <c r="L819" s="5">
        <f>IFERROR(IF(ISNUMBER(FIND("-",G819)),DATE(VALUE(LEFT(G819,4)),VALUE(MID(G819,6,2)),VALUE(RIGHT(G819,2))),IF(ISNUMBER(FIND(".",G819)),DATE(VALUE(RIGHT(G819,4)),VALUE(MID(G819,4,2)),VALUE(LEFT(G819,2))),DATE(VALUE(RIGHT(G819,4)),VLOOKUP(TRIM(MID(G819,FIND(" ",G819)+1,LEN(G819)-FIND(" ",G819)-5)),Справочники!$M$3:$N$14,2,0),VALUE(LEFT(G819,FIND(" ",G819)-1))))),"")</f>
        <v>52855</v>
      </c>
      <c r="M819" t="str">
        <f t="shared" si="266"/>
        <v xml:space="preserve">+7 (903) 890-12-34</v>
      </c>
      <c r="N819" t="str">
        <f t="shared" si="267"/>
        <v>zagorodnev@yandex</v>
      </c>
      <c r="O819" t="str">
        <f t="shared" si="268"/>
        <v xml:space="preserve">Ошибка Email</v>
      </c>
      <c r="P819" t="str">
        <f>IFERROR(VLOOKUP(TRIM(SUBSTITUTE(SUBSTITUTE(" "&amp;F819," г "," "),"г.","")),Справочники!$J$3:$K$102,2,0),TRIM(SUBSTITUTE(SUBSTITUTE(" "&amp;F819," г "," "),"г.","")))</f>
        <v>Орел</v>
      </c>
    </row>
    <row r="820">
      <c r="A820" s="3" t="s">
        <v>3629</v>
      </c>
      <c r="B820" s="3" t="s">
        <v>7261</v>
      </c>
      <c r="C820" s="3" t="s">
        <v>7262</v>
      </c>
      <c r="D820" s="3" t="s">
        <v>4018</v>
      </c>
      <c r="E820" s="3" t="s">
        <v>7263</v>
      </c>
      <c r="F820" s="3" t="s">
        <v>4184</v>
      </c>
      <c r="G820" s="3" t="s">
        <v>7264</v>
      </c>
      <c r="H820" t="str">
        <f t="shared" si="263"/>
        <v xml:space="preserve">Басова Ольга Сергеевна</v>
      </c>
      <c r="I820" s="5">
        <f>IFERROR(IF(ISNUMBER(FIND("-",C820)),DATE(VALUE(LEFT(C820,4)),VALUE(MID(C820,6,2)),VALUE(RIGHT(C820,2))),IF(ISNUMBER(FIND(".",C820)),DATE(VALUE(RIGHT(C820,4)),VALUE(MID(C820,4,2)),VALUE(LEFT(C820,2))),DATE(VALUE(RIGHT(C820,4)),VLOOKUP(TRIM(MID(C820,FIND(" ",C820)+1,LEN(C820)-FIND(" ",C820)-5)),Справочники!$M$3:$N$14,2,0),VALUE(LEFT(C820,FIND(" ",C820)-1))))),"")</f>
        <v>27294</v>
      </c>
      <c r="J820" s="6">
        <f t="shared" si="264"/>
        <v>52</v>
      </c>
      <c r="K820" t="str">
        <f t="shared" si="265"/>
        <v>ОК</v>
      </c>
      <c r="L820" s="5">
        <f>IFERROR(IF(ISNUMBER(FIND("-",G820)),DATE(VALUE(LEFT(G820,4)),VALUE(MID(G820,6,2)),VALUE(RIGHT(G820,2))),IF(ISNUMBER(FIND(".",G820)),DATE(VALUE(RIGHT(G820,4)),VALUE(MID(G820,4,2)),VALUE(LEFT(G820,2))),DATE(VALUE(RIGHT(G820,4)),VLOOKUP(TRIM(MID(G820,FIND(" ",G820)+1,LEN(G820)-FIND(" ",G820)-5)),Справочники!$M$3:$N$14,2,0),VALUE(LEFT(G820,FIND(" ",G820)-1))))),"")</f>
        <v>52855</v>
      </c>
      <c r="M820" t="str">
        <f t="shared" si="266"/>
        <v xml:space="preserve">+7 (903) 901-23-45</v>
      </c>
      <c r="N820" t="str">
        <f t="shared" si="267"/>
        <v>basova@gmail</v>
      </c>
      <c r="O820" t="str">
        <f t="shared" si="268"/>
        <v xml:space="preserve">Ошибка Email</v>
      </c>
      <c r="P820" t="str">
        <f>IFERROR(VLOOKUP(TRIM(SUBSTITUTE(SUBSTITUTE(" "&amp;F820," г "," "),"г.","")),Справочники!$J$3:$K$102,2,0),TRIM(SUBSTITUTE(SUBSTITUTE(" "&amp;F820," г "," "),"г.","")))</f>
        <v>Магнитогорск</v>
      </c>
    </row>
    <row r="821">
      <c r="A821" s="3" t="s">
        <v>3631</v>
      </c>
      <c r="B821" s="3" t="s">
        <v>7265</v>
      </c>
      <c r="C821" s="3" t="s">
        <v>7266</v>
      </c>
      <c r="D821" s="3" t="s">
        <v>1626</v>
      </c>
      <c r="E821" s="3" t="s">
        <v>7267</v>
      </c>
      <c r="F821" s="3" t="s">
        <v>4205</v>
      </c>
      <c r="G821" s="3" t="s">
        <v>7268</v>
      </c>
      <c r="H821" t="str">
        <f t="shared" si="263"/>
        <v xml:space="preserve">Михайлов Илья Александрович</v>
      </c>
      <c r="I821" s="5">
        <f>IFERROR(IF(ISNUMBER(FIND("-",C821)),DATE(VALUE(LEFT(C821,4)),VALUE(MID(C821,6,2)),VALUE(RIGHT(C821,2))),IF(ISNUMBER(FIND(".",C821)),DATE(VALUE(RIGHT(C821,4)),VALUE(MID(C821,4,2)),VALUE(LEFT(C821,2))),DATE(VALUE(RIGHT(C821,4)),VLOOKUP(TRIM(MID(C821,FIND(" ",C821)+1,LEN(C821)-FIND(" ",C821)-5)),Справочники!$M$3:$N$14,2,0),VALUE(LEFT(C821,FIND(" ",C821)-1))))),"")</f>
        <v>31446</v>
      </c>
      <c r="J821" s="6">
        <f t="shared" si="264"/>
        <v>40</v>
      </c>
      <c r="K821" t="str">
        <f t="shared" si="265"/>
        <v>ОК</v>
      </c>
      <c r="L821" s="5">
        <f>IFERROR(IF(ISNUMBER(FIND("-",G821)),DATE(VALUE(LEFT(G821,4)),VALUE(MID(G821,6,2)),VALUE(RIGHT(G821,2))),IF(ISNUMBER(FIND(".",G821)),DATE(VALUE(RIGHT(G821,4)),VALUE(MID(G821,4,2)),VALUE(LEFT(G821,2))),DATE(VALUE(RIGHT(G821,4)),VLOOKUP(TRIM(MID(G821,FIND(" ",G821)+1,LEN(G821)-FIND(" ",G821)-5)),Справочники!$M$3:$N$14,2,0),VALUE(LEFT(G821,FIND(" ",G821)-1))))),"")</f>
        <v>52871</v>
      </c>
      <c r="M821" t="str">
        <f t="shared" si="266"/>
        <v xml:space="preserve">+7 (903) 901-23-45</v>
      </c>
      <c r="N821" t="str">
        <f t="shared" si="267"/>
        <v>mihaylov@mail</v>
      </c>
      <c r="O821" t="str">
        <f t="shared" si="268"/>
        <v xml:space="preserve">Ошибка Email</v>
      </c>
      <c r="P821" t="str">
        <f>IFERROR(VLOOKUP(TRIM(SUBSTITUTE(SUBSTITUTE(" "&amp;F821," г "," "),"г.","")),Справочники!$J$3:$K$102,2,0),TRIM(SUBSTITUTE(SUBSTITUTE(" "&amp;F821," г "," "),"г.","")))</f>
        <v>Якутск</v>
      </c>
    </row>
    <row r="822">
      <c r="A822" s="3" t="s">
        <v>3633</v>
      </c>
      <c r="B822" s="3" t="s">
        <v>7269</v>
      </c>
      <c r="C822" s="3" t="s">
        <v>7270</v>
      </c>
      <c r="D822" s="3" t="s">
        <v>4176</v>
      </c>
      <c r="E822" s="3" t="s">
        <v>7271</v>
      </c>
      <c r="F822" s="3" t="s">
        <v>4152</v>
      </c>
      <c r="G822" s="3" t="s">
        <v>7272</v>
      </c>
      <c r="H822" t="str">
        <f t="shared" si="263"/>
        <v xml:space="preserve">Тарасюк Екатерина Владимировна</v>
      </c>
      <c r="I822" s="5">
        <f>IFERROR(IF(ISNUMBER(FIND("-",C822)),DATE(VALUE(LEFT(C822,4)),VALUE(MID(C822,6,2)),VALUE(RIGHT(C822,2))),IF(ISNUMBER(FIND(".",C822)),DATE(VALUE(RIGHT(C822,4)),VALUE(MID(C822,4,2)),VALUE(LEFT(C822,2))),DATE(VALUE(RIGHT(C822,4)),VLOOKUP(TRIM(MID(C822,FIND(" ",C822)+1,LEN(C822)-FIND(" ",C822)-5)),Справочники!$M$3:$N$14,2,0),VALUE(LEFT(C822,FIND(" ",C822)-1))))),"")</f>
        <v>33891</v>
      </c>
      <c r="J822" s="6">
        <f t="shared" si="264"/>
        <v>34</v>
      </c>
      <c r="K822" t="str">
        <f t="shared" si="265"/>
        <v>ОК</v>
      </c>
      <c r="L822" s="5">
        <f>IFERROR(IF(ISNUMBER(FIND("-",G822)),DATE(VALUE(LEFT(G822,4)),VALUE(MID(G822,6,2)),VALUE(RIGHT(G822,2))),IF(ISNUMBER(FIND(".",G822)),DATE(VALUE(RIGHT(G822,4)),VALUE(MID(G822,4,2)),VALUE(LEFT(G822,2))),DATE(VALUE(RIGHT(G822,4)),VLOOKUP(TRIM(MID(G822,FIND(" ",G822)+1,LEN(G822)-FIND(" ",G822)-5)),Справочники!$M$3:$N$14,2,0),VALUE(LEFT(G822,FIND(" ",G822)-1))))),"")</f>
        <v>52880</v>
      </c>
      <c r="M822" t="str">
        <f t="shared" si="266"/>
        <v xml:space="preserve">+7 (903) 901-23-45</v>
      </c>
      <c r="N822" t="str">
        <f t="shared" si="267"/>
        <v>tarasyuk@yandex</v>
      </c>
      <c r="O822" t="str">
        <f t="shared" si="268"/>
        <v xml:space="preserve">Ошибка Email</v>
      </c>
      <c r="P822" t="str">
        <f>IFERROR(VLOOKUP(TRIM(SUBSTITUTE(SUBSTITUTE(" "&amp;F822," г "," "),"г.","")),Справочники!$J$3:$K$102,2,0),TRIM(SUBSTITUTE(SUBSTITUTE(" "&amp;F822," г "," "),"г.","")))</f>
        <v>Чебоксары</v>
      </c>
    </row>
    <row r="823">
      <c r="A823" s="3" t="s">
        <v>3634</v>
      </c>
      <c r="B823" s="3" t="s">
        <v>7273</v>
      </c>
      <c r="C823" s="3" t="s">
        <v>7274</v>
      </c>
      <c r="D823" s="3" t="s">
        <v>4182</v>
      </c>
      <c r="E823" s="3" t="s">
        <v>7275</v>
      </c>
      <c r="F823" s="3" t="s">
        <v>4245</v>
      </c>
      <c r="G823" s="3" t="s">
        <v>7276</v>
      </c>
      <c r="H823" t="str">
        <f t="shared" si="263"/>
        <v xml:space="preserve">Ожегов Андрей Олегович</v>
      </c>
      <c r="I823" s="5">
        <f>IFERROR(IF(ISNUMBER(FIND("-",C823)),DATE(VALUE(LEFT(C823,4)),VALUE(MID(C823,6,2)),VALUE(RIGHT(C823,2))),IF(ISNUMBER(FIND(".",C823)),DATE(VALUE(RIGHT(C823,4)),VALUE(MID(C823,4,2)),VALUE(LEFT(C823,2))),DATE(VALUE(RIGHT(C823,4)),VLOOKUP(TRIM(MID(C823,FIND(" ",C823)+1,LEN(C823)-FIND(" ",C823)-5)),Справочники!$M$3:$N$14,2,0),VALUE(LEFT(C823,FIND(" ",C823)-1))))),"")</f>
        <v>28467</v>
      </c>
      <c r="J823" s="6">
        <f t="shared" si="264"/>
        <v>48</v>
      </c>
      <c r="K823" t="str">
        <f t="shared" si="265"/>
        <v>ОК</v>
      </c>
      <c r="L823" s="5">
        <f>IFERROR(IF(ISNUMBER(FIND("-",G823)),DATE(VALUE(LEFT(G823,4)),VALUE(MID(G823,6,2)),VALUE(RIGHT(G823,2))),IF(ISNUMBER(FIND(".",G823)),DATE(VALUE(RIGHT(G823,4)),VALUE(MID(G823,4,2)),VALUE(LEFT(G823,2))),DATE(VALUE(RIGHT(G823,4)),VLOOKUP(TRIM(MID(G823,FIND(" ",G823)+1,LEN(G823)-FIND(" ",G823)-5)),Справочники!$M$3:$N$14,2,0),VALUE(LEFT(G823,FIND(" ",G823)-1))))),"")</f>
        <v>52880</v>
      </c>
      <c r="M823" t="str">
        <f t="shared" si="266"/>
        <v xml:space="preserve">+7 (903) 012-34-56</v>
      </c>
      <c r="N823" t="str">
        <f t="shared" si="267"/>
        <v>ozhegov@gmail</v>
      </c>
      <c r="O823" t="str">
        <f t="shared" si="268"/>
        <v xml:space="preserve">Ошибка Email</v>
      </c>
      <c r="P823" t="str">
        <f>IFERROR(VLOOKUP(TRIM(SUBSTITUTE(SUBSTITUTE(" "&amp;F823," г "," "),"г.","")),Справочники!$J$3:$K$102,2,0),TRIM(SUBSTITUTE(SUBSTITUTE(" "&amp;F823," г "," "),"г.","")))</f>
        <v>Мурманск</v>
      </c>
    </row>
    <row r="824">
      <c r="A824" s="3" t="s">
        <v>3636</v>
      </c>
      <c r="B824" s="3" t="s">
        <v>7277</v>
      </c>
      <c r="C824" s="3" t="s">
        <v>7278</v>
      </c>
      <c r="D824" s="3" t="s">
        <v>4188</v>
      </c>
      <c r="E824" s="3" t="s">
        <v>4593</v>
      </c>
      <c r="F824" s="3" t="s">
        <v>4235</v>
      </c>
      <c r="G824" s="3" t="s">
        <v>7279</v>
      </c>
      <c r="H824" t="str">
        <f t="shared" si="263"/>
        <v xml:space="preserve">Сидоренко Мария Павловна</v>
      </c>
      <c r="I824" s="5">
        <f>IFERROR(IF(ISNUMBER(FIND("-",C824)),DATE(VALUE(LEFT(C824,4)),VALUE(MID(C824,6,2)),VALUE(RIGHT(C824,2))),IF(ISNUMBER(FIND(".",C824)),DATE(VALUE(RIGHT(C824,4)),VALUE(MID(C824,4,2)),VALUE(LEFT(C824,2))),DATE(VALUE(RIGHT(C824,4)),VLOOKUP(TRIM(MID(C824,FIND(" ",C824)+1,LEN(C824)-FIND(" ",C824)-5)),Справочники!$M$3:$N$14,2,0),VALUE(LEFT(C824,FIND(" ",C824)-1))))),"")</f>
        <v>31253</v>
      </c>
      <c r="J824" s="6">
        <f t="shared" si="264"/>
        <v>41</v>
      </c>
      <c r="K824" t="str">
        <f t="shared" si="265"/>
        <v>ОК</v>
      </c>
      <c r="L824" s="5">
        <f>IFERROR(IF(ISNUMBER(FIND("-",G824)),DATE(VALUE(LEFT(G824,4)),VALUE(MID(G824,6,2)),VALUE(RIGHT(G824,2))),IF(ISNUMBER(FIND(".",G824)),DATE(VALUE(RIGHT(G824,4)),VALUE(MID(G824,4,2)),VALUE(LEFT(G824,2))),DATE(VALUE(RIGHT(G824,4)),VLOOKUP(TRIM(MID(G824,FIND(" ",G824)+1,LEN(G824)-FIND(" ",G824)-5)),Справочники!$M$3:$N$14,2,0),VALUE(LEFT(G824,FIND(" ",G824)-1))))),"")</f>
        <v>52902</v>
      </c>
      <c r="M824" t="str">
        <f t="shared" si="266"/>
        <v xml:space="preserve">+7 (903) 012-34-56</v>
      </c>
      <c r="N824" t="str">
        <f t="shared" si="267"/>
        <v>sidorenko@mail</v>
      </c>
      <c r="O824" t="str">
        <f t="shared" si="268"/>
        <v xml:space="preserve">Ошибка Email</v>
      </c>
      <c r="P824" t="str">
        <f>IFERROR(VLOOKUP(TRIM(SUBSTITUTE(SUBSTITUTE(" "&amp;F824," г "," "),"г.","")),Справочники!$J$3:$K$102,2,0),TRIM(SUBSTITUTE(SUBSTITUTE(" "&amp;F824," г "," "),"г.","")))</f>
        <v>Смоленск</v>
      </c>
    </row>
    <row r="825">
      <c r="A825" s="3" t="s">
        <v>3638</v>
      </c>
      <c r="B825" s="3" t="s">
        <v>7280</v>
      </c>
      <c r="C825" s="3" t="s">
        <v>7281</v>
      </c>
      <c r="D825" s="3" t="s">
        <v>1633</v>
      </c>
      <c r="E825" s="3" t="s">
        <v>7282</v>
      </c>
      <c r="F825" s="3" t="s">
        <v>4220</v>
      </c>
      <c r="G825" s="3" t="s">
        <v>7283</v>
      </c>
      <c r="H825" t="str">
        <f t="shared" si="263"/>
        <v xml:space="preserve">Черных Денис Сергеевич</v>
      </c>
      <c r="I825" s="5">
        <f>IFERROR(IF(ISNUMBER(FIND("-",C825)),DATE(VALUE(LEFT(C825,4)),VALUE(MID(C825,6,2)),VALUE(RIGHT(C825,2))),IF(ISNUMBER(FIND(".",C825)),DATE(VALUE(RIGHT(C825,4)),VALUE(MID(C825,4,2)),VALUE(LEFT(C825,2))),DATE(VALUE(RIGHT(C825,4)),VLOOKUP(TRIM(MID(C825,FIND(" ",C825)+1,LEN(C825)-FIND(" ",C825)-5)),Справочники!$M$3:$N$14,2,0),VALUE(LEFT(C825,FIND(" ",C825)-1))))),"")</f>
        <v>29538</v>
      </c>
      <c r="J825" s="6">
        <f t="shared" si="264"/>
        <v>45</v>
      </c>
      <c r="K825" t="str">
        <f t="shared" si="265"/>
        <v>ОК</v>
      </c>
      <c r="L825" s="5">
        <f>IFERROR(IF(ISNUMBER(FIND("-",G825)),DATE(VALUE(LEFT(G825,4)),VALUE(MID(G825,6,2)),VALUE(RIGHT(G825,2))),IF(ISNUMBER(FIND(".",G825)),DATE(VALUE(RIGHT(G825,4)),VALUE(MID(G825,4,2)),VALUE(LEFT(G825,2))),DATE(VALUE(RIGHT(G825,4)),VLOOKUP(TRIM(MID(G825,FIND(" ",G825)+1,LEN(G825)-FIND(" ",G825)-5)),Справочники!$M$3:$N$14,2,0),VALUE(LEFT(G825,FIND(" ",G825)-1))))),"")</f>
        <v>52916</v>
      </c>
      <c r="M825" t="str">
        <f t="shared" si="266"/>
        <v xml:space="preserve">+7 (903) 012-34-56</v>
      </c>
      <c r="N825" t="str">
        <f t="shared" si="267"/>
        <v>chernyh@yandex</v>
      </c>
      <c r="O825" t="str">
        <f t="shared" si="268"/>
        <v xml:space="preserve">Ошибка Email</v>
      </c>
      <c r="P825" t="str">
        <f>IFERROR(VLOOKUP(TRIM(SUBSTITUTE(SUBSTITUTE(" "&amp;F825," г "," "),"г.","")),Справочники!$J$3:$K$102,2,0),TRIM(SUBSTITUTE(SUBSTITUTE(" "&amp;F825," г "," "),"г.","")))</f>
        <v>Тула</v>
      </c>
    </row>
    <row r="826">
      <c r="A826" s="3" t="s">
        <v>3640</v>
      </c>
      <c r="B826" s="3" t="s">
        <v>7284</v>
      </c>
      <c r="C826" s="3" t="s">
        <v>7285</v>
      </c>
      <c r="D826" s="3" t="s">
        <v>4034</v>
      </c>
      <c r="E826" s="3" t="s">
        <v>6387</v>
      </c>
      <c r="F826" s="3" t="s">
        <v>4225</v>
      </c>
      <c r="G826" s="3" t="s">
        <v>7286</v>
      </c>
      <c r="H826" t="str">
        <f t="shared" si="263"/>
        <v xml:space="preserve">Зорина Ольга Владимировна</v>
      </c>
      <c r="I826" s="5">
        <f>IFERROR(IF(ISNUMBER(FIND("-",C826)),DATE(VALUE(LEFT(C826,4)),VALUE(MID(C826,6,2)),VALUE(RIGHT(C826,2))),IF(ISNUMBER(FIND(".",C826)),DATE(VALUE(RIGHT(C826,4)),VALUE(MID(C826,4,2)),VALUE(LEFT(C826,2))),DATE(VALUE(RIGHT(C826,4)),VLOOKUP(TRIM(MID(C826,FIND(" ",C826)+1,LEN(C826)-FIND(" ",C826)-5)),Справочники!$M$3:$N$14,2,0),VALUE(LEFT(C826,FIND(" ",C826)-1))))),"")</f>
        <v>27503</v>
      </c>
      <c r="J826" s="6">
        <f t="shared" si="264"/>
        <v>51</v>
      </c>
      <c r="K826" t="str">
        <f t="shared" si="265"/>
        <v>ОК</v>
      </c>
      <c r="L826" s="5">
        <f>IFERROR(IF(ISNUMBER(FIND("-",G826)),DATE(VALUE(LEFT(G826,4)),VALUE(MID(G826,6,2)),VALUE(RIGHT(G826,2))),IF(ISNUMBER(FIND(".",G826)),DATE(VALUE(RIGHT(G826,4)),VALUE(MID(G826,4,2)),VALUE(LEFT(G826,2))),DATE(VALUE(RIGHT(G826,4)),VLOOKUP(TRIM(MID(G826,FIND(" ",G826)+1,LEN(G826)-FIND(" ",G826)-5)),Справочники!$M$3:$N$14,2,0),VALUE(LEFT(G826,FIND(" ",G826)-1))))),"")</f>
        <v>52916</v>
      </c>
      <c r="M826" t="str">
        <f t="shared" si="266"/>
        <v xml:space="preserve">+7 (903) 123-45-67</v>
      </c>
      <c r="N826" t="str">
        <f t="shared" si="267"/>
        <v>zorina@gmail</v>
      </c>
      <c r="O826" t="str">
        <f t="shared" si="268"/>
        <v xml:space="preserve">Ошибка Email</v>
      </c>
      <c r="P826" t="str">
        <f>IFERROR(VLOOKUP(TRIM(SUBSTITUTE(SUBSTITUTE(" "&amp;F826," г "," "),"г.","")),Справочники!$J$3:$K$102,2,0),TRIM(SUBSTITUTE(SUBSTITUTE(" "&amp;F826," г "," "),"г.","")))</f>
        <v>Калуга</v>
      </c>
    </row>
    <row r="827">
      <c r="A827" s="3" t="s">
        <v>3641</v>
      </c>
      <c r="B827" s="3" t="s">
        <v>7287</v>
      </c>
      <c r="C827" s="3" t="s">
        <v>7288</v>
      </c>
      <c r="D827" s="3" t="s">
        <v>4040</v>
      </c>
      <c r="E827" s="3" t="s">
        <v>7289</v>
      </c>
      <c r="F827" s="3" t="s">
        <v>4230</v>
      </c>
      <c r="G827" s="3" t="s">
        <v>7290</v>
      </c>
      <c r="H827" t="str">
        <f t="shared" si="263"/>
        <v xml:space="preserve">Трошин Илья Александрович</v>
      </c>
      <c r="I827" s="5">
        <f>IFERROR(IF(ISNUMBER(FIND("-",C827)),DATE(VALUE(LEFT(C827,4)),VALUE(MID(C827,6,2)),VALUE(RIGHT(C827,2))),IF(ISNUMBER(FIND(".",C827)),DATE(VALUE(RIGHT(C827,4)),VALUE(MID(C827,4,2)),VALUE(LEFT(C827,2))),DATE(VALUE(RIGHT(C827,4)),VLOOKUP(TRIM(MID(C827,FIND(" ",C827)+1,LEN(C827)-FIND(" ",C827)-5)),Справочники!$M$3:$N$14,2,0),VALUE(LEFT(C827,FIND(" ",C827)-1))))),"")</f>
        <v>31949</v>
      </c>
      <c r="J827" s="6">
        <f t="shared" si="264"/>
        <v>39</v>
      </c>
      <c r="K827" t="str">
        <f t="shared" si="265"/>
        <v>ОК</v>
      </c>
      <c r="L827" s="5">
        <f>IFERROR(IF(ISNUMBER(FIND("-",G827)),DATE(VALUE(LEFT(G827,4)),VALUE(MID(G827,6,2)),VALUE(RIGHT(G827,2))),IF(ISNUMBER(FIND(".",G827)),DATE(VALUE(RIGHT(G827,4)),VALUE(MID(G827,4,2)),VALUE(LEFT(G827,2))),DATE(VALUE(RIGHT(G827,4)),VLOOKUP(TRIM(MID(G827,FIND(" ",G827)+1,LEN(G827)-FIND(" ",G827)-5)),Справочники!$M$3:$N$14,2,0),VALUE(LEFT(G827,FIND(" ",G827)-1))))),"")</f>
        <v>52932</v>
      </c>
      <c r="M827" t="str">
        <f t="shared" si="266"/>
        <v xml:space="preserve">+7 (903) 123-45-67</v>
      </c>
      <c r="N827" t="str">
        <f t="shared" si="267"/>
        <v>troshin@mail</v>
      </c>
      <c r="O827" t="str">
        <f t="shared" si="268"/>
        <v xml:space="preserve">Ошибка Email</v>
      </c>
      <c r="P827" t="str">
        <f>IFERROR(VLOOKUP(TRIM(SUBSTITUTE(SUBSTITUTE(" "&amp;F827," г "," "),"г.","")),Справочники!$J$3:$K$102,2,0),TRIM(SUBSTITUTE(SUBSTITUTE(" "&amp;F827," г "," "),"г.","")))</f>
        <v>Владикавказ</v>
      </c>
    </row>
    <row r="828">
      <c r="A828" s="3" t="s">
        <v>3643</v>
      </c>
      <c r="B828" s="3" t="s">
        <v>7291</v>
      </c>
      <c r="C828" s="3" t="s">
        <v>7292</v>
      </c>
      <c r="D828" s="3" t="s">
        <v>1570</v>
      </c>
      <c r="E828" s="3" t="s">
        <v>7293</v>
      </c>
      <c r="F828" s="3" t="s">
        <v>4235</v>
      </c>
      <c r="G828" s="3" t="s">
        <v>7294</v>
      </c>
      <c r="H828" t="str">
        <f t="shared" si="263"/>
        <v xml:space="preserve">Леонова Екатерина Сергеевна</v>
      </c>
      <c r="I828" s="5">
        <f>IFERROR(IF(ISNUMBER(FIND("-",C828)),DATE(VALUE(LEFT(C828,4)),VALUE(MID(C828,6,2)),VALUE(RIGHT(C828,2))),IF(ISNUMBER(FIND(".",C828)),DATE(VALUE(RIGHT(C828,4)),VALUE(MID(C828,4,2)),VALUE(LEFT(C828,2))),DATE(VALUE(RIGHT(C828,4)),VLOOKUP(TRIM(MID(C828,FIND(" ",C828)+1,LEN(C828)-FIND(" ",C828)-5)),Справочники!$M$3:$N$14,2,0),VALUE(LEFT(C828,FIND(" ",C828)-1))))),"")</f>
        <v>33581</v>
      </c>
      <c r="J828" s="6">
        <f t="shared" si="264"/>
        <v>34</v>
      </c>
      <c r="K828" t="str">
        <f t="shared" si="265"/>
        <v>ОК</v>
      </c>
      <c r="L828" s="5">
        <f>IFERROR(IF(ISNUMBER(FIND("-",G828)),DATE(VALUE(LEFT(G828,4)),VALUE(MID(G828,6,2)),VALUE(RIGHT(G828,2))),IF(ISNUMBER(FIND(".",G828)),DATE(VALUE(RIGHT(G828,4)),VALUE(MID(G828,4,2)),VALUE(LEFT(G828,2))),DATE(VALUE(RIGHT(G828,4)),VLOOKUP(TRIM(MID(G828,FIND(" ",G828)+1,LEN(G828)-FIND(" ",G828)-5)),Справочники!$M$3:$N$14,2,0),VALUE(LEFT(G828,FIND(" ",G828)-1))))),"")</f>
        <v>52941</v>
      </c>
      <c r="M828" t="str">
        <f t="shared" si="266"/>
        <v xml:space="preserve">+7 (903) 123-45-67</v>
      </c>
      <c r="N828" t="str">
        <f t="shared" si="267"/>
        <v>leonova@yandex</v>
      </c>
      <c r="O828" t="str">
        <f t="shared" si="268"/>
        <v xml:space="preserve">Ошибка Email</v>
      </c>
      <c r="P828" t="str">
        <f>IFERROR(VLOOKUP(TRIM(SUBSTITUTE(SUBSTITUTE(" "&amp;F828," г "," "),"г.","")),Справочники!$J$3:$K$102,2,0),TRIM(SUBSTITUTE(SUBSTITUTE(" "&amp;F828," г "," "),"г.","")))</f>
        <v>Смоленск</v>
      </c>
    </row>
    <row r="829">
      <c r="A829" s="3" t="s">
        <v>3645</v>
      </c>
      <c r="B829" s="3" t="s">
        <v>7295</v>
      </c>
      <c r="C829" s="3" t="s">
        <v>7296</v>
      </c>
      <c r="D829" s="3" t="s">
        <v>4051</v>
      </c>
      <c r="E829" s="3" t="s">
        <v>7297</v>
      </c>
      <c r="F829" s="3" t="s">
        <v>4240</v>
      </c>
      <c r="G829" s="3" t="s">
        <v>7298</v>
      </c>
      <c r="H829" t="str">
        <f t="shared" si="263"/>
        <v xml:space="preserve">Зубков Андрей Олегович</v>
      </c>
      <c r="I829" s="5">
        <f>IFERROR(IF(ISNUMBER(FIND("-",C829)),DATE(VALUE(LEFT(C829,4)),VALUE(MID(C829,6,2)),VALUE(RIGHT(C829,2))),IF(ISNUMBER(FIND(".",C829)),DATE(VALUE(RIGHT(C829,4)),VALUE(MID(C829,4,2)),VALUE(LEFT(C829,2))),DATE(VALUE(RIGHT(C829,4)),VLOOKUP(TRIM(MID(C829,FIND(" ",C829)+1,LEN(C829)-FIND(" ",C829)-5)),Справочники!$M$3:$N$14,2,0),VALUE(LEFT(C829,FIND(" ",C829)-1))))),"")</f>
        <v>27999</v>
      </c>
      <c r="J829" s="6">
        <f t="shared" si="264"/>
        <v>50</v>
      </c>
      <c r="K829" t="str">
        <f t="shared" si="265"/>
        <v>ОК</v>
      </c>
      <c r="L829" s="5">
        <f>IFERROR(IF(ISNUMBER(FIND("-",G829)),DATE(VALUE(LEFT(G829,4)),VALUE(MID(G829,6,2)),VALUE(RIGHT(G829,2))),IF(ISNUMBER(FIND(".",G829)),DATE(VALUE(RIGHT(G829,4)),VALUE(MID(G829,4,2)),VALUE(LEFT(G829,2))),DATE(VALUE(RIGHT(G829,4)),VLOOKUP(TRIM(MID(G829,FIND(" ",G829)+1,LEN(G829)-FIND(" ",G829)-5)),Справочники!$M$3:$N$14,2,0),VALUE(LEFT(G829,FIND(" ",G829)-1))))),"")</f>
        <v>52941</v>
      </c>
      <c r="M829" t="str">
        <f t="shared" si="266"/>
        <v xml:space="preserve">+7 (903) 234-56-78</v>
      </c>
      <c r="N829" t="str">
        <f t="shared" si="267"/>
        <v>zubkov@gmail</v>
      </c>
      <c r="O829" t="str">
        <f t="shared" si="268"/>
        <v xml:space="preserve">Ошибка Email</v>
      </c>
      <c r="P829" t="str">
        <f>IFERROR(VLOOKUP(TRIM(SUBSTITUTE(SUBSTITUTE(" "&amp;F829," г "," "),"г.","")),Справочники!$J$3:$K$102,2,0),TRIM(SUBSTITUTE(SUBSTITUTE(" "&amp;F829," г "," "),"г.","")))</f>
        <v>Белгород</v>
      </c>
    </row>
    <row r="830">
      <c r="A830" s="3" t="s">
        <v>3647</v>
      </c>
      <c r="B830" s="3" t="s">
        <v>7299</v>
      </c>
      <c r="C830" s="3" t="s">
        <v>7300</v>
      </c>
      <c r="D830" s="3" t="s">
        <v>4057</v>
      </c>
      <c r="E830" s="3" t="s">
        <v>7301</v>
      </c>
      <c r="F830" s="3" t="s">
        <v>4245</v>
      </c>
      <c r="G830" s="3" t="s">
        <v>7302</v>
      </c>
      <c r="H830" t="str">
        <f t="shared" si="263"/>
        <v xml:space="preserve">Красикова Мария Павловна</v>
      </c>
      <c r="I830" s="5">
        <f>IFERROR(IF(ISNUMBER(FIND("-",C830)),DATE(VALUE(LEFT(C830,4)),VALUE(MID(C830,6,2)),VALUE(RIGHT(C830,2))),IF(ISNUMBER(FIND(".",C830)),DATE(VALUE(RIGHT(C830,4)),VALUE(MID(C830,4,2)),VALUE(LEFT(C830,2))),DATE(VALUE(RIGHT(C830,4)),VLOOKUP(TRIM(MID(C830,FIND(" ",C830)+1,LEN(C830)-FIND(" ",C830)-5)),Справочники!$M$3:$N$14,2,0),VALUE(LEFT(C830,FIND(" ",C830)-1))))),"")</f>
        <v>30334</v>
      </c>
      <c r="J830" s="6">
        <f t="shared" si="264"/>
        <v>43</v>
      </c>
      <c r="K830" t="str">
        <f t="shared" si="265"/>
        <v>ОК</v>
      </c>
      <c r="L830" s="5">
        <f>IFERROR(IF(ISNUMBER(FIND("-",G830)),DATE(VALUE(LEFT(G830,4)),VALUE(MID(G830,6,2)),VALUE(RIGHT(G830,2))),IF(ISNUMBER(FIND(".",G830)),DATE(VALUE(RIGHT(G830,4)),VALUE(MID(G830,4,2)),VALUE(LEFT(G830,2))),DATE(VALUE(RIGHT(G830,4)),VLOOKUP(TRIM(MID(G830,FIND(" ",G830)+1,LEN(G830)-FIND(" ",G830)-5)),Справочники!$M$3:$N$14,2,0),VALUE(LEFT(G830,FIND(" ",G830)-1))))),"")</f>
        <v>52963</v>
      </c>
      <c r="M830" t="str">
        <f t="shared" si="266"/>
        <v xml:space="preserve">+7 (903) 234-56-78</v>
      </c>
      <c r="N830" t="str">
        <f t="shared" si="267"/>
        <v>krasikova@mail</v>
      </c>
      <c r="O830" t="str">
        <f t="shared" si="268"/>
        <v xml:space="preserve">Ошибка Email</v>
      </c>
      <c r="P830" t="str">
        <f>IFERROR(VLOOKUP(TRIM(SUBSTITUTE(SUBSTITUTE(" "&amp;F830," г "," "),"г.","")),Справочники!$J$3:$K$102,2,0),TRIM(SUBSTITUTE(SUBSTITUTE(" "&amp;F830," г "," "),"г.","")))</f>
        <v>Мурманск</v>
      </c>
    </row>
    <row r="831">
      <c r="A831" s="3" t="s">
        <v>3648</v>
      </c>
      <c r="B831" s="3" t="s">
        <v>7303</v>
      </c>
      <c r="C831" s="3" t="s">
        <v>7304</v>
      </c>
      <c r="D831" s="3" t="s">
        <v>1712</v>
      </c>
      <c r="E831" s="3" t="s">
        <v>7305</v>
      </c>
      <c r="F831" s="3" t="s">
        <v>4250</v>
      </c>
      <c r="G831" s="3" t="s">
        <v>7306</v>
      </c>
      <c r="H831" t="str">
        <f t="shared" si="263"/>
        <v xml:space="preserve">Мусин Денис Викторович</v>
      </c>
      <c r="I831" s="5">
        <f>IFERROR(IF(ISNUMBER(FIND("-",C831)),DATE(VALUE(LEFT(C831,4)),VALUE(MID(C831,6,2)),VALUE(RIGHT(C831,2))),IF(ISNUMBER(FIND(".",C831)),DATE(VALUE(RIGHT(C831,4)),VALUE(MID(C831,4,2)),VALUE(LEFT(C831,2))),DATE(VALUE(RIGHT(C831,4)),VLOOKUP(TRIM(MID(C831,FIND(" ",C831)+1,LEN(C831)-FIND(" ",C831)-5)),Справочники!$M$3:$N$14,2,0),VALUE(LEFT(C831,FIND(" ",C831)-1))))),"")</f>
        <v>32788</v>
      </c>
      <c r="J831" s="6">
        <f t="shared" si="264"/>
        <v>37</v>
      </c>
      <c r="K831" t="str">
        <f t="shared" si="265"/>
        <v>ОК</v>
      </c>
      <c r="L831" s="5">
        <f>IFERROR(IF(ISNUMBER(FIND("-",G831)),DATE(VALUE(LEFT(G831,4)),VALUE(MID(G831,6,2)),VALUE(RIGHT(G831,2))),IF(ISNUMBER(FIND(".",G831)),DATE(VALUE(RIGHT(G831,4)),VALUE(MID(G831,4,2)),VALUE(LEFT(G831,2))),DATE(VALUE(RIGHT(G831,4)),VLOOKUP(TRIM(MID(G831,FIND(" ",G831)+1,LEN(G831)-FIND(" ",G831)-5)),Справочники!$M$3:$N$14,2,0),VALUE(LEFT(G831,FIND(" ",G831)-1))))),"")</f>
        <v>52977</v>
      </c>
      <c r="M831" t="str">
        <f t="shared" si="266"/>
        <v xml:space="preserve">+7 (903) 234-56-78</v>
      </c>
      <c r="N831" t="str">
        <f t="shared" si="267"/>
        <v>musin@yandex</v>
      </c>
      <c r="O831" t="str">
        <f t="shared" si="268"/>
        <v xml:space="preserve">Ошибка Email</v>
      </c>
      <c r="P831" t="str">
        <f>IFERROR(VLOOKUP(TRIM(SUBSTITUTE(SUBSTITUTE(" "&amp;F831," г "," "),"г.","")),Справочники!$J$3:$K$102,2,0),TRIM(SUBSTITUTE(SUBSTITUTE(" "&amp;F831," г "," "),"г.","")))</f>
        <v>Ставрополь</v>
      </c>
    </row>
    <row r="832">
      <c r="A832" s="3" t="s">
        <v>3650</v>
      </c>
      <c r="B832" s="3" t="s">
        <v>7307</v>
      </c>
      <c r="C832" s="3" t="s">
        <v>7308</v>
      </c>
      <c r="D832" s="3" t="s">
        <v>1584</v>
      </c>
      <c r="E832" s="3" t="s">
        <v>7309</v>
      </c>
      <c r="F832" s="3" t="s">
        <v>4255</v>
      </c>
      <c r="G832" s="3" t="s">
        <v>7310</v>
      </c>
      <c r="H832" t="str">
        <f t="shared" si="263"/>
        <v xml:space="preserve">Руднева Ольга Сергеевна</v>
      </c>
      <c r="I832" s="5">
        <f>IFERROR(IF(ISNUMBER(FIND("-",C832)),DATE(VALUE(LEFT(C832,4)),VALUE(MID(C832,6,2)),VALUE(RIGHT(C832,2))),IF(ISNUMBER(FIND(".",C832)),DATE(VALUE(RIGHT(C832,4)),VALUE(MID(C832,4,2)),VALUE(LEFT(C832,2))),DATE(VALUE(RIGHT(C832,4)),VLOOKUP(TRIM(MID(C832,FIND(" ",C832)+1,LEN(C832)-FIND(" ",C832)-5)),Справочники!$M$3:$N$14,2,0),VALUE(LEFT(C832,FIND(" ",C832)-1))))),"")</f>
        <v>28756</v>
      </c>
      <c r="J832" s="6">
        <f t="shared" si="264"/>
        <v>48</v>
      </c>
      <c r="K832" t="str">
        <f t="shared" si="265"/>
        <v>ОК</v>
      </c>
      <c r="L832" s="5">
        <f>IFERROR(IF(ISNUMBER(FIND("-",G832)),DATE(VALUE(LEFT(G832,4)),VALUE(MID(G832,6,2)),VALUE(RIGHT(G832,2))),IF(ISNUMBER(FIND(".",G832)),DATE(VALUE(RIGHT(G832,4)),VALUE(MID(G832,4,2)),VALUE(LEFT(G832,2))),DATE(VALUE(RIGHT(G832,4)),VLOOKUP(TRIM(MID(G832,FIND(" ",G832)+1,LEN(G832)-FIND(" ",G832)-5)),Справочники!$M$3:$N$14,2,0),VALUE(LEFT(G832,FIND(" ",G832)-1))))),"")</f>
        <v>52977</v>
      </c>
      <c r="M832" t="str">
        <f t="shared" si="266"/>
        <v xml:space="preserve">+7 (903) 345-67-89</v>
      </c>
      <c r="N832" t="str">
        <f t="shared" si="267"/>
        <v>rudneva@gmail</v>
      </c>
      <c r="O832" t="str">
        <f t="shared" si="268"/>
        <v xml:space="preserve">Ошибка Email</v>
      </c>
      <c r="P832" t="str">
        <f>IFERROR(VLOOKUP(TRIM(SUBSTITUTE(SUBSTITUTE(" "&amp;F832," г "," "),"г.","")),Справочники!$J$3:$K$102,2,0),TRIM(SUBSTITUTE(SUBSTITUTE(" "&amp;F832," г "," "),"г.","")))</f>
        <v>Севастополь</v>
      </c>
    </row>
    <row r="833">
      <c r="A833" s="3" t="s">
        <v>3651</v>
      </c>
      <c r="B833" s="3" t="s">
        <v>7311</v>
      </c>
      <c r="C833" s="3" t="s">
        <v>7312</v>
      </c>
      <c r="D833" s="3" t="s">
        <v>4073</v>
      </c>
      <c r="E833" s="3" t="s">
        <v>6298</v>
      </c>
      <c r="F833" s="3" t="s">
        <v>4260</v>
      </c>
      <c r="G833" s="3" t="s">
        <v>7313</v>
      </c>
      <c r="H833" t="str">
        <f t="shared" si="263"/>
        <v xml:space="preserve">Кузьмин Илья Алексеевич</v>
      </c>
      <c r="I833" s="5">
        <f>IFERROR(IF(ISNUMBER(FIND("-",C833)),DATE(VALUE(LEFT(C833,4)),VALUE(MID(C833,6,2)),VALUE(RIGHT(C833,2))),IF(ISNUMBER(FIND(".",C833)),DATE(VALUE(RIGHT(C833,4)),VALUE(MID(C833,4,2)),VALUE(LEFT(C833,2))),DATE(VALUE(RIGHT(C833,4)),VLOOKUP(TRIM(MID(C833,FIND(" ",C833)+1,LEN(C833)-FIND(" ",C833)-5)),Справочники!$M$3:$N$14,2,0),VALUE(LEFT(C833,FIND(" ",C833)-1))))),"")</f>
        <v>31182</v>
      </c>
      <c r="J833" s="6">
        <f t="shared" si="264"/>
        <v>41</v>
      </c>
      <c r="K833" t="str">
        <f t="shared" si="265"/>
        <v>ОК</v>
      </c>
      <c r="L833" s="5">
        <f>IFERROR(IF(ISNUMBER(FIND("-",G833)),DATE(VALUE(LEFT(G833,4)),VALUE(MID(G833,6,2)),VALUE(RIGHT(G833,2))),IF(ISNUMBER(FIND(".",G833)),DATE(VALUE(RIGHT(G833,4)),VALUE(MID(G833,4,2)),VALUE(LEFT(G833,2))),DATE(VALUE(RIGHT(G833,4)),VLOOKUP(TRIM(MID(G833,FIND(" ",G833)+1,LEN(G833)-FIND(" ",G833)-5)),Справочники!$M$3:$N$14,2,0),VALUE(LEFT(G833,FIND(" ",G833)-1))))),"")</f>
        <v>52994</v>
      </c>
      <c r="M833" t="str">
        <f t="shared" si="266"/>
        <v xml:space="preserve">+7 (903) 345-67-89</v>
      </c>
      <c r="N833" t="str">
        <f t="shared" si="267"/>
        <v>kuzmin@mail</v>
      </c>
      <c r="O833" t="str">
        <f t="shared" si="268"/>
        <v xml:space="preserve">Ошибка Email</v>
      </c>
      <c r="P833" t="str">
        <f>IFERROR(VLOOKUP(TRIM(SUBSTITUTE(SUBSTITUTE(" "&amp;F833," г "," "),"г.","")),Справочники!$J$3:$K$102,2,0),TRIM(SUBSTITUTE(SUBSTITUTE(" "&amp;F833," г "," "),"г.","")))</f>
        <v>Сочи</v>
      </c>
    </row>
    <row r="834">
      <c r="A834" s="3" t="s">
        <v>3653</v>
      </c>
      <c r="B834" s="3" t="s">
        <v>7314</v>
      </c>
      <c r="C834" s="3" t="s">
        <v>7315</v>
      </c>
      <c r="D834" s="3" t="s">
        <v>4079</v>
      </c>
      <c r="E834" s="3" t="s">
        <v>7316</v>
      </c>
      <c r="F834" s="3" t="s">
        <v>4265</v>
      </c>
      <c r="G834" s="3" t="s">
        <v>7317</v>
      </c>
      <c r="H834" t="str">
        <f t="shared" si="263"/>
        <v xml:space="preserve">Шатилова Екатерина Владимировна</v>
      </c>
      <c r="I834" s="5">
        <f>IFERROR(IF(ISNUMBER(FIND("-",C834)),DATE(VALUE(LEFT(C834,4)),VALUE(MID(C834,6,2)),VALUE(RIGHT(C834,2))),IF(ISNUMBER(FIND(".",C834)),DATE(VALUE(RIGHT(C834,4)),VALUE(MID(C834,4,2)),VALUE(LEFT(C834,2))),DATE(VALUE(RIGHT(C834,4)),VLOOKUP(TRIM(MID(C834,FIND(" ",C834)+1,LEN(C834)-FIND(" ",C834)-5)),Справочники!$M$3:$N$14,2,0),VALUE(LEFT(C834,FIND(" ",C834)-1))))),"")</f>
        <v>33912</v>
      </c>
      <c r="J834" s="6">
        <f t="shared" si="264"/>
        <v>33</v>
      </c>
      <c r="K834" t="str">
        <f t="shared" si="265"/>
        <v>ОК</v>
      </c>
      <c r="L834" s="5">
        <f>IFERROR(IF(ISNUMBER(FIND("-",G834)),DATE(VALUE(LEFT(G834,4)),VALUE(MID(G834,6,2)),VALUE(RIGHT(G834,2))),IF(ISNUMBER(FIND(".",G834)),DATE(VALUE(RIGHT(G834,4)),VALUE(MID(G834,4,2)),VALUE(LEFT(G834,2))),DATE(VALUE(RIGHT(G834,4)),VLOOKUP(TRIM(MID(G834,FIND(" ",G834)+1,LEN(G834)-FIND(" ",G834)-5)),Справочники!$M$3:$N$14,2,0),VALUE(LEFT(G834,FIND(" ",G834)-1))))),"")</f>
        <v>53003</v>
      </c>
      <c r="M834" t="str">
        <f t="shared" si="266"/>
        <v xml:space="preserve">+7 (903) 345-67-89</v>
      </c>
      <c r="N834" t="str">
        <f t="shared" si="267"/>
        <v>shatilova@yandex</v>
      </c>
      <c r="O834" t="str">
        <f t="shared" si="268"/>
        <v xml:space="preserve">Ошибка Email</v>
      </c>
      <c r="P834" t="str">
        <f>IFERROR(VLOOKUP(TRIM(SUBSTITUTE(SUBSTITUTE(" "&amp;F834," г "," "),"г.","")),Справочники!$J$3:$K$102,2,0),TRIM(SUBSTITUTE(SUBSTITUTE(" "&amp;F834," г "," "),"г.","")))</f>
        <v>Симферополь</v>
      </c>
    </row>
    <row r="835">
      <c r="A835" s="3" t="s">
        <v>3655</v>
      </c>
      <c r="B835" s="3" t="s">
        <v>7318</v>
      </c>
      <c r="C835" s="3" t="s">
        <v>7319</v>
      </c>
      <c r="D835" s="3" t="s">
        <v>4085</v>
      </c>
      <c r="E835" s="3" t="s">
        <v>7320</v>
      </c>
      <c r="F835" s="3" t="s">
        <v>4270</v>
      </c>
      <c r="G835" s="3" t="s">
        <v>7321</v>
      </c>
      <c r="H835" t="str">
        <f t="shared" si="263"/>
        <v xml:space="preserve">Петрухин Андрей Олегович</v>
      </c>
      <c r="I835" s="5">
        <f>IFERROR(IF(ISNUMBER(FIND("-",C835)),DATE(VALUE(LEFT(C835,4)),VALUE(MID(C835,6,2)),VALUE(RIGHT(C835,2))),IF(ISNUMBER(FIND(".",C835)),DATE(VALUE(RIGHT(C835,4)),VALUE(MID(C835,4,2)),VALUE(LEFT(C835,2))),DATE(VALUE(RIGHT(C835,4)),VLOOKUP(TRIM(MID(C835,FIND(" ",C835)+1,LEN(C835)-FIND(" ",C835)-5)),Справочники!$M$3:$N$14,2,0),VALUE(LEFT(C835,FIND(" ",C835)-1))))),"")</f>
        <v>26847</v>
      </c>
      <c r="J835" s="6">
        <f t="shared" si="264"/>
        <v>53</v>
      </c>
      <c r="K835" t="str">
        <f t="shared" si="265"/>
        <v>ОК</v>
      </c>
      <c r="L835" s="5">
        <f>IFERROR(IF(ISNUMBER(FIND("-",G835)),DATE(VALUE(LEFT(G835,4)),VALUE(MID(G835,6,2)),VALUE(RIGHT(G835,2))),IF(ISNUMBER(FIND(".",G835)),DATE(VALUE(RIGHT(G835,4)),VALUE(MID(G835,4,2)),VALUE(LEFT(G835,2))),DATE(VALUE(RIGHT(G835,4)),VLOOKUP(TRIM(MID(G835,FIND(" ",G835)+1,LEN(G835)-FIND(" ",G835)-5)),Справочники!$M$3:$N$14,2,0),VALUE(LEFT(G835,FIND(" ",G835)-1))))),"")</f>
        <v>53003</v>
      </c>
      <c r="M835" t="str">
        <f t="shared" si="266"/>
        <v xml:space="preserve">+7 (903) 456-78-90</v>
      </c>
      <c r="N835" t="str">
        <f t="shared" si="267"/>
        <v>petruhin@gmail</v>
      </c>
      <c r="O835" t="str">
        <f t="shared" si="268"/>
        <v xml:space="preserve">Ошибка Email</v>
      </c>
      <c r="P835" t="str">
        <f>IFERROR(VLOOKUP(TRIM(SUBSTITUTE(SUBSTITUTE(" "&amp;F835," г "," "),"г.","")),Справочники!$J$3:$K$102,2,0),TRIM(SUBSTITUTE(SUBSTITUTE(" "&amp;F835," г "," "),"г.","")))</f>
        <v>Брянск</v>
      </c>
    </row>
    <row r="836">
      <c r="A836" s="3" t="s">
        <v>3657</v>
      </c>
      <c r="B836" s="3" t="s">
        <v>7322</v>
      </c>
      <c r="C836" s="3" t="s">
        <v>6974</v>
      </c>
      <c r="D836" s="3" t="s">
        <v>1591</v>
      </c>
      <c r="E836" s="3" t="s">
        <v>7323</v>
      </c>
      <c r="F836" s="3" t="s">
        <v>4275</v>
      </c>
      <c r="G836" s="3" t="s">
        <v>7324</v>
      </c>
      <c r="H836" t="str">
        <f t="shared" si="263"/>
        <v xml:space="preserve">Стрекалова Мария Павловна</v>
      </c>
      <c r="I836" s="5">
        <f>IFERROR(IF(ISNUMBER(FIND("-",C836)),DATE(VALUE(LEFT(C836,4)),VALUE(MID(C836,6,2)),VALUE(RIGHT(C836,2))),IF(ISNUMBER(FIND(".",C836)),DATE(VALUE(RIGHT(C836,4)),VALUE(MID(C836,4,2)),VALUE(LEFT(C836,2))),DATE(VALUE(RIGHT(C836,4)),VLOOKUP(TRIM(MID(C836,FIND(" ",C836)+1,LEN(C836)-FIND(" ",C836)-5)),Справочники!$M$3:$N$14,2,0),VALUE(LEFT(C836,FIND(" ",C836)-1))))),"")</f>
        <v>29949</v>
      </c>
      <c r="J836" s="6">
        <f t="shared" si="264"/>
        <v>44</v>
      </c>
      <c r="K836" t="str">
        <f t="shared" si="265"/>
        <v>ОК</v>
      </c>
      <c r="L836" s="5">
        <f>IFERROR(IF(ISNUMBER(FIND("-",G836)),DATE(VALUE(LEFT(G836,4)),VALUE(MID(G836,6,2)),VALUE(RIGHT(G836,2))),IF(ISNUMBER(FIND(".",G836)),DATE(VALUE(RIGHT(G836,4)),VALUE(MID(G836,4,2)),VALUE(LEFT(G836,2))),DATE(VALUE(RIGHT(G836,4)),VLOOKUP(TRIM(MID(G836,FIND(" ",G836)+1,LEN(G836)-FIND(" ",G836)-5)),Справочники!$M$3:$N$14,2,0),VALUE(LEFT(G836,FIND(" ",G836)-1))))),"")</f>
        <v>53022</v>
      </c>
      <c r="M836" t="str">
        <f t="shared" si="266"/>
        <v xml:space="preserve">+7 (903) 456-78-90</v>
      </c>
      <c r="N836" t="str">
        <f t="shared" si="267"/>
        <v>strekalova@mail</v>
      </c>
      <c r="O836" t="str">
        <f t="shared" si="268"/>
        <v xml:space="preserve">Ошибка Email</v>
      </c>
      <c r="P836" t="str">
        <f>IFERROR(VLOOKUP(TRIM(SUBSTITUTE(SUBSTITUTE(" "&amp;F836," г "," "),"г.","")),Справочники!$J$3:$K$102,2,0),TRIM(SUBSTITUTE(SUBSTITUTE(" "&amp;F836," г "," "),"г.","")))</f>
        <v>Абакан</v>
      </c>
    </row>
    <row r="837">
      <c r="A837" s="3" t="s">
        <v>3658</v>
      </c>
      <c r="B837" s="3" t="s">
        <v>7325</v>
      </c>
      <c r="C837" s="3" t="s">
        <v>7326</v>
      </c>
      <c r="D837" s="3" t="s">
        <v>1660</v>
      </c>
      <c r="E837" s="3" t="s">
        <v>4633</v>
      </c>
      <c r="F837" s="3" t="s">
        <v>4280</v>
      </c>
      <c r="G837" s="3" t="s">
        <v>7327</v>
      </c>
      <c r="H837" t="str">
        <f t="shared" si="263"/>
        <v xml:space="preserve">Назаров Денис Сергеевич</v>
      </c>
      <c r="I837" s="5">
        <f>IFERROR(IF(ISNUMBER(FIND("-",C837)),DATE(VALUE(LEFT(C837,4)),VALUE(MID(C837,6,2)),VALUE(RIGHT(C837,2))),IF(ISNUMBER(FIND(".",C837)),DATE(VALUE(RIGHT(C837,4)),VALUE(MID(C837,4,2)),VALUE(LEFT(C837,2))),DATE(VALUE(RIGHT(C837,4)),VLOOKUP(TRIM(MID(C837,FIND(" ",C837)+1,LEN(C837)-FIND(" ",C837)-5)),Справочники!$M$3:$N$14,2,0),VALUE(LEFT(C837,FIND(" ",C837)-1))))),"")</f>
        <v>31489</v>
      </c>
      <c r="J837" s="6">
        <f t="shared" si="264"/>
        <v>40</v>
      </c>
      <c r="K837" t="str">
        <f t="shared" si="265"/>
        <v>ОК</v>
      </c>
      <c r="L837" s="5">
        <f>IFERROR(IF(ISNUMBER(FIND("-",G837)),DATE(VALUE(LEFT(G837,4)),VALUE(MID(G837,6,2)),VALUE(RIGHT(G837,2))),IF(ISNUMBER(FIND(".",G837)),DATE(VALUE(RIGHT(G837,4)),VALUE(MID(G837,4,2)),VALUE(LEFT(G837,2))),DATE(VALUE(RIGHT(G837,4)),VLOOKUP(TRIM(MID(G837,FIND(" ",G837)+1,LEN(G837)-FIND(" ",G837)-5)),Справочники!$M$3:$N$14,2,0),VALUE(LEFT(G837,FIND(" ",G837)-1))))),"")</f>
        <v>53036</v>
      </c>
      <c r="M837" t="str">
        <f t="shared" si="266"/>
        <v xml:space="preserve">+7 (903) 456-78-90</v>
      </c>
      <c r="N837" t="str">
        <f t="shared" si="267"/>
        <v>nazarov@yandex</v>
      </c>
      <c r="O837" t="str">
        <f t="shared" si="268"/>
        <v xml:space="preserve">Ошибка Email</v>
      </c>
      <c r="P837" t="str">
        <f>IFERROR(VLOOKUP(TRIM(SUBSTITUTE(SUBSTITUTE(" "&amp;F837," г "," "),"г.","")),Справочники!$J$3:$K$102,2,0),TRIM(SUBSTITUTE(SUBSTITUTE(" "&amp;F837," г "," "),"г.","")))</f>
        <v>Грозный</v>
      </c>
    </row>
    <row r="838">
      <c r="A838" s="3" t="s">
        <v>3660</v>
      </c>
      <c r="B838" s="3" t="s">
        <v>7328</v>
      </c>
      <c r="C838" s="3" t="s">
        <v>7329</v>
      </c>
      <c r="D838" s="3" t="s">
        <v>3984</v>
      </c>
      <c r="E838" s="3" t="s">
        <v>7330</v>
      </c>
      <c r="F838" s="3" t="s">
        <v>4285</v>
      </c>
      <c r="G838" s="3" t="s">
        <v>7331</v>
      </c>
      <c r="H838" t="str">
        <f t="shared" si="263"/>
        <v xml:space="preserve">Иванищева Ольга Владимировна</v>
      </c>
      <c r="I838" s="5">
        <f>IFERROR(IF(ISNUMBER(FIND("-",C838)),DATE(VALUE(LEFT(C838,4)),VALUE(MID(C838,6,2)),VALUE(RIGHT(C838,2))),IF(ISNUMBER(FIND(".",C838)),DATE(VALUE(RIGHT(C838,4)),VALUE(MID(C838,4,2)),VALUE(LEFT(C838,2))),DATE(VALUE(RIGHT(C838,4)),VLOOKUP(TRIM(MID(C838,FIND(" ",C838)+1,LEN(C838)-FIND(" ",C838)-5)),Справочники!$M$3:$N$14,2,0),VALUE(LEFT(C838,FIND(" ",C838)-1))))),"")</f>
        <v>27251</v>
      </c>
      <c r="J838" s="6">
        <f t="shared" si="264"/>
        <v>52</v>
      </c>
      <c r="K838" t="str">
        <f t="shared" si="265"/>
        <v>ОК</v>
      </c>
      <c r="L838" s="5">
        <f>IFERROR(IF(ISNUMBER(FIND("-",G838)),DATE(VALUE(LEFT(G838,4)),VALUE(MID(G838,6,2)),VALUE(RIGHT(G838,2))),IF(ISNUMBER(FIND(".",G838)),DATE(VALUE(RIGHT(G838,4)),VALUE(MID(G838,4,2)),VALUE(LEFT(G838,2))),DATE(VALUE(RIGHT(G838,4)),VLOOKUP(TRIM(MID(G838,FIND(" ",G838)+1,LEN(G838)-FIND(" ",G838)-5)),Справочники!$M$3:$N$14,2,0),VALUE(LEFT(G838,FIND(" ",G838)-1))))),"")</f>
        <v>53036</v>
      </c>
      <c r="M838" t="str">
        <f t="shared" si="266"/>
        <v xml:space="preserve">+7 (903) 567-89-01</v>
      </c>
      <c r="N838" t="str">
        <f t="shared" si="267"/>
        <v>ivanischeva@gmail</v>
      </c>
      <c r="O838" t="str">
        <f t="shared" si="268"/>
        <v xml:space="preserve">Ошибка Email</v>
      </c>
      <c r="P838" t="str">
        <f>IFERROR(VLOOKUP(TRIM(SUBSTITUTE(SUBSTITUTE(" "&amp;F838," г "," "),"г.","")),Справочники!$J$3:$K$102,2,0),TRIM(SUBSTITUTE(SUBSTITUTE(" "&amp;F838," г "," "),"г.","")))</f>
        <v>Бийск</v>
      </c>
    </row>
    <row r="839">
      <c r="A839" s="3" t="s">
        <v>3662</v>
      </c>
      <c r="B839" s="3" t="s">
        <v>7332</v>
      </c>
      <c r="C839" s="3" t="s">
        <v>7056</v>
      </c>
      <c r="D839" s="3" t="s">
        <v>3990</v>
      </c>
      <c r="E839" s="3" t="s">
        <v>7333</v>
      </c>
      <c r="F839" s="3" t="s">
        <v>4290</v>
      </c>
      <c r="G839" s="3" t="s">
        <v>7334</v>
      </c>
      <c r="H839" t="str">
        <f t="shared" si="263"/>
        <v xml:space="preserve">Спирин Илья Александрович</v>
      </c>
      <c r="I839" s="5">
        <f>IFERROR(IF(ISNUMBER(FIND("-",C839)),DATE(VALUE(LEFT(C839,4)),VALUE(MID(C839,6,2)),VALUE(RIGHT(C839,2))),IF(ISNUMBER(FIND(".",C839)),DATE(VALUE(RIGHT(C839,4)),VALUE(MID(C839,4,2)),VALUE(LEFT(C839,2))),DATE(VALUE(RIGHT(C839,4)),VLOOKUP(TRIM(MID(C839,FIND(" ",C839)+1,LEN(C839)-FIND(" ",C839)-5)),Справочники!$M$3:$N$14,2,0),VALUE(LEFT(C839,FIND(" ",C839)-1))))),"")</f>
        <v>30682</v>
      </c>
      <c r="J839" s="6">
        <f t="shared" si="264"/>
        <v>42</v>
      </c>
      <c r="K839" t="str">
        <f t="shared" si="265"/>
        <v>ОК</v>
      </c>
      <c r="L839" s="5">
        <f>IFERROR(IF(ISNUMBER(FIND("-",G839)),DATE(VALUE(LEFT(G839,4)),VALUE(MID(G839,6,2)),VALUE(RIGHT(G839,2))),IF(ISNUMBER(FIND(".",G839)),DATE(VALUE(RIGHT(G839,4)),VALUE(MID(G839,4,2)),VALUE(LEFT(G839,2))),DATE(VALUE(RIGHT(G839,4)),VLOOKUP(TRIM(MID(G839,FIND(" ",G839)+1,LEN(G839)-FIND(" ",G839)-5)),Справочники!$M$3:$N$14,2,0),VALUE(LEFT(G839,FIND(" ",G839)-1))))),"")</f>
        <v>53053</v>
      </c>
      <c r="M839" t="str">
        <f t="shared" si="266"/>
        <v xml:space="preserve">+7 (903) 567-89-01</v>
      </c>
      <c r="N839" t="str">
        <f t="shared" si="267"/>
        <v>spirin@mail</v>
      </c>
      <c r="O839" t="str">
        <f t="shared" si="268"/>
        <v xml:space="preserve">Ошибка Email</v>
      </c>
      <c r="P839" t="str">
        <f>IFERROR(VLOOKUP(TRIM(SUBSTITUTE(SUBSTITUTE(" "&amp;F839," г "," "),"г.","")),Справочники!$J$3:$K$102,2,0),TRIM(SUBSTITUTE(SUBSTITUTE(" "&amp;F839," г "," "),"г.","")))</f>
        <v>Йошкар-Ола</v>
      </c>
    </row>
    <row r="840">
      <c r="A840" s="3" t="s">
        <v>3664</v>
      </c>
      <c r="B840" s="3" t="s">
        <v>7335</v>
      </c>
      <c r="C840" s="3" t="s">
        <v>7336</v>
      </c>
      <c r="D840" s="3" t="s">
        <v>1598</v>
      </c>
      <c r="E840" s="3" t="s">
        <v>7337</v>
      </c>
      <c r="F840" s="3" t="s">
        <v>4295</v>
      </c>
      <c r="G840" s="3" t="s">
        <v>7338</v>
      </c>
      <c r="H840" t="str">
        <f t="shared" si="263"/>
        <v xml:space="preserve">Гурьева Екатерина Сергеевна</v>
      </c>
      <c r="I840" s="5">
        <f>IFERROR(IF(ISNUMBER(FIND("-",C840)),DATE(VALUE(LEFT(C840,4)),VALUE(MID(C840,6,2)),VALUE(RIGHT(C840,2))),IF(ISNUMBER(FIND(".",C840)),DATE(VALUE(RIGHT(C840,4)),VALUE(MID(C840,4,2)),VALUE(LEFT(C840,2))),DATE(VALUE(RIGHT(C840,4)),VLOOKUP(TRIM(MID(C840,FIND(" ",C840)+1,LEN(C840)-FIND(" ",C840)-5)),Справочники!$M$3:$N$14,2,0),VALUE(LEFT(C840,FIND(" ",C840)-1))))),"")</f>
        <v>33352</v>
      </c>
      <c r="J840" s="6">
        <f t="shared" si="264"/>
        <v>35</v>
      </c>
      <c r="K840" t="str">
        <f t="shared" si="265"/>
        <v>ОК</v>
      </c>
      <c r="L840" s="5">
        <f>IFERROR(IF(ISNUMBER(FIND("-",G840)),DATE(VALUE(LEFT(G840,4)),VALUE(MID(G840,6,2)),VALUE(RIGHT(G840,2))),IF(ISNUMBER(FIND(".",G840)),DATE(VALUE(RIGHT(G840,4)),VALUE(MID(G840,4,2)),VALUE(LEFT(G840,2))),DATE(VALUE(RIGHT(G840,4)),VLOOKUP(TRIM(MID(G840,FIND(" ",G840)+1,LEN(G840)-FIND(" ",G840)-5)),Справочники!$M$3:$N$14,2,0),VALUE(LEFT(G840,FIND(" ",G840)-1))))),"")</f>
        <v>53062</v>
      </c>
      <c r="M840" t="str">
        <f t="shared" si="266"/>
        <v xml:space="preserve">+7 (903) 567-89-01</v>
      </c>
      <c r="N840" t="str">
        <f t="shared" si="267"/>
        <v>gurieva@yandex</v>
      </c>
      <c r="O840" t="str">
        <f t="shared" si="268"/>
        <v xml:space="preserve">Ошибка Email</v>
      </c>
      <c r="P840" t="str">
        <f>IFERROR(VLOOKUP(TRIM(SUBSTITUTE(SUBSTITUTE(" "&amp;F840," г "," "),"г.","")),Справочники!$J$3:$K$102,2,0),TRIM(SUBSTITUTE(SUBSTITUTE(" "&amp;F840," г "," "),"г.","")))</f>
        <v>Курган</v>
      </c>
    </row>
    <row r="841">
      <c r="A841" s="3" t="s">
        <v>3666</v>
      </c>
      <c r="B841" s="3" t="s">
        <v>7339</v>
      </c>
      <c r="C841" s="3" t="s">
        <v>7340</v>
      </c>
      <c r="D841" s="3" t="s">
        <v>4116</v>
      </c>
      <c r="E841" s="3" t="s">
        <v>7341</v>
      </c>
      <c r="F841" s="3" t="s">
        <v>4300</v>
      </c>
      <c r="G841" s="3" t="s">
        <v>7342</v>
      </c>
      <c r="H841" t="str">
        <f t="shared" si="263"/>
        <v xml:space="preserve">Митрохин Андрей Олегович</v>
      </c>
      <c r="I841" s="5">
        <f>IFERROR(IF(ISNUMBER(FIND("-",C841)),DATE(VALUE(LEFT(C841,4)),VALUE(MID(C841,6,2)),VALUE(RIGHT(C841,2))),IF(ISNUMBER(FIND(".",C841)),DATE(VALUE(RIGHT(C841,4)),VALUE(MID(C841,4,2)),VALUE(LEFT(C841,2))),DATE(VALUE(RIGHT(C841,4)),VLOOKUP(TRIM(MID(C841,FIND(" ",C841)+1,LEN(C841)-FIND(" ",C841)-5)),Справочники!$M$3:$N$14,2,0),VALUE(LEFT(C841,FIND(" ",C841)-1))))),"")</f>
        <v>29023</v>
      </c>
      <c r="J841" s="6">
        <f t="shared" si="264"/>
        <v>47</v>
      </c>
      <c r="K841" t="str">
        <f t="shared" si="265"/>
        <v>ОК</v>
      </c>
      <c r="L841" s="5">
        <f>IFERROR(IF(ISNUMBER(FIND("-",G841)),DATE(VALUE(LEFT(G841,4)),VALUE(MID(G841,6,2)),VALUE(RIGHT(G841,2))),IF(ISNUMBER(FIND(".",G841)),DATE(VALUE(RIGHT(G841,4)),VALUE(MID(G841,4,2)),VALUE(LEFT(G841,2))),DATE(VALUE(RIGHT(G841,4)),VLOOKUP(TRIM(MID(G841,FIND(" ",G841)+1,LEN(G841)-FIND(" ",G841)-5)),Справочники!$M$3:$N$14,2,0),VALUE(LEFT(G841,FIND(" ",G841)-1))))),"")</f>
        <v>53062</v>
      </c>
      <c r="M841" t="str">
        <f t="shared" si="266"/>
        <v xml:space="preserve">+7 (903) 678-90-12</v>
      </c>
      <c r="N841" t="str">
        <f t="shared" si="267"/>
        <v>mitrohin@gmail</v>
      </c>
      <c r="O841" t="str">
        <f t="shared" si="268"/>
        <v xml:space="preserve">Ошибка Email</v>
      </c>
      <c r="P841" t="str">
        <f>IFERROR(VLOOKUP(TRIM(SUBSTITUTE(SUBSTITUTE(" "&amp;F841," г "," "),"г.","")),Справочники!$J$3:$K$102,2,0),TRIM(SUBSTITUTE(SUBSTITUTE(" "&amp;F841," г "," "),"г.","")))</f>
        <v>Архангельск</v>
      </c>
    </row>
    <row r="842">
      <c r="A842" s="3" t="s">
        <v>3668</v>
      </c>
      <c r="B842" s="3" t="s">
        <v>7343</v>
      </c>
      <c r="C842" s="3" t="s">
        <v>7344</v>
      </c>
      <c r="D842" s="3" t="s">
        <v>4122</v>
      </c>
      <c r="E842" s="3" t="s">
        <v>7345</v>
      </c>
      <c r="F842" s="3" t="s">
        <v>4305</v>
      </c>
      <c r="G842" s="3" t="s">
        <v>7346</v>
      </c>
      <c r="H842" t="str">
        <f t="shared" si="263"/>
        <v xml:space="preserve">Скоробогатова Мария Павловна</v>
      </c>
      <c r="I842" s="5">
        <f>IFERROR(IF(ISNUMBER(FIND("-",C842)),DATE(VALUE(LEFT(C842,4)),VALUE(MID(C842,6,2)),VALUE(RIGHT(C842,2))),IF(ISNUMBER(FIND(".",C842)),DATE(VALUE(RIGHT(C842,4)),VALUE(MID(C842,4,2)),VALUE(LEFT(C842,2))),DATE(VALUE(RIGHT(C842,4)),VLOOKUP(TRIM(MID(C842,FIND(" ",C842)+1,LEN(C842)-FIND(" ",C842)-5)),Справочники!$M$3:$N$14,2,0),VALUE(LEFT(C842,FIND(" ",C842)-1))))),"")</f>
        <v>32453</v>
      </c>
      <c r="J842" s="6">
        <f t="shared" si="264"/>
        <v>37</v>
      </c>
      <c r="K842" t="str">
        <f t="shared" si="265"/>
        <v>ОК</v>
      </c>
      <c r="L842" s="5">
        <f>IFERROR(IF(ISNUMBER(FIND("-",G842)),DATE(VALUE(LEFT(G842,4)),VALUE(MID(G842,6,2)),VALUE(RIGHT(G842,2))),IF(ISNUMBER(FIND(".",G842)),DATE(VALUE(RIGHT(G842,4)),VALUE(MID(G842,4,2)),VALUE(LEFT(G842,2))),DATE(VALUE(RIGHT(G842,4)),VLOOKUP(TRIM(MID(G842,FIND(" ",G842)+1,LEN(G842)-FIND(" ",G842)-5)),Справочники!$M$3:$N$14,2,0),VALUE(LEFT(G842,FIND(" ",G842)-1))))),"")</f>
        <v>53083</v>
      </c>
      <c r="M842" t="str">
        <f t="shared" si="266"/>
        <v xml:space="preserve">+7 (903) 678-90-12</v>
      </c>
      <c r="N842" t="str">
        <f t="shared" si="267"/>
        <v>skorobogatova@mail</v>
      </c>
      <c r="O842" t="str">
        <f t="shared" si="268"/>
        <v xml:space="preserve">Ошибка Email</v>
      </c>
      <c r="P842" t="str">
        <f>IFERROR(VLOOKUP(TRIM(SUBSTITUTE(SUBSTITUTE(" "&amp;F842," г "," "),"г.","")),Справочники!$J$3:$K$102,2,0),TRIM(SUBSTITUTE(SUBSTITUTE(" "&amp;F842," г "," "),"г.","")))</f>
        <v>Благовещенск</v>
      </c>
    </row>
    <row r="843">
      <c r="A843" s="3" t="s">
        <v>3669</v>
      </c>
      <c r="B843" s="3" t="s">
        <v>7347</v>
      </c>
      <c r="C843" s="3" t="s">
        <v>7348</v>
      </c>
      <c r="D843" s="3" t="s">
        <v>1605</v>
      </c>
      <c r="E843" s="3" t="s">
        <v>7349</v>
      </c>
      <c r="F843" s="3" t="s">
        <v>4310</v>
      </c>
      <c r="G843" s="3" t="s">
        <v>7350</v>
      </c>
      <c r="H843" t="str">
        <f t="shared" si="263"/>
        <v xml:space="preserve">Чижов Денис Викторович</v>
      </c>
      <c r="I843" s="5">
        <f>IFERROR(IF(ISNUMBER(FIND("-",C843)),DATE(VALUE(LEFT(C843,4)),VALUE(MID(C843,6,2)),VALUE(RIGHT(C843,2))),IF(ISNUMBER(FIND(".",C843)),DATE(VALUE(RIGHT(C843,4)),VALUE(MID(C843,4,2)),VALUE(LEFT(C843,2))),DATE(VALUE(RIGHT(C843,4)),VLOOKUP(TRIM(MID(C843,FIND(" ",C843)+1,LEN(C843)-FIND(" ",C843)-5)),Справочники!$M$3:$N$14,2,0),VALUE(LEFT(C843,FIND(" ",C843)-1))))),"")</f>
        <v>30527</v>
      </c>
      <c r="J843" s="6">
        <f t="shared" si="264"/>
        <v>43</v>
      </c>
      <c r="K843" t="str">
        <f t="shared" si="265"/>
        <v>ОК</v>
      </c>
      <c r="L843" s="5">
        <f>IFERROR(IF(ISNUMBER(FIND("-",G843)),DATE(VALUE(LEFT(G843,4)),VALUE(MID(G843,6,2)),VALUE(RIGHT(G843,2))),IF(ISNUMBER(FIND(".",G843)),DATE(VALUE(RIGHT(G843,4)),VALUE(MID(G843,4,2)),VALUE(LEFT(G843,2))),DATE(VALUE(RIGHT(G843,4)),VLOOKUP(TRIM(MID(G843,FIND(" ",G843)+1,LEN(G843)-FIND(" ",G843)-5)),Справочники!$M$3:$N$14,2,0),VALUE(LEFT(G843,FIND(" ",G843)-1))))),"")</f>
        <v>53097</v>
      </c>
      <c r="M843" t="str">
        <f t="shared" si="266"/>
        <v xml:space="preserve">+7 (903) 678-90-12</v>
      </c>
      <c r="N843" t="str">
        <f t="shared" si="267"/>
        <v>chizhov@yandex</v>
      </c>
      <c r="O843" t="str">
        <f t="shared" si="268"/>
        <v xml:space="preserve">Ошибка Email</v>
      </c>
      <c r="P843" t="str">
        <f>IFERROR(VLOOKUP(TRIM(SUBSTITUTE(SUBSTITUTE(" "&amp;F843," г "," "),"г.","")),Справочники!$J$3:$K$102,2,0),TRIM(SUBSTITUTE(SUBSTITUTE(" "&amp;F843," г "," "),"г.","")))</f>
        <v>Майкоп</v>
      </c>
    </row>
    <row r="844">
      <c r="A844" s="3" t="s">
        <v>3671</v>
      </c>
      <c r="B844" s="3" t="s">
        <v>7351</v>
      </c>
      <c r="C844" s="3" t="s">
        <v>7352</v>
      </c>
      <c r="D844" s="3" t="s">
        <v>4001</v>
      </c>
      <c r="E844" s="3" t="s">
        <v>7353</v>
      </c>
      <c r="F844" s="3" t="s">
        <v>4315</v>
      </c>
      <c r="G844" s="3" t="s">
        <v>7354</v>
      </c>
      <c r="H844" t="str">
        <f t="shared" si="263"/>
        <v xml:space="preserve">Лукина Ольга Сергеевна</v>
      </c>
      <c r="I844" s="5">
        <f>IFERROR(IF(ISNUMBER(FIND("-",C844)),DATE(VALUE(LEFT(C844,4)),VALUE(MID(C844,6,2)),VALUE(RIGHT(C844,2))),IF(ISNUMBER(FIND(".",C844)),DATE(VALUE(RIGHT(C844,4)),VALUE(MID(C844,4,2)),VALUE(LEFT(C844,2))),DATE(VALUE(RIGHT(C844,4)),VLOOKUP(TRIM(MID(C844,FIND(" ",C844)+1,LEN(C844)-FIND(" ",C844)-5)),Справочники!$M$3:$N$14,2,0),VALUE(LEFT(C844,FIND(" ",C844)-1))))),"")</f>
        <v>27688</v>
      </c>
      <c r="J844" s="6">
        <f t="shared" si="264"/>
        <v>51</v>
      </c>
      <c r="K844" t="str">
        <f t="shared" si="265"/>
        <v>ОК</v>
      </c>
      <c r="L844" s="5">
        <f>IFERROR(IF(ISNUMBER(FIND("-",G844)),DATE(VALUE(LEFT(G844,4)),VALUE(MID(G844,6,2)),VALUE(RIGHT(G844,2))),IF(ISNUMBER(FIND(".",G844)),DATE(VALUE(RIGHT(G844,4)),VALUE(MID(G844,4,2)),VALUE(LEFT(G844,2))),DATE(VALUE(RIGHT(G844,4)),VLOOKUP(TRIM(MID(G844,FIND(" ",G844)+1,LEN(G844)-FIND(" ",G844)-5)),Справочники!$M$3:$N$14,2,0),VALUE(LEFT(G844,FIND(" ",G844)-1))))),"")</f>
        <v>53097</v>
      </c>
      <c r="M844" t="str">
        <f t="shared" si="266"/>
        <v xml:space="preserve">+7 (903) 789-01-23</v>
      </c>
      <c r="N844" t="str">
        <f t="shared" si="267"/>
        <v>lukina@gmail</v>
      </c>
      <c r="O844" t="str">
        <f t="shared" si="268"/>
        <v xml:space="preserve">Ошибка Email</v>
      </c>
      <c r="P844" t="str">
        <f>IFERROR(VLOOKUP(TRIM(SUBSTITUTE(SUBSTITUTE(" "&amp;F844," г "," "),"г.","")),Справочники!$J$3:$K$102,2,0),TRIM(SUBSTITUTE(SUBSTITUTE(" "&amp;F844," г "," "),"г.","")))</f>
        <v>Уссурийск</v>
      </c>
    </row>
    <row r="845">
      <c r="A845" s="3" t="s">
        <v>3672</v>
      </c>
      <c r="B845" s="3" t="s">
        <v>7355</v>
      </c>
      <c r="C845" s="3" t="s">
        <v>7356</v>
      </c>
      <c r="D845" s="3" t="s">
        <v>4138</v>
      </c>
      <c r="E845" s="3" t="s">
        <v>7357</v>
      </c>
      <c r="F845" s="3" t="s">
        <v>4320</v>
      </c>
      <c r="G845" s="3" t="s">
        <v>7358</v>
      </c>
      <c r="H845" t="str">
        <f t="shared" si="263"/>
        <v xml:space="preserve">Белоус Илья Алексеевич</v>
      </c>
      <c r="I845" s="5">
        <f>IFERROR(IF(ISNUMBER(FIND("-",C845)),DATE(VALUE(LEFT(C845,4)),VALUE(MID(C845,6,2)),VALUE(RIGHT(C845,2))),IF(ISNUMBER(FIND(".",C845)),DATE(VALUE(RIGHT(C845,4)),VALUE(MID(C845,4,2)),VALUE(LEFT(C845,2))),DATE(VALUE(RIGHT(C845,4)),VLOOKUP(TRIM(MID(C845,FIND(" ",C845)+1,LEN(C845)-FIND(" ",C845)-5)),Справочники!$M$3:$N$14,2,0),VALUE(LEFT(C845,FIND(" ",C845)-1))))),"")</f>
        <v>29574</v>
      </c>
      <c r="J845" s="6">
        <f t="shared" si="264"/>
        <v>45</v>
      </c>
      <c r="K845" t="str">
        <f t="shared" si="265"/>
        <v>ОК</v>
      </c>
      <c r="L845" s="5">
        <f>IFERROR(IF(ISNUMBER(FIND("-",G845)),DATE(VALUE(LEFT(G845,4)),VALUE(MID(G845,6,2)),VALUE(RIGHT(G845,2))),IF(ISNUMBER(FIND(".",G845)),DATE(VALUE(RIGHT(G845,4)),VALUE(MID(G845,4,2)),VALUE(LEFT(G845,2))),DATE(VALUE(RIGHT(G845,4)),VLOOKUP(TRIM(MID(G845,FIND(" ",G845)+1,LEN(G845)-FIND(" ",G845)-5)),Справочники!$M$3:$N$14,2,0),VALUE(LEFT(G845,FIND(" ",G845)-1))))),"")</f>
        <v>53114</v>
      </c>
      <c r="M845" t="str">
        <f t="shared" si="266"/>
        <v xml:space="preserve">+7 (903) 789-01-23</v>
      </c>
      <c r="N845" t="str">
        <f t="shared" si="267"/>
        <v>belous@mail</v>
      </c>
      <c r="O845" t="str">
        <f t="shared" si="268"/>
        <v xml:space="preserve">Ошибка Email</v>
      </c>
      <c r="P845" t="str">
        <f>IFERROR(VLOOKUP(TRIM(SUBSTITUTE(SUBSTITUTE(" "&amp;F845," г "," "),"г.","")),Справочники!$J$3:$K$102,2,0),TRIM(SUBSTITUTE(SUBSTITUTE(" "&amp;F845," г "," "),"г.","")))</f>
        <v>Миасс</v>
      </c>
    </row>
    <row r="846">
      <c r="A846" s="3" t="s">
        <v>3674</v>
      </c>
      <c r="B846" s="3" t="s">
        <v>7359</v>
      </c>
      <c r="C846" s="3" t="s">
        <v>7360</v>
      </c>
      <c r="D846" s="3" t="s">
        <v>4144</v>
      </c>
      <c r="E846" s="3" t="s">
        <v>6556</v>
      </c>
      <c r="F846" s="3" t="s">
        <v>4325</v>
      </c>
      <c r="G846" s="3" t="s">
        <v>7361</v>
      </c>
      <c r="H846" t="str">
        <f t="shared" si="263"/>
        <v xml:space="preserve">Алексеева Екатерина Владимировна</v>
      </c>
      <c r="I846" s="5">
        <f>IFERROR(IF(ISNUMBER(FIND("-",C846)),DATE(VALUE(LEFT(C846,4)),VALUE(MID(C846,6,2)),VALUE(RIGHT(C846,2))),IF(ISNUMBER(FIND(".",C846)),DATE(VALUE(RIGHT(C846,4)),VALUE(MID(C846,4,2)),VALUE(LEFT(C846,2))),DATE(VALUE(RIGHT(C846,4)),VLOOKUP(TRIM(MID(C846,FIND(" ",C846)+1,LEN(C846)-FIND(" ",C846)-5)),Справочники!$M$3:$N$14,2,0),VALUE(LEFT(C846,FIND(" ",C846)-1))))),"")</f>
        <v>31816</v>
      </c>
      <c r="J846" s="6">
        <f t="shared" si="264"/>
        <v>39</v>
      </c>
      <c r="K846" t="str">
        <f t="shared" si="265"/>
        <v>ОК</v>
      </c>
      <c r="L846" s="5">
        <f>IFERROR(IF(ISNUMBER(FIND("-",G846)),DATE(VALUE(LEFT(G846,4)),VALUE(MID(G846,6,2)),VALUE(RIGHT(G846,2))),IF(ISNUMBER(FIND(".",G846)),DATE(VALUE(RIGHT(G846,4)),VALUE(MID(G846,4,2)),VALUE(LEFT(G846,2))),DATE(VALUE(RIGHT(G846,4)),VLOOKUP(TRIM(MID(G846,FIND(" ",G846)+1,LEN(G846)-FIND(" ",G846)-5)),Справочники!$M$3:$N$14,2,0),VALUE(LEFT(G846,FIND(" ",G846)-1))))),"")</f>
        <v>53123</v>
      </c>
      <c r="M846" t="str">
        <f t="shared" si="266"/>
        <v xml:space="preserve">+7 (903) 789-01-23</v>
      </c>
      <c r="N846" t="str">
        <f t="shared" si="267"/>
        <v>alekseeva@yandex</v>
      </c>
      <c r="O846" t="str">
        <f t="shared" si="268"/>
        <v xml:space="preserve">Ошибка Email</v>
      </c>
      <c r="P846" t="str">
        <f>IFERROR(VLOOKUP(TRIM(SUBSTITUTE(SUBSTITUTE(" "&amp;F846," г "," "),"г.","")),Справочники!$J$3:$K$102,2,0),TRIM(SUBSTITUTE(SUBSTITUTE(" "&amp;F846," г "," "),"г.","")))</f>
        <v>Кызыл</v>
      </c>
    </row>
    <row r="847">
      <c r="A847" s="3" t="s">
        <v>3676</v>
      </c>
      <c r="B847" s="3" t="s">
        <v>7362</v>
      </c>
      <c r="C847" s="3" t="s">
        <v>5609</v>
      </c>
      <c r="D847" s="3" t="s">
        <v>4150</v>
      </c>
      <c r="E847" s="3" t="s">
        <v>7363</v>
      </c>
      <c r="F847" s="3" t="s">
        <v>4330</v>
      </c>
      <c r="G847" s="3" t="s">
        <v>7364</v>
      </c>
      <c r="H847" t="str">
        <f t="shared" si="263"/>
        <v xml:space="preserve">Постников Андрей Олегович</v>
      </c>
      <c r="I847" s="5">
        <f>IFERROR(IF(ISNUMBER(FIND("-",C847)),DATE(VALUE(LEFT(C847,4)),VALUE(MID(C847,6,2)),VALUE(RIGHT(C847,2))),IF(ISNUMBER(FIND(".",C847)),DATE(VALUE(RIGHT(C847,4)),VALUE(MID(C847,4,2)),VALUE(LEFT(C847,2))),DATE(VALUE(RIGHT(C847,4)),VLOOKUP(TRIM(MID(C847,FIND(" ",C847)+1,LEN(C847)-FIND(" ",C847)-5)),Справочники!$M$3:$N$14,2,0),VALUE(LEFT(C847,FIND(" ",C847)-1))))),"")</f>
        <v>33869</v>
      </c>
      <c r="J847" s="6">
        <f t="shared" si="264"/>
        <v>34</v>
      </c>
      <c r="K847" t="str">
        <f t="shared" si="265"/>
        <v>ОК</v>
      </c>
      <c r="L847" s="5">
        <f>IFERROR(IF(ISNUMBER(FIND("-",G847)),DATE(VALUE(LEFT(G847,4)),VALUE(MID(G847,6,2)),VALUE(RIGHT(G847,2))),IF(ISNUMBER(FIND(".",G847)),DATE(VALUE(RIGHT(G847,4)),VALUE(MID(G847,4,2)),VALUE(LEFT(G847,2))),DATE(VALUE(RIGHT(G847,4)),VLOOKUP(TRIM(MID(G847,FIND(" ",G847)+1,LEN(G847)-FIND(" ",G847)-5)),Справочники!$M$3:$N$14,2,0),VALUE(LEFT(G847,FIND(" ",G847)-1))))),"")</f>
        <v>53123</v>
      </c>
      <c r="M847" t="str">
        <f t="shared" si="266"/>
        <v xml:space="preserve">+7 (903) 890-12-34</v>
      </c>
      <c r="N847" t="str">
        <f t="shared" si="267"/>
        <v>postnikov@gmail</v>
      </c>
      <c r="O847" t="str">
        <f t="shared" si="268"/>
        <v xml:space="preserve">Ошибка Email</v>
      </c>
      <c r="P847" t="str">
        <f>IFERROR(VLOOKUP(TRIM(SUBSTITUTE(SUBSTITUTE(" "&amp;F847," г "," "),"г.","")),Справочники!$J$3:$K$102,2,0),TRIM(SUBSTITUTE(SUBSTITUTE(" "&amp;F847," г "," "),"г.","")))</f>
        <v>Калининград</v>
      </c>
    </row>
    <row r="848">
      <c r="A848" s="3" t="s">
        <v>3678</v>
      </c>
      <c r="B848" s="3" t="s">
        <v>7365</v>
      </c>
      <c r="C848" s="3" t="s">
        <v>7366</v>
      </c>
      <c r="D848" s="3" t="s">
        <v>4007</v>
      </c>
      <c r="E848" s="3" t="s">
        <v>7367</v>
      </c>
      <c r="F848" s="3" t="s">
        <v>4335</v>
      </c>
      <c r="G848" s="3" t="s">
        <v>7368</v>
      </c>
      <c r="H848" t="str">
        <f t="shared" si="263"/>
        <v xml:space="preserve">Кравец Мария Павловна</v>
      </c>
      <c r="I848" s="5">
        <f>IFERROR(IF(ISNUMBER(FIND("-",C848)),DATE(VALUE(LEFT(C848,4)),VALUE(MID(C848,6,2)),VALUE(RIGHT(C848,2))),IF(ISNUMBER(FIND(".",C848)),DATE(VALUE(RIGHT(C848,4)),VALUE(MID(C848,4,2)),VALUE(LEFT(C848,2))),DATE(VALUE(RIGHT(C848,4)),VLOOKUP(TRIM(MID(C848,FIND(" ",C848)+1,LEN(C848)-FIND(" ",C848)-5)),Справочники!$M$3:$N$14,2,0),VALUE(LEFT(C848,FIND(" ",C848)-1))))),"")</f>
        <v>27883</v>
      </c>
      <c r="J848" s="6">
        <f t="shared" si="264"/>
        <v>50</v>
      </c>
      <c r="K848" t="str">
        <f t="shared" si="265"/>
        <v>ОК</v>
      </c>
      <c r="L848" s="5">
        <f>IFERROR(IF(ISNUMBER(FIND("-",G848)),DATE(VALUE(LEFT(G848,4)),VALUE(MID(G848,6,2)),VALUE(RIGHT(G848,2))),IF(ISNUMBER(FIND(".",G848)),DATE(VALUE(RIGHT(G848,4)),VALUE(MID(G848,4,2)),VALUE(LEFT(G848,2))),DATE(VALUE(RIGHT(G848,4)),VLOOKUP(TRIM(MID(G848,FIND(" ",G848)+1,LEN(G848)-FIND(" ",G848)-5)),Справочники!$M$3:$N$14,2,0),VALUE(LEFT(G848,FIND(" ",G848)-1))))),"")</f>
        <v>53144</v>
      </c>
      <c r="M848" t="str">
        <f t="shared" si="266"/>
        <v xml:space="preserve">+7 (903) 890-12-34</v>
      </c>
      <c r="N848" t="str">
        <f t="shared" si="267"/>
        <v>kravets@mail</v>
      </c>
      <c r="O848" t="str">
        <f t="shared" si="268"/>
        <v xml:space="preserve">Ошибка Email</v>
      </c>
      <c r="P848" t="str">
        <f>IFERROR(VLOOKUP(TRIM(SUBSTITUTE(SUBSTITUTE(" "&amp;F848," г "," "),"г.","")),Справочники!$J$3:$K$102,2,0),TRIM(SUBSTITUTE(SUBSTITUTE(" "&amp;F848," г "," "),"г.","")))</f>
        <v>Петрозаводск</v>
      </c>
    </row>
    <row r="849">
      <c r="A849" s="3" t="s">
        <v>3679</v>
      </c>
      <c r="B849" s="3" t="s">
        <v>7369</v>
      </c>
      <c r="C849" s="3" t="s">
        <v>7370</v>
      </c>
      <c r="D849" s="3" t="s">
        <v>1619</v>
      </c>
      <c r="E849" s="3" t="s">
        <v>7371</v>
      </c>
      <c r="F849" s="3" t="s">
        <v>4340</v>
      </c>
      <c r="G849" s="3" t="s">
        <v>7372</v>
      </c>
      <c r="H849" t="str">
        <f t="shared" si="263"/>
        <v xml:space="preserve">Кураев Денис Сергеевич</v>
      </c>
      <c r="I849" s="5">
        <f>IFERROR(IF(ISNUMBER(FIND("-",C849)),DATE(VALUE(LEFT(C849,4)),VALUE(MID(C849,6,2)),VALUE(RIGHT(C849,2))),IF(ISNUMBER(FIND(".",C849)),DATE(VALUE(RIGHT(C849,4)),VALUE(MID(C849,4,2)),VALUE(LEFT(C849,2))),DATE(VALUE(RIGHT(C849,4)),VLOOKUP(TRIM(MID(C849,FIND(" ",C849)+1,LEN(C849)-FIND(" ",C849)-5)),Справочники!$M$3:$N$14,2,0),VALUE(LEFT(C849,FIND(" ",C849)-1))))),"")</f>
        <v>31273</v>
      </c>
      <c r="J849" s="6">
        <f t="shared" si="264"/>
        <v>41</v>
      </c>
      <c r="K849" t="str">
        <f t="shared" si="265"/>
        <v>ОК</v>
      </c>
      <c r="L849" s="5">
        <f>IFERROR(IF(ISNUMBER(FIND("-",G849)),DATE(VALUE(LEFT(G849,4)),VALUE(MID(G849,6,2)),VALUE(RIGHT(G849,2))),IF(ISNUMBER(FIND(".",G849)),DATE(VALUE(RIGHT(G849,4)),VALUE(MID(G849,4,2)),VALUE(LEFT(G849,2))),DATE(VALUE(RIGHT(G849,4)),VLOOKUP(TRIM(MID(G849,FIND(" ",G849)+1,LEN(G849)-FIND(" ",G849)-5)),Справочники!$M$3:$N$14,2,0),VALUE(LEFT(G849,FIND(" ",G849)-1))))),"")</f>
        <v>53158</v>
      </c>
      <c r="M849" t="str">
        <f t="shared" si="266"/>
        <v xml:space="preserve">+7 (903) 890-12-34</v>
      </c>
      <c r="N849" t="str">
        <f t="shared" si="267"/>
        <v>kuraev@yandex</v>
      </c>
      <c r="O849" t="str">
        <f t="shared" si="268"/>
        <v xml:space="preserve">Ошибка Email</v>
      </c>
      <c r="P849" t="str">
        <f>IFERROR(VLOOKUP(TRIM(SUBSTITUTE(SUBSTITUTE(" "&amp;F849," г "," "),"г.","")),Справочники!$J$3:$K$102,2,0),TRIM(SUBSTITUTE(SUBSTITUTE(" "&amp;F849," г "," "),"г.","")))</f>
        <v>Рубцовск</v>
      </c>
    </row>
    <row r="850">
      <c r="A850" s="3" t="s">
        <v>3681</v>
      </c>
      <c r="B850" s="3" t="s">
        <v>7373</v>
      </c>
      <c r="C850" s="3" t="s">
        <v>6370</v>
      </c>
      <c r="D850" s="3" t="s">
        <v>4018</v>
      </c>
      <c r="E850" s="3" t="s">
        <v>7374</v>
      </c>
      <c r="F850" s="3" t="s">
        <v>4345</v>
      </c>
      <c r="G850" s="3" t="s">
        <v>7375</v>
      </c>
      <c r="H850" t="str">
        <f t="shared" si="263"/>
        <v xml:space="preserve">Абрамова Ольга Владимировна</v>
      </c>
      <c r="I850" s="5">
        <f>IFERROR(IF(ISNUMBER(FIND("-",C850)),DATE(VALUE(LEFT(C850,4)),VALUE(MID(C850,6,2)),VALUE(RIGHT(C850,2))),IF(ISNUMBER(FIND(".",C850)),DATE(VALUE(RIGHT(C850,4)),VALUE(MID(C850,4,2)),VALUE(LEFT(C850,2))),DATE(VALUE(RIGHT(C850,4)),VLOOKUP(TRIM(MID(C850,FIND(" ",C850)+1,LEN(C850)-FIND(" ",C850)-5)),Справочники!$M$3:$N$14,2,0),VALUE(LEFT(C850,FIND(" ",C850)-1))))),"")</f>
        <v>33568</v>
      </c>
      <c r="J850" s="6">
        <f t="shared" si="264"/>
        <v>34</v>
      </c>
      <c r="K850" t="str">
        <f t="shared" si="265"/>
        <v>ОК</v>
      </c>
      <c r="L850" s="5">
        <f>IFERROR(IF(ISNUMBER(FIND("-",G850)),DATE(VALUE(LEFT(G850,4)),VALUE(MID(G850,6,2)),VALUE(RIGHT(G850,2))),IF(ISNUMBER(FIND(".",G850)),DATE(VALUE(RIGHT(G850,4)),VALUE(MID(G850,4,2)),VALUE(LEFT(G850,2))),DATE(VALUE(RIGHT(G850,4)),VLOOKUP(TRIM(MID(G850,FIND(" ",G850)+1,LEN(G850)-FIND(" ",G850)-5)),Справочники!$M$3:$N$14,2,0),VALUE(LEFT(G850,FIND(" ",G850)-1))))),"")</f>
        <v>53158</v>
      </c>
      <c r="M850" t="str">
        <f t="shared" si="266"/>
        <v xml:space="preserve">+7 (903) 901-23-45</v>
      </c>
      <c r="N850" t="str">
        <f t="shared" si="267"/>
        <v>abramova@gmail</v>
      </c>
      <c r="O850" t="str">
        <f t="shared" si="268"/>
        <v xml:space="preserve">Ошибка Email</v>
      </c>
      <c r="P850" t="str">
        <f>IFERROR(VLOOKUP(TRIM(SUBSTITUTE(SUBSTITUTE(" "&amp;F850," г "," "),"г.","")),Справочники!$J$3:$K$102,2,0),TRIM(SUBSTITUTE(SUBSTITUTE(" "&amp;F850," г "," "),"г.","")))</f>
        <v>Элиста</v>
      </c>
    </row>
    <row r="851">
      <c r="A851" s="3" t="s">
        <v>3682</v>
      </c>
      <c r="B851" s="3" t="s">
        <v>7376</v>
      </c>
      <c r="C851" s="3" t="s">
        <v>7377</v>
      </c>
      <c r="D851" s="3" t="s">
        <v>1626</v>
      </c>
      <c r="E851" s="3" t="s">
        <v>7378</v>
      </c>
      <c r="F851" s="3" t="s">
        <v>4350</v>
      </c>
      <c r="G851" s="3" t="s">
        <v>7379</v>
      </c>
      <c r="H851" t="str">
        <f t="shared" si="263"/>
        <v xml:space="preserve">Зайцев Илья Александрович</v>
      </c>
      <c r="I851" s="5">
        <f>IFERROR(IF(ISNUMBER(FIND("-",C851)),DATE(VALUE(LEFT(C851,4)),VALUE(MID(C851,6,2)),VALUE(RIGHT(C851,2))),IF(ISNUMBER(FIND(".",C851)),DATE(VALUE(RIGHT(C851,4)),VALUE(MID(C851,4,2)),VALUE(LEFT(C851,2))),DATE(VALUE(RIGHT(C851,4)),VLOOKUP(TRIM(MID(C851,FIND(" ",C851)+1,LEN(C851)-FIND(" ",C851)-5)),Справочники!$M$3:$N$14,2,0),VALUE(LEFT(C851,FIND(" ",C851)-1))))),"")</f>
        <v>27038</v>
      </c>
      <c r="J851" s="6">
        <f t="shared" si="264"/>
        <v>52</v>
      </c>
      <c r="K851" t="str">
        <f t="shared" si="265"/>
        <v>ОК</v>
      </c>
      <c r="L851" s="5">
        <f>IFERROR(IF(ISNUMBER(FIND("-",G851)),DATE(VALUE(LEFT(G851,4)),VALUE(MID(G851,6,2)),VALUE(RIGHT(G851,2))),IF(ISNUMBER(FIND(".",G851)),DATE(VALUE(RIGHT(G851,4)),VALUE(MID(G851,4,2)),VALUE(LEFT(G851,2))),DATE(VALUE(RIGHT(G851,4)),VLOOKUP(TRIM(MID(G851,FIND(" ",G851)+1,LEN(G851)-FIND(" ",G851)-5)),Справочники!$M$3:$N$14,2,0),VALUE(LEFT(G851,FIND(" ",G851)-1))))),"")</f>
        <v>53175</v>
      </c>
      <c r="M851" t="str">
        <f t="shared" si="266"/>
        <v xml:space="preserve">+7 (903) 901-23-45</v>
      </c>
      <c r="N851" t="str">
        <f t="shared" si="267"/>
        <v>zaytsev@mail</v>
      </c>
      <c r="O851" t="str">
        <f t="shared" si="268"/>
        <v xml:space="preserve">Ошибка Email</v>
      </c>
      <c r="P851" t="str">
        <f>IFERROR(VLOOKUP(TRIM(SUBSTITUTE(SUBSTITUTE(" "&amp;F851," г "," "),"г.","")),Справочники!$J$3:$K$102,2,0),TRIM(SUBSTITUTE(SUBSTITUTE(" "&amp;F851," г "," "),"г.","")))</f>
        <v>Орск</v>
      </c>
    </row>
    <row r="852">
      <c r="A852" s="3" t="s">
        <v>3684</v>
      </c>
      <c r="B852" s="3" t="s">
        <v>7380</v>
      </c>
      <c r="C852" s="3" t="s">
        <v>7116</v>
      </c>
      <c r="D852" s="3" t="s">
        <v>4176</v>
      </c>
      <c r="E852" s="3" t="s">
        <v>4740</v>
      </c>
      <c r="F852" s="3" t="s">
        <v>4355</v>
      </c>
      <c r="G852" s="3" t="s">
        <v>7381</v>
      </c>
      <c r="H852" t="str">
        <f t="shared" si="263"/>
        <v xml:space="preserve">Горюнова Екатерина Сергеевна</v>
      </c>
      <c r="I852" s="5">
        <f>IFERROR(IF(ISNUMBER(FIND("-",C852)),DATE(VALUE(LEFT(C852,4)),VALUE(MID(C852,6,2)),VALUE(RIGHT(C852,2))),IF(ISNUMBER(FIND(".",C852)),DATE(VALUE(RIGHT(C852,4)),VALUE(MID(C852,4,2)),VALUE(LEFT(C852,2))),DATE(VALUE(RIGHT(C852,4)),VLOOKUP(TRIM(MID(C852,FIND(" ",C852)+1,LEN(C852)-FIND(" ",C852)-5)),Справочники!$M$3:$N$14,2,0),VALUE(LEFT(C852,FIND(" ",C852)-1))))),"")</f>
        <v>30143</v>
      </c>
      <c r="J852" s="6">
        <f t="shared" si="264"/>
        <v>44</v>
      </c>
      <c r="K852" t="str">
        <f t="shared" si="265"/>
        <v>ОК</v>
      </c>
      <c r="L852" s="5">
        <f>IFERROR(IF(ISNUMBER(FIND("-",G852)),DATE(VALUE(LEFT(G852,4)),VALUE(MID(G852,6,2)),VALUE(RIGHT(G852,2))),IF(ISNUMBER(FIND(".",G852)),DATE(VALUE(RIGHT(G852,4)),VALUE(MID(G852,4,2)),VALUE(LEFT(G852,2))),DATE(VALUE(RIGHT(G852,4)),VLOOKUP(TRIM(MID(G852,FIND(" ",G852)+1,LEN(G852)-FIND(" ",G852)-5)),Справочники!$M$3:$N$14,2,0),VALUE(LEFT(G852,FIND(" ",G852)-1))))),"")</f>
        <v>53184</v>
      </c>
      <c r="M852" t="str">
        <f t="shared" si="266"/>
        <v xml:space="preserve">+7 (903) 901-23-45</v>
      </c>
      <c r="N852" t="str">
        <f t="shared" si="267"/>
        <v>goryunova@yandex</v>
      </c>
      <c r="O852" t="str">
        <f t="shared" si="268"/>
        <v xml:space="preserve">Ошибка Email</v>
      </c>
      <c r="P852" t="str">
        <f>IFERROR(VLOOKUP(TRIM(SUBSTITUTE(SUBSTITUTE(" "&amp;F852," г "," "),"г.","")),Справочники!$J$3:$K$102,2,0),TRIM(SUBSTITUTE(SUBSTITUTE(" "&amp;F852," г "," "),"г.","")))</f>
        <v>Нижневартовск</v>
      </c>
    </row>
    <row r="853">
      <c r="A853" s="3" t="s">
        <v>3686</v>
      </c>
      <c r="B853" s="3" t="s">
        <v>7382</v>
      </c>
      <c r="C853" s="3" t="s">
        <v>7383</v>
      </c>
      <c r="D853" s="3" t="s">
        <v>4182</v>
      </c>
      <c r="E853" s="3" t="s">
        <v>7384</v>
      </c>
      <c r="F853" s="3" t="s">
        <v>4360</v>
      </c>
      <c r="G853" s="3" t="s">
        <v>7385</v>
      </c>
      <c r="H853" t="str">
        <f t="shared" si="263"/>
        <v xml:space="preserve">Пичугин Андрей Олегович</v>
      </c>
      <c r="I853" s="5">
        <f>IFERROR(IF(ISNUMBER(FIND("-",C853)),DATE(VALUE(LEFT(C853,4)),VALUE(MID(C853,6,2)),VALUE(RIGHT(C853,2))),IF(ISNUMBER(FIND(".",C853)),DATE(VALUE(RIGHT(C853,4)),VALUE(MID(C853,4,2)),VALUE(LEFT(C853,2))),DATE(VALUE(RIGHT(C853,4)),VLOOKUP(TRIM(MID(C853,FIND(" ",C853)+1,LEN(C853)-FIND(" ",C853)-5)),Справочники!$M$3:$N$14,2,0),VALUE(LEFT(C853,FIND(" ",C853)-1))))),"")</f>
        <v>32847</v>
      </c>
      <c r="J853" s="6">
        <f t="shared" si="264"/>
        <v>36</v>
      </c>
      <c r="K853" t="str">
        <f t="shared" si="265"/>
        <v>ОК</v>
      </c>
      <c r="L853" s="5">
        <f>IFERROR(IF(ISNUMBER(FIND("-",G853)),DATE(VALUE(LEFT(G853,4)),VALUE(MID(G853,6,2)),VALUE(RIGHT(G853,2))),IF(ISNUMBER(FIND(".",G853)),DATE(VALUE(RIGHT(G853,4)),VALUE(MID(G853,4,2)),VALUE(LEFT(G853,2))),DATE(VALUE(RIGHT(G853,4)),VLOOKUP(TRIM(MID(G853,FIND(" ",G853)+1,LEN(G853)-FIND(" ",G853)-5)),Справочники!$M$3:$N$14,2,0),VALUE(LEFT(G853,FIND(" ",G853)-1))))),"")</f>
        <v>53184</v>
      </c>
      <c r="M853" t="str">
        <f t="shared" si="266"/>
        <v xml:space="preserve">+7 (903) 012-34-56</v>
      </c>
      <c r="N853" t="str">
        <f t="shared" si="267"/>
        <v>pichugin@gmail</v>
      </c>
      <c r="O853" t="str">
        <f t="shared" si="268"/>
        <v xml:space="preserve">Ошибка Email</v>
      </c>
      <c r="P853" t="str">
        <f>IFERROR(VLOOKUP(TRIM(SUBSTITUTE(SUBSTITUTE(" "&amp;F853," г "," "),"г.","")),Справочники!$J$3:$K$102,2,0),TRIM(SUBSTITUTE(SUBSTITUTE(" "&amp;F853," г "," "),"г.","")))</f>
        <v>Новороссийск</v>
      </c>
    </row>
    <row r="854">
      <c r="A854" s="3" t="s">
        <v>3689</v>
      </c>
      <c r="B854" s="3" t="s">
        <v>7386</v>
      </c>
      <c r="C854" s="3" t="s">
        <v>7387</v>
      </c>
      <c r="D854" s="3" t="s">
        <v>4188</v>
      </c>
      <c r="E854" s="3" t="s">
        <v>7388</v>
      </c>
      <c r="F854" s="3" t="s">
        <v>4365</v>
      </c>
      <c r="G854" s="3" t="s">
        <v>7389</v>
      </c>
      <c r="H854" t="str">
        <f t="shared" si="263"/>
        <v xml:space="preserve">Воронова Мария Павловна</v>
      </c>
      <c r="I854" s="5">
        <f>IFERROR(IF(ISNUMBER(FIND("-",C854)),DATE(VALUE(LEFT(C854,4)),VALUE(MID(C854,6,2)),VALUE(RIGHT(C854,2))),IF(ISNUMBER(FIND(".",C854)),DATE(VALUE(RIGHT(C854,4)),VALUE(MID(C854,4,2)),VALUE(LEFT(C854,2))),DATE(VALUE(RIGHT(C854,4)),VLOOKUP(TRIM(MID(C854,FIND(" ",C854)+1,LEN(C854)-FIND(" ",C854)-5)),Справочники!$M$3:$N$14,2,0),VALUE(LEFT(C854,FIND(" ",C854)-1))))),"")</f>
        <v>28238</v>
      </c>
      <c r="J854" s="6">
        <f t="shared" si="264"/>
        <v>49</v>
      </c>
      <c r="K854" t="str">
        <f t="shared" si="265"/>
        <v>ОК</v>
      </c>
      <c r="L854" s="5">
        <f>IFERROR(IF(ISNUMBER(FIND("-",G854)),DATE(VALUE(LEFT(G854,4)),VALUE(MID(G854,6,2)),VALUE(RIGHT(G854,2))),IF(ISNUMBER(FIND(".",G854)),DATE(VALUE(RIGHT(G854,4)),VALUE(MID(G854,4,2)),VALUE(LEFT(G854,2))),DATE(VALUE(RIGHT(G854,4)),VLOOKUP(TRIM(MID(G854,FIND(" ",G854)+1,LEN(G854)-FIND(" ",G854)-5)),Справочники!$M$3:$N$14,2,0),VALUE(LEFT(G854,FIND(" ",G854)-1))))),"")</f>
        <v>53206</v>
      </c>
      <c r="M854" t="str">
        <f t="shared" si="266"/>
        <v xml:space="preserve">+7 (903) 012-34-56</v>
      </c>
      <c r="N854" t="str">
        <f t="shared" si="267"/>
        <v>voronova@mail</v>
      </c>
      <c r="O854" t="str">
        <f t="shared" si="268"/>
        <v xml:space="preserve">Ошибка Email</v>
      </c>
      <c r="P854" t="str">
        <f>IFERROR(VLOOKUP(TRIM(SUBSTITUTE(SUBSTITUTE(" "&amp;F854," г "," "),"г.","")),Справочники!$J$3:$K$102,2,0),TRIM(SUBSTITUTE(SUBSTITUTE(" "&amp;F854," г "," "),"г.","")))</f>
        <v>Химки</v>
      </c>
    </row>
    <row r="855">
      <c r="A855" s="3" t="s">
        <v>3690</v>
      </c>
      <c r="B855" s="3" t="s">
        <v>7390</v>
      </c>
      <c r="C855" s="3" t="s">
        <v>7391</v>
      </c>
      <c r="D855" s="3" t="s">
        <v>1633</v>
      </c>
      <c r="E855" s="3" t="s">
        <v>7392</v>
      </c>
      <c r="F855" s="3" t="s">
        <v>4370</v>
      </c>
      <c r="G855" s="3" t="s">
        <v>7393</v>
      </c>
      <c r="H855" t="str">
        <f t="shared" si="263"/>
        <v xml:space="preserve">Балабанов Денис Викторович</v>
      </c>
      <c r="I855" s="5">
        <f>IFERROR(IF(ISNUMBER(FIND("-",C855)),DATE(VALUE(LEFT(C855,4)),VALUE(MID(C855,6,2)),VALUE(RIGHT(C855,2))),IF(ISNUMBER(FIND(".",C855)),DATE(VALUE(RIGHT(C855,4)),VALUE(MID(C855,4,2)),VALUE(LEFT(C855,2))),DATE(VALUE(RIGHT(C855,4)),VLOOKUP(TRIM(MID(C855,FIND(" ",C855)+1,LEN(C855)-FIND(" ",C855)-5)),Справочники!$M$3:$N$14,2,0),VALUE(LEFT(C855,FIND(" ",C855)-1))))),"")</f>
        <v>30940</v>
      </c>
      <c r="J855" s="6">
        <f t="shared" si="264"/>
        <v>42</v>
      </c>
      <c r="K855" t="str">
        <f t="shared" si="265"/>
        <v>ОК</v>
      </c>
      <c r="L855" s="5">
        <f>IFERROR(IF(ISNUMBER(FIND("-",G855)),DATE(VALUE(LEFT(G855,4)),VALUE(MID(G855,6,2)),VALUE(RIGHT(G855,2))),IF(ISNUMBER(FIND(".",G855)),DATE(VALUE(RIGHT(G855,4)),VALUE(MID(G855,4,2)),VALUE(LEFT(G855,2))),DATE(VALUE(RIGHT(G855,4)),VLOOKUP(TRIM(MID(G855,FIND(" ",G855)+1,LEN(G855)-FIND(" ",G855)-5)),Справочники!$M$3:$N$14,2,0),VALUE(LEFT(G855,FIND(" ",G855)-1))))),"")</f>
        <v>53220</v>
      </c>
      <c r="M855" t="str">
        <f t="shared" si="266"/>
        <v xml:space="preserve">+7 (903) 012-34-56</v>
      </c>
      <c r="N855" t="str">
        <f t="shared" si="267"/>
        <v>balabanov@yandex</v>
      </c>
      <c r="O855" t="str">
        <f t="shared" si="268"/>
        <v xml:space="preserve">Ошибка Email</v>
      </c>
      <c r="P855" t="str">
        <f>IFERROR(VLOOKUP(TRIM(SUBSTITUTE(SUBSTITUTE(" "&amp;F855," г "," "),"г.","")),Справочники!$J$3:$K$102,2,0),TRIM(SUBSTITUTE(SUBSTITUTE(" "&amp;F855," г "," "),"г.","")))</f>
        <v>Подольск</v>
      </c>
    </row>
    <row r="856">
      <c r="A856" s="3" t="s">
        <v>3692</v>
      </c>
      <c r="B856" s="3" t="s">
        <v>7394</v>
      </c>
      <c r="C856" s="3" t="s">
        <v>7395</v>
      </c>
      <c r="D856" s="3" t="s">
        <v>4034</v>
      </c>
      <c r="E856" s="3" t="s">
        <v>5477</v>
      </c>
      <c r="F856" s="3" t="s">
        <v>4375</v>
      </c>
      <c r="G856" s="3" t="s">
        <v>7396</v>
      </c>
      <c r="H856" t="str">
        <f t="shared" si="263"/>
        <v xml:space="preserve">Скачкова Ольга Сергеевна</v>
      </c>
      <c r="I856" s="5">
        <f>IFERROR(IF(ISNUMBER(FIND("-",C856)),DATE(VALUE(LEFT(C856,4)),VALUE(MID(C856,6,2)),VALUE(RIGHT(C856,2))),IF(ISNUMBER(FIND(".",C856)),DATE(VALUE(RIGHT(C856,4)),VALUE(MID(C856,4,2)),VALUE(LEFT(C856,2))),DATE(VALUE(RIGHT(C856,4)),VLOOKUP(TRIM(MID(C856,FIND(" ",C856)+1,LEN(C856)-FIND(" ",C856)-5)),Справочники!$M$3:$N$14,2,0),VALUE(LEFT(C856,FIND(" ",C856)-1))))),"")</f>
        <v>33174</v>
      </c>
      <c r="J856" s="6">
        <f t="shared" si="264"/>
        <v>35</v>
      </c>
      <c r="K856" t="str">
        <f t="shared" si="265"/>
        <v>ОК</v>
      </c>
      <c r="L856" s="5">
        <f>IFERROR(IF(ISNUMBER(FIND("-",G856)),DATE(VALUE(LEFT(G856,4)),VALUE(MID(G856,6,2)),VALUE(RIGHT(G856,2))),IF(ISNUMBER(FIND(".",G856)),DATE(VALUE(RIGHT(G856,4)),VALUE(MID(G856,4,2)),VALUE(LEFT(G856,2))),DATE(VALUE(RIGHT(G856,4)),VLOOKUP(TRIM(MID(G856,FIND(" ",G856)+1,LEN(G856)-FIND(" ",G856)-5)),Справочники!$M$3:$N$14,2,0),VALUE(LEFT(G856,FIND(" ",G856)-1))))),"")</f>
        <v>53220</v>
      </c>
      <c r="M856" t="str">
        <f t="shared" si="266"/>
        <v xml:space="preserve">+7 (903) 123-45-67</v>
      </c>
      <c r="N856" t="str">
        <f t="shared" si="267"/>
        <v>skachkova@gmail</v>
      </c>
      <c r="O856" t="str">
        <f t="shared" si="268"/>
        <v xml:space="preserve">Ошибка Email</v>
      </c>
      <c r="P856" t="str">
        <f>IFERROR(VLOOKUP(TRIM(SUBSTITUTE(SUBSTITUTE(" "&amp;F856," г "," "),"г.","")),Справочники!$J$3:$K$102,2,0),TRIM(SUBSTITUTE(SUBSTITUTE(" "&amp;F856," г "," "),"г.","")))</f>
        <v>Балашиха</v>
      </c>
    </row>
    <row r="857">
      <c r="A857" s="3" t="s">
        <v>3693</v>
      </c>
      <c r="B857" s="3" t="s">
        <v>7397</v>
      </c>
      <c r="C857" s="3" t="s">
        <v>7398</v>
      </c>
      <c r="D857" s="3" t="s">
        <v>4040</v>
      </c>
      <c r="E857" s="3" t="s">
        <v>7399</v>
      </c>
      <c r="F857" s="3" t="s">
        <v>4380</v>
      </c>
      <c r="G857" s="3" t="s">
        <v>7400</v>
      </c>
      <c r="H857" t="str">
        <f t="shared" si="263"/>
        <v xml:space="preserve">Лобанов Илья Александрович</v>
      </c>
      <c r="I857" s="5">
        <f>IFERROR(IF(ISNUMBER(FIND("-",C857)),DATE(VALUE(LEFT(C857,4)),VALUE(MID(C857,6,2)),VALUE(RIGHT(C857,2))),IF(ISNUMBER(FIND(".",C857)),DATE(VALUE(RIGHT(C857,4)),VALUE(MID(C857,4,2)),VALUE(LEFT(C857,2))),DATE(VALUE(RIGHT(C857,4)),VLOOKUP(TRIM(MID(C857,FIND(" ",C857)+1,LEN(C857)-FIND(" ",C857)-5)),Справочники!$M$3:$N$14,2,0),VALUE(LEFT(C857,FIND(" ",C857)-1))))),"")</f>
        <v>26714</v>
      </c>
      <c r="J857" s="6">
        <f t="shared" si="264"/>
        <v>53</v>
      </c>
      <c r="K857" t="str">
        <f t="shared" si="265"/>
        <v>ОК</v>
      </c>
      <c r="L857" s="5">
        <f>IFERROR(IF(ISNUMBER(FIND("-",G857)),DATE(VALUE(LEFT(G857,4)),VALUE(MID(G857,6,2)),VALUE(RIGHT(G857,2))),IF(ISNUMBER(FIND(".",G857)),DATE(VALUE(RIGHT(G857,4)),VALUE(MID(G857,4,2)),VALUE(LEFT(G857,2))),DATE(VALUE(RIGHT(G857,4)),VLOOKUP(TRIM(MID(G857,FIND(" ",G857)+1,LEN(G857)-FIND(" ",G857)-5)),Справочники!$M$3:$N$14,2,0),VALUE(LEFT(G857,FIND(" ",G857)-1))))),"")</f>
        <v>53236</v>
      </c>
      <c r="M857" t="str">
        <f t="shared" si="266"/>
        <v xml:space="preserve">+7 (903) 123-45-67</v>
      </c>
      <c r="N857" t="str">
        <f t="shared" si="267"/>
        <v>lobanov@mail</v>
      </c>
      <c r="O857" t="str">
        <f t="shared" si="268"/>
        <v xml:space="preserve">Ошибка Email</v>
      </c>
      <c r="P857" t="str">
        <f>IFERROR(VLOOKUP(TRIM(SUBSTITUTE(SUBSTITUTE(" "&amp;F857," г "," "),"г.","")),Справочники!$J$3:$K$102,2,0),TRIM(SUBSTITUTE(SUBSTITUTE(" "&amp;F857," г "," "),"г.","")))</f>
        <v>Сургут</v>
      </c>
    </row>
    <row r="858">
      <c r="A858" s="3" t="s">
        <v>3695</v>
      </c>
      <c r="B858" s="3" t="s">
        <v>7401</v>
      </c>
      <c r="C858" s="3" t="s">
        <v>7402</v>
      </c>
      <c r="D858" s="3" t="s">
        <v>1570</v>
      </c>
      <c r="E858" s="3" t="s">
        <v>7403</v>
      </c>
      <c r="F858" s="3" t="s">
        <v>4385</v>
      </c>
      <c r="G858" s="3" t="s">
        <v>7404</v>
      </c>
      <c r="H858" t="str">
        <f t="shared" si="263"/>
        <v xml:space="preserve">Хомякова Екатерина Владимировна</v>
      </c>
      <c r="I858" s="5">
        <f>IFERROR(IF(ISNUMBER(FIND("-",C858)),DATE(VALUE(LEFT(C858,4)),VALUE(MID(C858,6,2)),VALUE(RIGHT(C858,2))),IF(ISNUMBER(FIND(".",C858)),DATE(VALUE(RIGHT(C858,4)),VALUE(MID(C858,4,2)),VALUE(LEFT(C858,2))),DATE(VALUE(RIGHT(C858,4)),VLOOKUP(TRIM(MID(C858,FIND(" ",C858)+1,LEN(C858)-FIND(" ",C858)-5)),Справочники!$M$3:$N$14,2,0),VALUE(LEFT(C858,FIND(" ",C858)-1))))),"")</f>
        <v>31569</v>
      </c>
      <c r="J858" s="6">
        <f t="shared" si="264"/>
        <v>40</v>
      </c>
      <c r="K858" t="str">
        <f t="shared" si="265"/>
        <v>ОК</v>
      </c>
      <c r="L858" s="5">
        <f>IFERROR(IF(ISNUMBER(FIND("-",G858)),DATE(VALUE(LEFT(G858,4)),VALUE(MID(G858,6,2)),VALUE(RIGHT(G858,2))),IF(ISNUMBER(FIND(".",G858)),DATE(VALUE(RIGHT(G858,4)),VALUE(MID(G858,4,2)),VALUE(LEFT(G858,2))),DATE(VALUE(RIGHT(G858,4)),VLOOKUP(TRIM(MID(G858,FIND(" ",G858)+1,LEN(G858)-FIND(" ",G858)-5)),Справочники!$M$3:$N$14,2,0),VALUE(LEFT(G858,FIND(" ",G858)-1))))),"")</f>
        <v>53245</v>
      </c>
      <c r="M858" t="str">
        <f t="shared" si="266"/>
        <v xml:space="preserve">+7 (903) 123-45-67</v>
      </c>
      <c r="N858" t="str">
        <f t="shared" si="267"/>
        <v>homyakova@yandex</v>
      </c>
      <c r="O858" t="str">
        <f t="shared" si="268"/>
        <v xml:space="preserve">Ошибка Email</v>
      </c>
      <c r="P858" t="str">
        <f>IFERROR(VLOOKUP(TRIM(SUBSTITUTE(SUBSTITUTE(" "&amp;F858," г "," "),"г.","")),Справочники!$J$3:$K$102,2,0),TRIM(SUBSTITUTE(SUBSTITUTE(" "&amp;F858," г "," "),"г.","")))</f>
        <v>Армавир</v>
      </c>
    </row>
    <row r="859">
      <c r="A859" s="3" t="s">
        <v>3696</v>
      </c>
      <c r="B859" s="3" t="s">
        <v>7405</v>
      </c>
      <c r="C859" s="3" t="s">
        <v>7406</v>
      </c>
      <c r="D859" s="3" t="s">
        <v>4051</v>
      </c>
      <c r="E859" s="3" t="s">
        <v>7407</v>
      </c>
      <c r="F859" s="3" t="s">
        <v>4390</v>
      </c>
      <c r="G859" s="3" t="s">
        <v>7408</v>
      </c>
      <c r="H859" t="str">
        <f t="shared" si="263"/>
        <v xml:space="preserve">Стукалов Андрей Олегович</v>
      </c>
      <c r="I859" s="5">
        <f>IFERROR(IF(ISNUMBER(FIND("-",C859)),DATE(VALUE(LEFT(C859,4)),VALUE(MID(C859,6,2)),VALUE(RIGHT(C859,2))),IF(ISNUMBER(FIND(".",C859)),DATE(VALUE(RIGHT(C859,4)),VALUE(MID(C859,4,2)),VALUE(LEFT(C859,2))),DATE(VALUE(RIGHT(C859,4)),VLOOKUP(TRIM(MID(C859,FIND(" ",C859)+1,LEN(C859)-FIND(" ",C859)-5)),Справочники!$M$3:$N$14,2,0),VALUE(LEFT(C859,FIND(" ",C859)-1))))),"")</f>
        <v>29945</v>
      </c>
      <c r="J859" s="6">
        <f t="shared" si="264"/>
        <v>44</v>
      </c>
      <c r="K859" t="str">
        <f t="shared" si="265"/>
        <v>ОК</v>
      </c>
      <c r="L859" s="5">
        <f>IFERROR(IF(ISNUMBER(FIND("-",G859)),DATE(VALUE(LEFT(G859,4)),VALUE(MID(G859,6,2)),VALUE(RIGHT(G859,2))),IF(ISNUMBER(FIND(".",G859)),DATE(VALUE(RIGHT(G859,4)),VALUE(MID(G859,4,2)),VALUE(LEFT(G859,2))),DATE(VALUE(RIGHT(G859,4)),VLOOKUP(TRIM(MID(G859,FIND(" ",G859)+1,LEN(G859)-FIND(" ",G859)-5)),Справочники!$M$3:$N$14,2,0),VALUE(LEFT(G859,FIND(" ",G859)-1))))),"")</f>
        <v>53245</v>
      </c>
      <c r="M859" t="str">
        <f t="shared" si="266"/>
        <v xml:space="preserve">+7 (903) 234-56-78</v>
      </c>
      <c r="N859" t="str">
        <f t="shared" si="267"/>
        <v>stukalov@gmail</v>
      </c>
      <c r="O859" t="str">
        <f t="shared" si="268"/>
        <v xml:space="preserve">Ошибка Email</v>
      </c>
      <c r="P859" t="str">
        <f>IFERROR(VLOOKUP(TRIM(SUBSTITUTE(SUBSTITUTE(" "&amp;F859," г "," "),"г.","")),Справочники!$J$3:$K$102,2,0),TRIM(SUBSTITUTE(SUBSTITUTE(" "&amp;F859," г "," "),"г.","")))</f>
        <v>Волжский</v>
      </c>
    </row>
    <row r="860">
      <c r="A860" s="3" t="s">
        <v>3699</v>
      </c>
      <c r="B860" s="3" t="s">
        <v>7409</v>
      </c>
      <c r="C860" s="3" t="s">
        <v>7410</v>
      </c>
      <c r="D860" s="3" t="s">
        <v>4057</v>
      </c>
      <c r="E860" s="3" t="s">
        <v>7411</v>
      </c>
      <c r="F860" s="3" t="s">
        <v>4395</v>
      </c>
      <c r="G860" s="3" t="s">
        <v>7412</v>
      </c>
      <c r="H860" t="str">
        <f t="shared" si="263"/>
        <v xml:space="preserve">Морозова Мария Павловна</v>
      </c>
      <c r="I860" s="5">
        <f>IFERROR(IF(ISNUMBER(FIND("-",C860)),DATE(VALUE(LEFT(C860,4)),VALUE(MID(C860,6,2)),VALUE(RIGHT(C860,2))),IF(ISNUMBER(FIND(".",C860)),DATE(VALUE(RIGHT(C860,4)),VALUE(MID(C860,4,2)),VALUE(LEFT(C860,2))),DATE(VALUE(RIGHT(C860,4)),VLOOKUP(TRIM(MID(C860,FIND(" ",C860)+1,LEN(C860)-FIND(" ",C860)-5)),Справочники!$M$3:$N$14,2,0),VALUE(LEFT(C860,FIND(" ",C860)-1))))),"")</f>
        <v>27622</v>
      </c>
      <c r="J860" s="6">
        <f t="shared" si="264"/>
        <v>51</v>
      </c>
      <c r="K860" t="str">
        <f t="shared" si="265"/>
        <v>ОК</v>
      </c>
      <c r="L860" s="5">
        <f>IFERROR(IF(ISNUMBER(FIND("-",G860)),DATE(VALUE(LEFT(G860,4)),VALUE(MID(G860,6,2)),VALUE(RIGHT(G860,2))),IF(ISNUMBER(FIND(".",G860)),DATE(VALUE(RIGHT(G860,4)),VALUE(MID(G860,4,2)),VALUE(LEFT(G860,2))),DATE(VALUE(RIGHT(G860,4)),VLOOKUP(TRIM(MID(G860,FIND(" ",G860)+1,LEN(G860)-FIND(" ",G860)-5)),Справочники!$M$3:$N$14,2,0),VALUE(LEFT(G860,FIND(" ",G860)-1))))),"")</f>
        <v>53267</v>
      </c>
      <c r="M860" t="str">
        <f t="shared" si="266"/>
        <v xml:space="preserve">+7 (903) 234-56-78</v>
      </c>
      <c r="N860" t="str">
        <f t="shared" si="267"/>
        <v>morozova@mail</v>
      </c>
      <c r="O860" t="str">
        <f t="shared" si="268"/>
        <v xml:space="preserve">Ошибка Email</v>
      </c>
      <c r="P860" t="str">
        <f>IFERROR(VLOOKUP(TRIM(SUBSTITUTE(SUBSTITUTE(" "&amp;F860," г "," "),"г.","")),Справочники!$J$3:$K$102,2,0),TRIM(SUBSTITUTE(SUBSTITUTE(" "&amp;F860," г "," "),"г.","")))</f>
        <v>Шахты</v>
      </c>
    </row>
    <row r="861">
      <c r="A861" s="3" t="s">
        <v>3700</v>
      </c>
      <c r="B861" s="3" t="s">
        <v>7413</v>
      </c>
      <c r="C861" s="3" t="s">
        <v>7414</v>
      </c>
      <c r="D861" s="3" t="s">
        <v>1712</v>
      </c>
      <c r="E861" s="3" t="s">
        <v>7415</v>
      </c>
      <c r="F861" s="3" t="s">
        <v>4400</v>
      </c>
      <c r="G861" s="3" t="s">
        <v>7416</v>
      </c>
      <c r="H861" t="str">
        <f t="shared" si="263"/>
        <v xml:space="preserve">Кутузов Денис Сергеевич</v>
      </c>
      <c r="I861" s="5">
        <f>IFERROR(IF(ISNUMBER(FIND("-",C861)),DATE(VALUE(LEFT(C861,4)),VALUE(MID(C861,6,2)),VALUE(RIGHT(C861,2))),IF(ISNUMBER(FIND(".",C861)),DATE(VALUE(RIGHT(C861,4)),VALUE(MID(C861,4,2)),VALUE(LEFT(C861,2))),DATE(VALUE(RIGHT(C861,4)),VLOOKUP(TRIM(MID(C861,FIND(" ",C861)+1,LEN(C861)-FIND(" ",C861)-5)),Справочники!$M$3:$N$14,2,0),VALUE(LEFT(C861,FIND(" ",C861)-1))))),"")</f>
        <v>33670</v>
      </c>
      <c r="J861" s="6">
        <f t="shared" si="264"/>
        <v>34</v>
      </c>
      <c r="K861" t="str">
        <f t="shared" si="265"/>
        <v>ОК</v>
      </c>
      <c r="L861" s="5">
        <f>IFERROR(IF(ISNUMBER(FIND("-",G861)),DATE(VALUE(LEFT(G861,4)),VALUE(MID(G861,6,2)),VALUE(RIGHT(G861,2))),IF(ISNUMBER(FIND(".",G861)),DATE(VALUE(RIGHT(G861,4)),VALUE(MID(G861,4,2)),VALUE(LEFT(G861,2))),DATE(VALUE(RIGHT(G861,4)),VLOOKUP(TRIM(MID(G861,FIND(" ",G861)+1,LEN(G861)-FIND(" ",G861)-5)),Справочники!$M$3:$N$14,2,0),VALUE(LEFT(G861,FIND(" ",G861)-1))))),"")</f>
        <v>53281</v>
      </c>
      <c r="M861" t="str">
        <f t="shared" si="266"/>
        <v xml:space="preserve">+7 (903) 234-56-78</v>
      </c>
      <c r="N861" t="str">
        <f t="shared" si="267"/>
        <v>kutuzov@yandex</v>
      </c>
      <c r="O861" t="str">
        <f t="shared" si="268"/>
        <v xml:space="preserve">Ошибка Email</v>
      </c>
      <c r="P861" t="str">
        <f>IFERROR(VLOOKUP(TRIM(SUBSTITUTE(SUBSTITUTE(" "&amp;F861," г "," "),"г.","")),Справочники!$J$3:$K$102,2,0),TRIM(SUBSTITUTE(SUBSTITUTE(" "&amp;F861," г "," "),"г.","")))</f>
        <v>Златоуст</v>
      </c>
    </row>
    <row r="862">
      <c r="A862" s="3" t="s">
        <v>3702</v>
      </c>
      <c r="B862" s="3" t="s">
        <v>7417</v>
      </c>
      <c r="C862" s="3" t="s">
        <v>7418</v>
      </c>
      <c r="D862" s="3" t="s">
        <v>1584</v>
      </c>
      <c r="E862" s="3" t="s">
        <v>7419</v>
      </c>
      <c r="F862" s="3" t="s">
        <v>4405</v>
      </c>
      <c r="G862" s="3" t="s">
        <v>7420</v>
      </c>
      <c r="H862" t="str">
        <f t="shared" si="263"/>
        <v xml:space="preserve">Федотова Ольга Владимировна</v>
      </c>
      <c r="I862" s="5">
        <f>IFERROR(IF(ISNUMBER(FIND("-",C862)),DATE(VALUE(LEFT(C862,4)),VALUE(MID(C862,6,2)),VALUE(RIGHT(C862,2))),IF(ISNUMBER(FIND(".",C862)),DATE(VALUE(RIGHT(C862,4)),VALUE(MID(C862,4,2)),VALUE(LEFT(C862,2))),DATE(VALUE(RIGHT(C862,4)),VLOOKUP(TRIM(MID(C862,FIND(" ",C862)+1,LEN(C862)-FIND(" ",C862)-5)),Справочники!$M$3:$N$14,2,0),VALUE(LEFT(C862,FIND(" ",C862)-1))))),"")</f>
        <v>30608</v>
      </c>
      <c r="J862" s="6">
        <f t="shared" si="264"/>
        <v>43</v>
      </c>
      <c r="K862" t="str">
        <f t="shared" si="265"/>
        <v>ОК</v>
      </c>
      <c r="L862" s="5">
        <f>IFERROR(IF(ISNUMBER(FIND("-",G862)),DATE(VALUE(LEFT(G862,4)),VALUE(MID(G862,6,2)),VALUE(RIGHT(G862,2))),IF(ISNUMBER(FIND(".",G862)),DATE(VALUE(RIGHT(G862,4)),VALUE(MID(G862,4,2)),VALUE(LEFT(G862,2))),DATE(VALUE(RIGHT(G862,4)),VLOOKUP(TRIM(MID(G862,FIND(" ",G862)+1,LEN(G862)-FIND(" ",G862)-5)),Справочники!$M$3:$N$14,2,0),VALUE(LEFT(G862,FIND(" ",G862)-1))))),"")</f>
        <v>53281</v>
      </c>
      <c r="M862" t="str">
        <f t="shared" si="266"/>
        <v xml:space="preserve">+7 (903) 345-67-89</v>
      </c>
      <c r="N862" t="str">
        <f t="shared" si="267"/>
        <v>fedotova@gmail</v>
      </c>
      <c r="O862" t="str">
        <f t="shared" si="268"/>
        <v xml:space="preserve">Ошибка Email</v>
      </c>
      <c r="P862" t="str">
        <f>IFERROR(VLOOKUP(TRIM(SUBSTITUTE(SUBSTITUTE(" "&amp;F862," г "," "),"г.","")),Справочники!$J$3:$K$102,2,0),TRIM(SUBSTITUTE(SUBSTITUTE(" "&amp;F862," г "," "),"г.","")))</f>
        <v>Ангарск</v>
      </c>
    </row>
    <row r="863">
      <c r="A863" s="3" t="s">
        <v>3704</v>
      </c>
      <c r="B863" s="3" t="s">
        <v>7421</v>
      </c>
      <c r="C863" s="3" t="s">
        <v>7422</v>
      </c>
      <c r="D863" s="3" t="s">
        <v>4073</v>
      </c>
      <c r="E863" s="3" t="s">
        <v>7423</v>
      </c>
      <c r="F863" s="3" t="s">
        <v>4410</v>
      </c>
      <c r="G863" s="3" t="s">
        <v>7424</v>
      </c>
      <c r="H863" t="str">
        <f t="shared" si="263"/>
        <v xml:space="preserve">Воробьев Илья Александрович</v>
      </c>
      <c r="I863" s="5">
        <f>IFERROR(IF(ISNUMBER(FIND("-",C863)),DATE(VALUE(LEFT(C863,4)),VALUE(MID(C863,6,2)),VALUE(RIGHT(C863,2))),IF(ISNUMBER(FIND(".",C863)),DATE(VALUE(RIGHT(C863,4)),VALUE(MID(C863,4,2)),VALUE(LEFT(C863,2))),DATE(VALUE(RIGHT(C863,4)),VLOOKUP(TRIM(MID(C863,FIND(" ",C863)+1,LEN(C863)-FIND(" ",C863)-5)),Справочники!$M$3:$N$14,2,0),VALUE(LEFT(C863,FIND(" ",C863)-1))))),"")</f>
        <v>28693</v>
      </c>
      <c r="J863" s="6">
        <f t="shared" si="264"/>
        <v>48</v>
      </c>
      <c r="K863" t="str">
        <f t="shared" si="265"/>
        <v>ОК</v>
      </c>
      <c r="L863" s="5">
        <f>IFERROR(IF(ISNUMBER(FIND("-",G863)),DATE(VALUE(LEFT(G863,4)),VALUE(MID(G863,6,2)),VALUE(RIGHT(G863,2))),IF(ISNUMBER(FIND(".",G863)),DATE(VALUE(RIGHT(G863,4)),VALUE(MID(G863,4,2)),VALUE(LEFT(G863,2))),DATE(VALUE(RIGHT(G863,4)),VLOOKUP(TRIM(MID(G863,FIND(" ",G863)+1,LEN(G863)-FIND(" ",G863)-5)),Справочники!$M$3:$N$14,2,0),VALUE(LEFT(G863,FIND(" ",G863)-1))))),"")</f>
        <v>53297</v>
      </c>
      <c r="M863" t="str">
        <f t="shared" si="266"/>
        <v xml:space="preserve">+7 (903) 345-67-89</v>
      </c>
      <c r="N863" t="str">
        <f t="shared" si="267"/>
        <v>vorobyev@mail</v>
      </c>
      <c r="O863" t="str">
        <f t="shared" si="268"/>
        <v xml:space="preserve">Ошибка Email</v>
      </c>
      <c r="P863" t="str">
        <f>IFERROR(VLOOKUP(TRIM(SUBSTITUTE(SUBSTITUTE(" "&amp;F863," г "," "),"г.","")),Справочники!$J$3:$K$102,2,0),TRIM(SUBSTITUTE(SUBSTITUTE(" "&amp;F863," г "," "),"г.","")))</f>
        <v>Озёрск</v>
      </c>
    </row>
    <row r="864">
      <c r="A864" s="3" t="s">
        <v>3706</v>
      </c>
      <c r="B864" s="3" t="s">
        <v>7425</v>
      </c>
      <c r="C864" s="3" t="s">
        <v>7426</v>
      </c>
      <c r="D864" s="3" t="s">
        <v>4079</v>
      </c>
      <c r="E864" s="3" t="s">
        <v>7427</v>
      </c>
      <c r="F864" s="3" t="s">
        <v>4415</v>
      </c>
      <c r="G864" s="3" t="s">
        <v>7428</v>
      </c>
      <c r="H864" t="str">
        <f t="shared" si="263"/>
        <v xml:space="preserve">Селиванова Екатерина Сергеевна</v>
      </c>
      <c r="I864" s="5">
        <f>IFERROR(IF(ISNUMBER(FIND("-",C864)),DATE(VALUE(LEFT(C864,4)),VALUE(MID(C864,6,2)),VALUE(RIGHT(C864,2))),IF(ISNUMBER(FIND(".",C864)),DATE(VALUE(RIGHT(C864,4)),VALUE(MID(C864,4,2)),VALUE(LEFT(C864,2))),DATE(VALUE(RIGHT(C864,4)),VLOOKUP(TRIM(MID(C864,FIND(" ",C864)+1,LEN(C864)-FIND(" ",C864)-5)),Справочники!$M$3:$N$14,2,0),VALUE(LEFT(C864,FIND(" ",C864)-1))))),"")</f>
        <v>32397</v>
      </c>
      <c r="J864" s="6">
        <f t="shared" si="264"/>
        <v>38</v>
      </c>
      <c r="K864" t="str">
        <f t="shared" si="265"/>
        <v>ОК</v>
      </c>
      <c r="L864" s="5">
        <f>IFERROR(IF(ISNUMBER(FIND("-",G864)),DATE(VALUE(LEFT(G864,4)),VALUE(MID(G864,6,2)),VALUE(RIGHT(G864,2))),IF(ISNUMBER(FIND(".",G864)),DATE(VALUE(RIGHT(G864,4)),VALUE(MID(G864,4,2)),VALUE(LEFT(G864,2))),DATE(VALUE(RIGHT(G864,4)),VLOOKUP(TRIM(MID(G864,FIND(" ",G864)+1,LEN(G864)-FIND(" ",G864)-5)),Справочники!$M$3:$N$14,2,0),VALUE(LEFT(G864,FIND(" ",G864)-1))))),"")</f>
        <v>53306</v>
      </c>
      <c r="M864" t="str">
        <f t="shared" si="266"/>
        <v xml:space="preserve">+7 (903) 345-67-89</v>
      </c>
      <c r="N864" t="str">
        <f t="shared" si="267"/>
        <v>selivanova@yandex</v>
      </c>
      <c r="O864" t="str">
        <f t="shared" si="268"/>
        <v xml:space="preserve">Ошибка Email</v>
      </c>
      <c r="P864" t="str">
        <f>IFERROR(VLOOKUP(TRIM(SUBSTITUTE(SUBSTITUTE(" "&amp;F864," г "," "),"г.","")),Справочники!$J$3:$K$102,2,0),TRIM(SUBSTITUTE(SUBSTITUTE(" "&amp;F864," г "," "),"г.","")))</f>
        <v>Орел</v>
      </c>
    </row>
    <row r="865">
      <c r="A865" s="3" t="s">
        <v>3707</v>
      </c>
      <c r="B865" s="3" t="s">
        <v>7429</v>
      </c>
      <c r="C865" s="3" t="s">
        <v>7430</v>
      </c>
      <c r="D865" s="3" t="s">
        <v>4085</v>
      </c>
      <c r="E865" s="3" t="s">
        <v>7431</v>
      </c>
      <c r="F865" s="3" t="s">
        <v>4184</v>
      </c>
      <c r="G865" s="3" t="s">
        <v>7432</v>
      </c>
      <c r="H865" t="str">
        <f t="shared" si="263"/>
        <v xml:space="preserve">Третьяков Андрей Олегович</v>
      </c>
      <c r="I865" s="5">
        <f>IFERROR(IF(ISNUMBER(FIND("-",C865)),DATE(VALUE(LEFT(C865,4)),VALUE(MID(C865,6,2)),VALUE(RIGHT(C865,2))),IF(ISNUMBER(FIND(".",C865)),DATE(VALUE(RIGHT(C865,4)),VALUE(MID(C865,4,2)),VALUE(LEFT(C865,2))),DATE(VALUE(RIGHT(C865,4)),VLOOKUP(TRIM(MID(C865,FIND(" ",C865)+1,LEN(C865)-FIND(" ",C865)-5)),Справочники!$M$3:$N$14,2,0),VALUE(LEFT(C865,FIND(" ",C865)-1))))),"")</f>
        <v>26067</v>
      </c>
      <c r="J865" s="6">
        <f t="shared" si="264"/>
        <v>55</v>
      </c>
      <c r="K865" t="str">
        <f t="shared" si="265"/>
        <v>ОК</v>
      </c>
      <c r="L865" s="5">
        <f>IFERROR(IF(ISNUMBER(FIND("-",G865)),DATE(VALUE(LEFT(G865,4)),VALUE(MID(G865,6,2)),VALUE(RIGHT(G865,2))),IF(ISNUMBER(FIND(".",G865)),DATE(VALUE(RIGHT(G865,4)),VALUE(MID(G865,4,2)),VALUE(LEFT(G865,2))),DATE(VALUE(RIGHT(G865,4)),VLOOKUP(TRIM(MID(G865,FIND(" ",G865)+1,LEN(G865)-FIND(" ",G865)-5)),Справочники!$M$3:$N$14,2,0),VALUE(LEFT(G865,FIND(" ",G865)-1))))),"")</f>
        <v>53306</v>
      </c>
      <c r="M865" t="str">
        <f t="shared" si="266"/>
        <v xml:space="preserve">+7 (903) 456-78-90</v>
      </c>
      <c r="N865" t="str">
        <f t="shared" si="267"/>
        <v>tretyakov@gmail</v>
      </c>
      <c r="O865" t="str">
        <f t="shared" si="268"/>
        <v xml:space="preserve">Ошибка Email</v>
      </c>
      <c r="P865" t="str">
        <f>IFERROR(VLOOKUP(TRIM(SUBSTITUTE(SUBSTITUTE(" "&amp;F865," г "," "),"г.","")),Справочники!$J$3:$K$102,2,0),TRIM(SUBSTITUTE(SUBSTITUTE(" "&amp;F865," г "," "),"г.","")))</f>
        <v>Магнитогорск</v>
      </c>
    </row>
    <row r="866">
      <c r="A866" s="3" t="s">
        <v>3709</v>
      </c>
      <c r="B866" s="3" t="s">
        <v>7433</v>
      </c>
      <c r="C866" s="3" t="s">
        <v>6203</v>
      </c>
      <c r="D866" s="3" t="s">
        <v>1591</v>
      </c>
      <c r="E866" s="3" t="s">
        <v>7434</v>
      </c>
      <c r="F866" s="3" t="s">
        <v>4205</v>
      </c>
      <c r="G866" s="3" t="s">
        <v>7435</v>
      </c>
      <c r="H866" t="str">
        <f t="shared" si="263"/>
        <v xml:space="preserve">Решетникова Мария Павловна</v>
      </c>
      <c r="I866" s="5">
        <f>IFERROR(IF(ISNUMBER(FIND("-",C866)),DATE(VALUE(LEFT(C866,4)),VALUE(MID(C866,6,2)),VALUE(RIGHT(C866,2))),IF(ISNUMBER(FIND(".",C866)),DATE(VALUE(RIGHT(C866,4)),VALUE(MID(C866,4,2)),VALUE(LEFT(C866,2))),DATE(VALUE(RIGHT(C866,4)),VLOOKUP(TRIM(MID(C866,FIND(" ",C866)+1,LEN(C866)-FIND(" ",C866)-5)),Справочники!$M$3:$N$14,2,0),VALUE(LEFT(C866,FIND(" ",C866)-1))))),"")</f>
        <v>31139</v>
      </c>
      <c r="J866" s="6">
        <f t="shared" si="264"/>
        <v>41</v>
      </c>
      <c r="K866" t="str">
        <f t="shared" si="265"/>
        <v>ОК</v>
      </c>
      <c r="L866" s="5">
        <f>IFERROR(IF(ISNUMBER(FIND("-",G866)),DATE(VALUE(LEFT(G866,4)),VALUE(MID(G866,6,2)),VALUE(RIGHT(G866,2))),IF(ISNUMBER(FIND(".",G866)),DATE(VALUE(RIGHT(G866,4)),VALUE(MID(G866,4,2)),VALUE(LEFT(G866,2))),DATE(VALUE(RIGHT(G866,4)),VLOOKUP(TRIM(MID(G866,FIND(" ",G866)+1,LEN(G866)-FIND(" ",G866)-5)),Справочники!$M$3:$N$14,2,0),VALUE(LEFT(G866,FIND(" ",G866)-1))))),"")</f>
        <v>53328</v>
      </c>
      <c r="M866" t="str">
        <f t="shared" si="266"/>
        <v xml:space="preserve">+7 (903) 456-78-90</v>
      </c>
      <c r="N866" t="str">
        <f t="shared" si="267"/>
        <v>reshetnikova@mail</v>
      </c>
      <c r="O866" t="str">
        <f t="shared" si="268"/>
        <v xml:space="preserve">Ошибка Email</v>
      </c>
      <c r="P866" t="str">
        <f>IFERROR(VLOOKUP(TRIM(SUBSTITUTE(SUBSTITUTE(" "&amp;F866," г "," "),"г.","")),Справочники!$J$3:$K$102,2,0),TRIM(SUBSTITUTE(SUBSTITUTE(" "&amp;F866," г "," "),"г.","")))</f>
        <v>Якутск</v>
      </c>
    </row>
    <row r="867">
      <c r="A867" s="3" t="s">
        <v>3710</v>
      </c>
      <c r="B867" s="3" t="s">
        <v>7436</v>
      </c>
      <c r="C867" s="3" t="s">
        <v>7437</v>
      </c>
      <c r="D867" s="3" t="s">
        <v>1660</v>
      </c>
      <c r="E867" s="3" t="s">
        <v>7438</v>
      </c>
      <c r="F867" s="3" t="s">
        <v>4152</v>
      </c>
      <c r="G867" s="3" t="s">
        <v>7439</v>
      </c>
      <c r="H867" t="str">
        <f t="shared" si="263"/>
        <v xml:space="preserve">Попков Денис Викторович</v>
      </c>
      <c r="I867" s="5">
        <f>IFERROR(IF(ISNUMBER(FIND("-",C867)),DATE(VALUE(LEFT(C867,4)),VALUE(MID(C867,6,2)),VALUE(RIGHT(C867,2))),IF(ISNUMBER(FIND(".",C867)),DATE(VALUE(RIGHT(C867,4)),VALUE(MID(C867,4,2)),VALUE(LEFT(C867,2))),DATE(VALUE(RIGHT(C867,4)),VLOOKUP(TRIM(MID(C867,FIND(" ",C867)+1,LEN(C867)-FIND(" ",C867)-5)),Справочники!$M$3:$N$14,2,0),VALUE(LEFT(C867,FIND(" ",C867)-1))))),"")</f>
        <v>33042</v>
      </c>
      <c r="J867" s="6">
        <f t="shared" si="264"/>
        <v>36</v>
      </c>
      <c r="K867" t="str">
        <f t="shared" si="265"/>
        <v>ОК</v>
      </c>
      <c r="L867" s="5">
        <f>IFERROR(IF(ISNUMBER(FIND("-",G867)),DATE(VALUE(LEFT(G867,4)),VALUE(MID(G867,6,2)),VALUE(RIGHT(G867,2))),IF(ISNUMBER(FIND(".",G867)),DATE(VALUE(RIGHT(G867,4)),VALUE(MID(G867,4,2)),VALUE(LEFT(G867,2))),DATE(VALUE(RIGHT(G867,4)),VLOOKUP(TRIM(MID(G867,FIND(" ",G867)+1,LEN(G867)-FIND(" ",G867)-5)),Справочники!$M$3:$N$14,2,0),VALUE(LEFT(G867,FIND(" ",G867)-1))))),"")</f>
        <v>53342</v>
      </c>
      <c r="M867" t="str">
        <f t="shared" si="266"/>
        <v xml:space="preserve">+7 (903) 456-78-90</v>
      </c>
      <c r="N867" t="str">
        <f t="shared" si="267"/>
        <v>popkov@yandex</v>
      </c>
      <c r="O867" t="str">
        <f t="shared" si="268"/>
        <v xml:space="preserve">Ошибка Email</v>
      </c>
      <c r="P867" t="str">
        <f>IFERROR(VLOOKUP(TRIM(SUBSTITUTE(SUBSTITUTE(" "&amp;F867," г "," "),"г.","")),Справочники!$J$3:$K$102,2,0),TRIM(SUBSTITUTE(SUBSTITUTE(" "&amp;F867," г "," "),"г.","")))</f>
        <v>Чебоксары</v>
      </c>
    </row>
    <row r="868">
      <c r="A868" s="3" t="s">
        <v>3712</v>
      </c>
      <c r="B868" s="3" t="s">
        <v>7440</v>
      </c>
      <c r="C868" s="3" t="s">
        <v>7441</v>
      </c>
      <c r="D868" s="3" t="s">
        <v>3984</v>
      </c>
      <c r="E868" s="3" t="s">
        <v>7442</v>
      </c>
      <c r="F868" s="3" t="s">
        <v>4245</v>
      </c>
      <c r="G868" s="3" t="s">
        <v>7443</v>
      </c>
      <c r="H868" t="str">
        <f t="shared" ref="H868:H931" si="269">PROPER(TRIM(B868))</f>
        <v xml:space="preserve">Шевцова Ольга Сергеевна</v>
      </c>
      <c r="I868" s="5">
        <f>IFERROR(IF(ISNUMBER(FIND("-",C868)),DATE(VALUE(LEFT(C868,4)),VALUE(MID(C868,6,2)),VALUE(RIGHT(C868,2))),IF(ISNUMBER(FIND(".",C868)),DATE(VALUE(RIGHT(C868,4)),VALUE(MID(C868,4,2)),VALUE(LEFT(C868,2))),DATE(VALUE(RIGHT(C868,4)),VLOOKUP(TRIM(MID(C868,FIND(" ",C868)+1,LEN(C868)-FIND(" ",C868)-5)),Справочники!$M$3:$N$14,2,0),VALUE(LEFT(C868,FIND(" ",C868)-1))))),"")</f>
        <v>28361</v>
      </c>
      <c r="J868" s="6">
        <f t="shared" ref="J868:J931" si="270">IF(I868="","",DATEDIF(I868,TODAY(),"Y"))</f>
        <v>49</v>
      </c>
      <c r="K868" t="str">
        <f t="shared" ref="K868:K931" si="271">IF(OR(I868="",J868&lt;18,J868&gt;120),"Ошибка даты рождения","ОК")</f>
        <v>ОК</v>
      </c>
      <c r="L868" s="5">
        <f>IFERROR(IF(ISNUMBER(FIND("-",G868)),DATE(VALUE(LEFT(G868,4)),VALUE(MID(G868,6,2)),VALUE(RIGHT(G868,2))),IF(ISNUMBER(FIND(".",G868)),DATE(VALUE(RIGHT(G868,4)),VALUE(MID(G868,4,2)),VALUE(LEFT(G868,2))),DATE(VALUE(RIGHT(G868,4)),VLOOKUP(TRIM(MID(G868,FIND(" ",G868)+1,LEN(G868)-FIND(" ",G868)-5)),Справочники!$M$3:$N$14,2,0),VALUE(LEFT(G868,FIND(" ",G868)-1))))),"")</f>
        <v>53342</v>
      </c>
      <c r="M868" t="str">
        <f t="shared" ref="M868:M931" si="272">IF(LEN(SUBSTITUTE(SUBSTITUTE(SUBSTITUTE(SUBSTITUTE(SUBSTITUTE(D868,"+",""),"-","")," ",""),"(",""),")",""))&lt;10,"Ошибка телефона","+7 ("&amp;MID(RIGHT(SUBSTITUTE(SUBSTITUTE(SUBSTITUTE(SUBSTITUTE(SUBSTITUTE(D868,"+",""),"-","")," ",""),"(",""),")",""),10),1,3)&amp;") "&amp;MID(RIGHT(SUBSTITUTE(SUBSTITUTE(SUBSTITUTE(SUBSTITUTE(SUBSTITUTE(D868,"+",""),"-","")," ",""),"(",""),")",""),10),4,3)&amp;"-"&amp;MID(RIGHT(SUBSTITUTE(SUBSTITUTE(SUBSTITUTE(SUBSTITUTE(SUBSTITUTE(D868,"+",""),"-","")," ",""),"(",""),")",""),10),7,2)&amp;"-"&amp;RIGHT(SUBSTITUTE(SUBSTITUTE(SUBSTITUTE(SUBSTITUTE(SUBSTITUTE(D868,"+",""),"-","")," ",""),"(",""),")",""),2))</f>
        <v xml:space="preserve">+7 (903) 567-89-01</v>
      </c>
      <c r="N868" t="str">
        <f t="shared" ref="N868:N931" si="273">LOWER(SUBSTITUTE(TRIM(E868)," ",""))</f>
        <v>shevtsova@gmail</v>
      </c>
      <c r="O868" t="str">
        <f t="shared" ref="O868:O931" si="274">IF(AND(ISNUMBER(FIND("@",N868)),ISNUMBER(FIND(".",N868,FIND("@",N868)+2))),"ОК","Ошибка Email")</f>
        <v xml:space="preserve">Ошибка Email</v>
      </c>
      <c r="P868" t="str">
        <f>IFERROR(VLOOKUP(TRIM(SUBSTITUTE(SUBSTITUTE(" "&amp;F868," г "," "),"г.","")),Справочники!$J$3:$K$102,2,0),TRIM(SUBSTITUTE(SUBSTITUTE(" "&amp;F868," г "," "),"г.","")))</f>
        <v>Мурманск</v>
      </c>
    </row>
    <row r="869">
      <c r="A869" s="3" t="s">
        <v>3713</v>
      </c>
      <c r="B869" s="3" t="s">
        <v>7444</v>
      </c>
      <c r="C869" s="3" t="s">
        <v>7445</v>
      </c>
      <c r="D869" s="3" t="s">
        <v>3990</v>
      </c>
      <c r="E869" s="3" t="s">
        <v>7446</v>
      </c>
      <c r="F869" s="3" t="s">
        <v>4235</v>
      </c>
      <c r="G869" s="3" t="s">
        <v>7447</v>
      </c>
      <c r="H869" t="str">
        <f t="shared" si="269"/>
        <v xml:space="preserve">Казаков Илья Александрович</v>
      </c>
      <c r="I869" s="5">
        <f>IFERROR(IF(ISNUMBER(FIND("-",C869)),DATE(VALUE(LEFT(C869,4)),VALUE(MID(C869,6,2)),VALUE(RIGHT(C869,2))),IF(ISNUMBER(FIND(".",C869)),DATE(VALUE(RIGHT(C869,4)),VALUE(MID(C869,4,2)),VALUE(LEFT(C869,2))),DATE(VALUE(RIGHT(C869,4)),VLOOKUP(TRIM(MID(C869,FIND(" ",C869)+1,LEN(C869)-FIND(" ",C869)-5)),Справочники!$M$3:$N$14,2,0),VALUE(LEFT(C869,FIND(" ",C869)-1))))),"")</f>
        <v>30325</v>
      </c>
      <c r="J869" s="6">
        <f t="shared" si="270"/>
        <v>43</v>
      </c>
      <c r="K869" t="str">
        <f t="shared" si="271"/>
        <v>ОК</v>
      </c>
      <c r="L869" s="5">
        <f>IFERROR(IF(ISNUMBER(FIND("-",G869)),DATE(VALUE(LEFT(G869,4)),VALUE(MID(G869,6,2)),VALUE(RIGHT(G869,2))),IF(ISNUMBER(FIND(".",G869)),DATE(VALUE(RIGHT(G869,4)),VALUE(MID(G869,4,2)),VALUE(LEFT(G869,2))),DATE(VALUE(RIGHT(G869,4)),VLOOKUP(TRIM(MID(G869,FIND(" ",G869)+1,LEN(G869)-FIND(" ",G869)-5)),Справочники!$M$3:$N$14,2,0),VALUE(LEFT(G869,FIND(" ",G869)-1))))),"")</f>
        <v>53359</v>
      </c>
      <c r="M869" t="str">
        <f t="shared" si="272"/>
        <v xml:space="preserve">+7 (903) 567-89-01</v>
      </c>
      <c r="N869" t="str">
        <f t="shared" si="273"/>
        <v>kazakov@mail</v>
      </c>
      <c r="O869" t="str">
        <f t="shared" si="274"/>
        <v xml:space="preserve">Ошибка Email</v>
      </c>
      <c r="P869" t="str">
        <f>IFERROR(VLOOKUP(TRIM(SUBSTITUTE(SUBSTITUTE(" "&amp;F869," г "," "),"г.","")),Справочники!$J$3:$K$102,2,0),TRIM(SUBSTITUTE(SUBSTITUTE(" "&amp;F869," г "," "),"г.","")))</f>
        <v>Смоленск</v>
      </c>
    </row>
    <row r="870">
      <c r="A870" s="3" t="s">
        <v>3716</v>
      </c>
      <c r="B870" s="3" t="s">
        <v>7448</v>
      </c>
      <c r="C870" s="3" t="s">
        <v>7449</v>
      </c>
      <c r="D870" s="3" t="s">
        <v>1598</v>
      </c>
      <c r="E870" s="3" t="s">
        <v>7450</v>
      </c>
      <c r="F870" s="3" t="s">
        <v>4220</v>
      </c>
      <c r="G870" s="3" t="s">
        <v>7451</v>
      </c>
      <c r="H870" t="str">
        <f t="shared" si="269"/>
        <v xml:space="preserve">Кречетова Екатерина Владимировна</v>
      </c>
      <c r="I870" s="5">
        <f>IFERROR(IF(ISNUMBER(FIND("-",C870)),DATE(VALUE(LEFT(C870,4)),VALUE(MID(C870,6,2)),VALUE(RIGHT(C870,2))),IF(ISNUMBER(FIND(".",C870)),DATE(VALUE(RIGHT(C870,4)),VALUE(MID(C870,4,2)),VALUE(LEFT(C870,2))),DATE(VALUE(RIGHT(C870,4)),VLOOKUP(TRIM(MID(C870,FIND(" ",C870)+1,LEN(C870)-FIND(" ",C870)-5)),Справочники!$M$3:$N$14,2,0),VALUE(LEFT(C870,FIND(" ",C870)-1))))),"")</f>
        <v>33558</v>
      </c>
      <c r="J870" s="6">
        <f t="shared" si="270"/>
        <v>34</v>
      </c>
      <c r="K870" t="str">
        <f t="shared" si="271"/>
        <v>ОК</v>
      </c>
      <c r="L870" s="5">
        <f>IFERROR(IF(ISNUMBER(FIND("-",G870)),DATE(VALUE(LEFT(G870,4)),VALUE(MID(G870,6,2)),VALUE(RIGHT(G870,2))),IF(ISNUMBER(FIND(".",G870)),DATE(VALUE(RIGHT(G870,4)),VALUE(MID(G870,4,2)),VALUE(LEFT(G870,2))),DATE(VALUE(RIGHT(G870,4)),VLOOKUP(TRIM(MID(G870,FIND(" ",G870)+1,LEN(G870)-FIND(" ",G870)-5)),Справочники!$M$3:$N$14,2,0),VALUE(LEFT(G870,FIND(" ",G870)-1))))),"")</f>
        <v>53368</v>
      </c>
      <c r="M870" t="str">
        <f t="shared" si="272"/>
        <v xml:space="preserve">+7 (903) 567-89-01</v>
      </c>
      <c r="N870" t="str">
        <f t="shared" si="273"/>
        <v>krechetova@yandex</v>
      </c>
      <c r="O870" t="str">
        <f t="shared" si="274"/>
        <v xml:space="preserve">Ошибка Email</v>
      </c>
      <c r="P870" t="str">
        <f>IFERROR(VLOOKUP(TRIM(SUBSTITUTE(SUBSTITUTE(" "&amp;F870," г "," "),"г.","")),Справочники!$J$3:$K$102,2,0),TRIM(SUBSTITUTE(SUBSTITUTE(" "&amp;F870," г "," "),"г.","")))</f>
        <v>Тула</v>
      </c>
    </row>
    <row r="871">
      <c r="A871" s="3" t="s">
        <v>3717</v>
      </c>
      <c r="B871" s="3" t="s">
        <v>7452</v>
      </c>
      <c r="C871" s="3" t="s">
        <v>7453</v>
      </c>
      <c r="D871" s="3" t="s">
        <v>4116</v>
      </c>
      <c r="E871" s="3" t="s">
        <v>7454</v>
      </c>
      <c r="F871" s="3" t="s">
        <v>4225</v>
      </c>
      <c r="G871" s="3" t="s">
        <v>7455</v>
      </c>
      <c r="H871" t="str">
        <f t="shared" si="269"/>
        <v xml:space="preserve">Алёшин Андрей Олегович</v>
      </c>
      <c r="I871" s="5">
        <f>IFERROR(IF(ISNUMBER(FIND("-",C871)),DATE(VALUE(LEFT(C871,4)),VALUE(MID(C871,6,2)),VALUE(RIGHT(C871,2))),IF(ISNUMBER(FIND(".",C871)),DATE(VALUE(RIGHT(C871,4)),VALUE(MID(C871,4,2)),VALUE(LEFT(C871,2))),DATE(VALUE(RIGHT(C871,4)),VLOOKUP(TRIM(MID(C871,FIND(" ",C871)+1,LEN(C871)-FIND(" ",C871)-5)),Справочники!$M$3:$N$14,2,0),VALUE(LEFT(C871,FIND(" ",C871)-1))))),"")</f>
        <v>26636</v>
      </c>
      <c r="J871" s="6">
        <f t="shared" si="270"/>
        <v>53</v>
      </c>
      <c r="K871" t="str">
        <f t="shared" si="271"/>
        <v>ОК</v>
      </c>
      <c r="L871" s="5">
        <f>IFERROR(IF(ISNUMBER(FIND("-",G871)),DATE(VALUE(LEFT(G871,4)),VALUE(MID(G871,6,2)),VALUE(RIGHT(G871,2))),IF(ISNUMBER(FIND(".",G871)),DATE(VALUE(RIGHT(G871,4)),VALUE(MID(G871,4,2)),VALUE(LEFT(G871,2))),DATE(VALUE(RIGHT(G871,4)),VLOOKUP(TRIM(MID(G871,FIND(" ",G871)+1,LEN(G871)-FIND(" ",G871)-5)),Справочники!$M$3:$N$14,2,0),VALUE(LEFT(G871,FIND(" ",G871)-1))))),"")</f>
        <v>53368</v>
      </c>
      <c r="M871" t="str">
        <f t="shared" si="272"/>
        <v xml:space="preserve">+7 (903) 678-90-12</v>
      </c>
      <c r="N871" t="str">
        <f t="shared" si="273"/>
        <v>aleshin@gmail</v>
      </c>
      <c r="O871" t="str">
        <f t="shared" si="274"/>
        <v xml:space="preserve">Ошибка Email</v>
      </c>
      <c r="P871" t="str">
        <f>IFERROR(VLOOKUP(TRIM(SUBSTITUTE(SUBSTITUTE(" "&amp;F871," г "," "),"г.","")),Справочники!$J$3:$K$102,2,0),TRIM(SUBSTITUTE(SUBSTITUTE(" "&amp;F871," г "," "),"г.","")))</f>
        <v>Калуга</v>
      </c>
    </row>
    <row r="872">
      <c r="A872" s="3" t="s">
        <v>3719</v>
      </c>
      <c r="B872" s="3" t="s">
        <v>7456</v>
      </c>
      <c r="C872" s="3" t="s">
        <v>7457</v>
      </c>
      <c r="D872" s="3" t="s">
        <v>4122</v>
      </c>
      <c r="E872" s="3" t="s">
        <v>7458</v>
      </c>
      <c r="F872" s="3" t="s">
        <v>4230</v>
      </c>
      <c r="G872" s="3" t="s">
        <v>7459</v>
      </c>
      <c r="H872" t="str">
        <f t="shared" si="269"/>
        <v xml:space="preserve">Парфёнова Мария Павловна</v>
      </c>
      <c r="I872" s="5">
        <f>IFERROR(IF(ISNUMBER(FIND("-",C872)),DATE(VALUE(LEFT(C872,4)),VALUE(MID(C872,6,2)),VALUE(RIGHT(C872,2))),IF(ISNUMBER(FIND(".",C872)),DATE(VALUE(RIGHT(C872,4)),VALUE(MID(C872,4,2)),VALUE(LEFT(C872,2))),DATE(VALUE(RIGHT(C872,4)),VLOOKUP(TRIM(MID(C872,FIND(" ",C872)+1,LEN(C872)-FIND(" ",C872)-5)),Справочники!$M$3:$N$14,2,0),VALUE(LEFT(C872,FIND(" ",C872)-1))))),"")</f>
        <v>31620</v>
      </c>
      <c r="J872" s="6">
        <f t="shared" si="270"/>
        <v>40</v>
      </c>
      <c r="K872" t="str">
        <f t="shared" si="271"/>
        <v>ОК</v>
      </c>
      <c r="L872" s="5">
        <f>IFERROR(IF(ISNUMBER(FIND("-",G872)),DATE(VALUE(LEFT(G872,4)),VALUE(MID(G872,6,2)),VALUE(RIGHT(G872,2))),IF(ISNUMBER(FIND(".",G872)),DATE(VALUE(RIGHT(G872,4)),VALUE(MID(G872,4,2)),VALUE(LEFT(G872,2))),DATE(VALUE(RIGHT(G872,4)),VLOOKUP(TRIM(MID(G872,FIND(" ",G872)+1,LEN(G872)-FIND(" ",G872)-5)),Справочники!$M$3:$N$14,2,0),VALUE(LEFT(G872,FIND(" ",G872)-1))))),"")</f>
        <v>53387</v>
      </c>
      <c r="M872" t="str">
        <f t="shared" si="272"/>
        <v xml:space="preserve">+7 (903) 678-90-12</v>
      </c>
      <c r="N872" t="str">
        <f t="shared" si="273"/>
        <v>parfyonova@mail</v>
      </c>
      <c r="O872" t="str">
        <f t="shared" si="274"/>
        <v xml:space="preserve">Ошибка Email</v>
      </c>
      <c r="P872" t="str">
        <f>IFERROR(VLOOKUP(TRIM(SUBSTITUTE(SUBSTITUTE(" "&amp;F872," г "," "),"г.","")),Справочники!$J$3:$K$102,2,0),TRIM(SUBSTITUTE(SUBSTITUTE(" "&amp;F872," г "," "),"г.","")))</f>
        <v>Владикавказ</v>
      </c>
    </row>
    <row r="873">
      <c r="A873" s="3" t="s">
        <v>3720</v>
      </c>
      <c r="B873" s="3" t="s">
        <v>7460</v>
      </c>
      <c r="C873" s="3" t="s">
        <v>4203</v>
      </c>
      <c r="D873" s="3" t="s">
        <v>1605</v>
      </c>
      <c r="E873" s="3" t="s">
        <v>7461</v>
      </c>
      <c r="F873" s="3" t="s">
        <v>4235</v>
      </c>
      <c r="G873" s="3" t="s">
        <v>7462</v>
      </c>
      <c r="H873" t="str">
        <f t="shared" si="269"/>
        <v xml:space="preserve">Гаврилов Денис Сергеевич</v>
      </c>
      <c r="I873" s="5">
        <f>IFERROR(IF(ISNUMBER(FIND("-",C873)),DATE(VALUE(LEFT(C873,4)),VALUE(MID(C873,6,2)),VALUE(RIGHT(C873,2))),IF(ISNUMBER(FIND(".",C873)),DATE(VALUE(RIGHT(C873,4)),VALUE(MID(C873,4,2)),VALUE(LEFT(C873,2))),DATE(VALUE(RIGHT(C873,4)),VLOOKUP(TRIM(MID(C873,FIND(" ",C873)+1,LEN(C873)-FIND(" ",C873)-5)),Справочники!$M$3:$N$14,2,0),VALUE(LEFT(C873,FIND(" ",C873)-1))))),"")</f>
        <v>28896</v>
      </c>
      <c r="J873" s="6">
        <f t="shared" si="270"/>
        <v>47</v>
      </c>
      <c r="K873" t="str">
        <f t="shared" si="271"/>
        <v>ОК</v>
      </c>
      <c r="L873" s="5">
        <f>IFERROR(IF(ISNUMBER(FIND("-",G873)),DATE(VALUE(LEFT(G873,4)),VALUE(MID(G873,6,2)),VALUE(RIGHT(G873,2))),IF(ISNUMBER(FIND(".",G873)),DATE(VALUE(RIGHT(G873,4)),VALUE(MID(G873,4,2)),VALUE(LEFT(G873,2))),DATE(VALUE(RIGHT(G873,4)),VLOOKUP(TRIM(MID(G873,FIND(" ",G873)+1,LEN(G873)-FIND(" ",G873)-5)),Справочники!$M$3:$N$14,2,0),VALUE(LEFT(G873,FIND(" ",G873)-1))))),"")</f>
        <v>53401</v>
      </c>
      <c r="M873" t="str">
        <f t="shared" si="272"/>
        <v xml:space="preserve">+7 (903) 678-90-12</v>
      </c>
      <c r="N873" t="str">
        <f t="shared" si="273"/>
        <v>gavrilov@yandex</v>
      </c>
      <c r="O873" t="str">
        <f t="shared" si="274"/>
        <v xml:space="preserve">Ошибка Email</v>
      </c>
      <c r="P873" t="str">
        <f>IFERROR(VLOOKUP(TRIM(SUBSTITUTE(SUBSTITUTE(" "&amp;F873," г "," "),"г.","")),Справочники!$J$3:$K$102,2,0),TRIM(SUBSTITUTE(SUBSTITUTE(" "&amp;F873," г "," "),"г.","")))</f>
        <v>Смоленск</v>
      </c>
    </row>
    <row r="874">
      <c r="A874" s="3" t="s">
        <v>3722</v>
      </c>
      <c r="B874" s="3" t="s">
        <v>7463</v>
      </c>
      <c r="C874" s="3" t="s">
        <v>7464</v>
      </c>
      <c r="D874" s="3" t="s">
        <v>4001</v>
      </c>
      <c r="E874" s="3" t="s">
        <v>7465</v>
      </c>
      <c r="F874" s="3" t="s">
        <v>4240</v>
      </c>
      <c r="G874" s="3" t="s">
        <v>7466</v>
      </c>
      <c r="H874" t="str">
        <f t="shared" si="269"/>
        <v xml:space="preserve">Корчагина Ольга Владимировна</v>
      </c>
      <c r="I874" s="5">
        <f>IFERROR(IF(ISNUMBER(FIND("-",C874)),DATE(VALUE(LEFT(C874,4)),VALUE(MID(C874,6,2)),VALUE(RIGHT(C874,2))),IF(ISNUMBER(FIND(".",C874)),DATE(VALUE(RIGHT(C874,4)),VALUE(MID(C874,4,2)),VALUE(LEFT(C874,2))),DATE(VALUE(RIGHT(C874,4)),VLOOKUP(TRIM(MID(C874,FIND(" ",C874)+1,LEN(C874)-FIND(" ",C874)-5)),Справочники!$M$3:$N$14,2,0),VALUE(LEFT(C874,FIND(" ",C874)-1))))),"")</f>
        <v>30968</v>
      </c>
      <c r="J874" s="6">
        <f t="shared" si="270"/>
        <v>42</v>
      </c>
      <c r="K874" t="str">
        <f t="shared" si="271"/>
        <v>ОК</v>
      </c>
      <c r="L874" s="5">
        <f>IFERROR(IF(ISNUMBER(FIND("-",G874)),DATE(VALUE(LEFT(G874,4)),VALUE(MID(G874,6,2)),VALUE(RIGHT(G874,2))),IF(ISNUMBER(FIND(".",G874)),DATE(VALUE(RIGHT(G874,4)),VALUE(MID(G874,4,2)),VALUE(LEFT(G874,2))),DATE(VALUE(RIGHT(G874,4)),VLOOKUP(TRIM(MID(G874,FIND(" ",G874)+1,LEN(G874)-FIND(" ",G874)-5)),Справочники!$M$3:$N$14,2,0),VALUE(LEFT(G874,FIND(" ",G874)-1))))),"")</f>
        <v>53401</v>
      </c>
      <c r="M874" t="str">
        <f t="shared" si="272"/>
        <v xml:space="preserve">+7 (903) 789-01-23</v>
      </c>
      <c r="N874" t="str">
        <f t="shared" si="273"/>
        <v>korchagina@gmail</v>
      </c>
      <c r="O874" t="str">
        <f t="shared" si="274"/>
        <v xml:space="preserve">Ошибка Email</v>
      </c>
      <c r="P874" t="str">
        <f>IFERROR(VLOOKUP(TRIM(SUBSTITUTE(SUBSTITUTE(" "&amp;F874," г "," "),"г.","")),Справочники!$J$3:$K$102,2,0),TRIM(SUBSTITUTE(SUBSTITUTE(" "&amp;F874," г "," "),"г.","")))</f>
        <v>Белгород</v>
      </c>
    </row>
    <row r="875">
      <c r="A875" s="3" t="s">
        <v>3724</v>
      </c>
      <c r="B875" s="3" t="s">
        <v>7467</v>
      </c>
      <c r="C875" s="3" t="s">
        <v>7468</v>
      </c>
      <c r="D875" s="3" t="s">
        <v>4138</v>
      </c>
      <c r="E875" s="3" t="s">
        <v>7469</v>
      </c>
      <c r="F875" s="3" t="s">
        <v>4245</v>
      </c>
      <c r="G875" s="3" t="s">
        <v>7470</v>
      </c>
      <c r="H875" t="str">
        <f t="shared" si="269"/>
        <v xml:space="preserve">Гуляева Екатерина Александровна</v>
      </c>
      <c r="I875" s="5">
        <f>IFERROR(IF(ISNUMBER(FIND("-",C875)),DATE(VALUE(LEFT(C875,4)),VALUE(MID(C875,6,2)),VALUE(RIGHT(C875,2))),IF(ISNUMBER(FIND(".",C875)),DATE(VALUE(RIGHT(C875,4)),VALUE(MID(C875,4,2)),VALUE(LEFT(C875,2))),DATE(VALUE(RIGHT(C875,4)),VLOOKUP(TRIM(MID(C875,FIND(" ",C875)+1,LEN(C875)-FIND(" ",C875)-5)),Справочники!$M$3:$N$14,2,0),VALUE(LEFT(C875,FIND(" ",C875)-1))))),"")</f>
        <v>27170</v>
      </c>
      <c r="J875" s="6">
        <f t="shared" si="270"/>
        <v>52</v>
      </c>
      <c r="K875" t="str">
        <f t="shared" si="271"/>
        <v>ОК</v>
      </c>
      <c r="L875" s="5">
        <f>IFERROR(IF(ISNUMBER(FIND("-",G875)),DATE(VALUE(LEFT(G875,4)),VALUE(MID(G875,6,2)),VALUE(RIGHT(G875,2))),IF(ISNUMBER(FIND(".",G875)),DATE(VALUE(RIGHT(G875,4)),VALUE(MID(G875,4,2)),VALUE(LEFT(G875,2))),DATE(VALUE(RIGHT(G875,4)),VLOOKUP(TRIM(MID(G875,FIND(" ",G875)+1,LEN(G875)-FIND(" ",G875)-5)),Справочники!$M$3:$N$14,2,0),VALUE(LEFT(G875,FIND(" ",G875)-1))))),"")</f>
        <v>53418</v>
      </c>
      <c r="M875" t="str">
        <f t="shared" si="272"/>
        <v xml:space="preserve">+7 (903) 789-01-23</v>
      </c>
      <c r="N875" t="str">
        <f t="shared" si="273"/>
        <v>gulyaeva@mail</v>
      </c>
      <c r="O875" t="str">
        <f t="shared" si="274"/>
        <v xml:space="preserve">Ошибка Email</v>
      </c>
      <c r="P875" t="str">
        <f>IFERROR(VLOOKUP(TRIM(SUBSTITUTE(SUBSTITUTE(" "&amp;F875," г "," "),"г.","")),Справочники!$J$3:$K$102,2,0),TRIM(SUBSTITUTE(SUBSTITUTE(" "&amp;F875," г "," "),"г.","")))</f>
        <v>Мурманск</v>
      </c>
    </row>
    <row r="876">
      <c r="A876" s="3" t="s">
        <v>3726</v>
      </c>
      <c r="B876" s="3" t="s">
        <v>7471</v>
      </c>
      <c r="C876" s="3" t="s">
        <v>7472</v>
      </c>
      <c r="D876" s="3" t="s">
        <v>4144</v>
      </c>
      <c r="E876" s="3" t="s">
        <v>7473</v>
      </c>
      <c r="F876" s="3" t="s">
        <v>4250</v>
      </c>
      <c r="G876" s="3" t="s">
        <v>7474</v>
      </c>
      <c r="H876" t="str">
        <f t="shared" si="269"/>
        <v xml:space="preserve">Бережной Илья Викторович</v>
      </c>
      <c r="I876" s="5">
        <f>IFERROR(IF(ISNUMBER(FIND("-",C876)),DATE(VALUE(LEFT(C876,4)),VALUE(MID(C876,6,2)),VALUE(RIGHT(C876,2))),IF(ISNUMBER(FIND(".",C876)),DATE(VALUE(RIGHT(C876,4)),VALUE(MID(C876,4,2)),VALUE(LEFT(C876,2))),DATE(VALUE(RIGHT(C876,4)),VLOOKUP(TRIM(MID(C876,FIND(" ",C876)+1,LEN(C876)-FIND(" ",C876)-5)),Справочники!$M$3:$N$14,2,0),VALUE(LEFT(C876,FIND(" ",C876)-1))))),"")</f>
        <v>30171</v>
      </c>
      <c r="J876" s="6">
        <f t="shared" si="270"/>
        <v>44</v>
      </c>
      <c r="K876" t="str">
        <f t="shared" si="271"/>
        <v>ОК</v>
      </c>
      <c r="L876" s="5">
        <f>IFERROR(IF(ISNUMBER(FIND("-",G876)),DATE(VALUE(LEFT(G876,4)),VALUE(MID(G876,6,2)),VALUE(RIGHT(G876,2))),IF(ISNUMBER(FIND(".",G876)),DATE(VALUE(RIGHT(G876,4)),VALUE(MID(G876,4,2)),VALUE(LEFT(G876,2))),DATE(VALUE(RIGHT(G876,4)),VLOOKUP(TRIM(MID(G876,FIND(" ",G876)+1,LEN(G876)-FIND(" ",G876)-5)),Справочники!$M$3:$N$14,2,0),VALUE(LEFT(G876,FIND(" ",G876)-1))))),"")</f>
        <v>53427</v>
      </c>
      <c r="M876" t="str">
        <f t="shared" si="272"/>
        <v xml:space="preserve">+7 (903) 789-01-23</v>
      </c>
      <c r="N876" t="str">
        <f t="shared" si="273"/>
        <v>berezhnoy@yandex</v>
      </c>
      <c r="O876" t="str">
        <f t="shared" si="274"/>
        <v xml:space="preserve">Ошибка Email</v>
      </c>
      <c r="P876" t="str">
        <f>IFERROR(VLOOKUP(TRIM(SUBSTITUTE(SUBSTITUTE(" "&amp;F876," г "," "),"г.","")),Справочники!$J$3:$K$102,2,0),TRIM(SUBSTITUTE(SUBSTITUTE(" "&amp;F876," г "," "),"г.","")))</f>
        <v>Ставрополь</v>
      </c>
    </row>
    <row r="877">
      <c r="A877" s="3" t="s">
        <v>3727</v>
      </c>
      <c r="B877" s="3" t="s">
        <v>7475</v>
      </c>
      <c r="C877" s="3" t="s">
        <v>5225</v>
      </c>
      <c r="D877" s="3" t="s">
        <v>4150</v>
      </c>
      <c r="E877" s="3" t="s">
        <v>7476</v>
      </c>
      <c r="F877" s="3" t="s">
        <v>4255</v>
      </c>
      <c r="G877" s="3" t="s">
        <v>7477</v>
      </c>
      <c r="H877" t="str">
        <f t="shared" si="269"/>
        <v xml:space="preserve">Булатова Мария Олеговна</v>
      </c>
      <c r="I877" s="5">
        <f>IFERROR(IF(ISNUMBER(FIND("-",C877)),DATE(VALUE(LEFT(C877,4)),VALUE(MID(C877,6,2)),VALUE(RIGHT(C877,2))),IF(ISNUMBER(FIND(".",C877)),DATE(VALUE(RIGHT(C877,4)),VALUE(MID(C877,4,2)),VALUE(LEFT(C877,2))),DATE(VALUE(RIGHT(C877,4)),VLOOKUP(TRIM(MID(C877,FIND(" ",C877)+1,LEN(C877)-FIND(" ",C877)-5)),Справочники!$M$3:$N$14,2,0),VALUE(LEFT(C877,FIND(" ",C877)-1))))),"")</f>
        <v>33183</v>
      </c>
      <c r="J877" s="6">
        <f t="shared" si="270"/>
        <v>35</v>
      </c>
      <c r="K877" t="str">
        <f t="shared" si="271"/>
        <v>ОК</v>
      </c>
      <c r="L877" s="5">
        <f>IFERROR(IF(ISNUMBER(FIND("-",G877)),DATE(VALUE(LEFT(G877,4)),VALUE(MID(G877,6,2)),VALUE(RIGHT(G877,2))),IF(ISNUMBER(FIND(".",G877)),DATE(VALUE(RIGHT(G877,4)),VALUE(MID(G877,4,2)),VALUE(LEFT(G877,2))),DATE(VALUE(RIGHT(G877,4)),VLOOKUP(TRIM(MID(G877,FIND(" ",G877)+1,LEN(G877)-FIND(" ",G877)-5)),Справочники!$M$3:$N$14,2,0),VALUE(LEFT(G877,FIND(" ",G877)-1))))),"")</f>
        <v>53427</v>
      </c>
      <c r="M877" t="str">
        <f t="shared" si="272"/>
        <v xml:space="preserve">+7 (903) 890-12-34</v>
      </c>
      <c r="N877" t="str">
        <f t="shared" si="273"/>
        <v>bulatova@gmail</v>
      </c>
      <c r="O877" t="str">
        <f t="shared" si="274"/>
        <v xml:space="preserve">Ошибка Email</v>
      </c>
      <c r="P877" t="str">
        <f>IFERROR(VLOOKUP(TRIM(SUBSTITUTE(SUBSTITUTE(" "&amp;F877," г "," "),"г.","")),Справочники!$J$3:$K$102,2,0),TRIM(SUBSTITUTE(SUBSTITUTE(" "&amp;F877," г "," "),"г.","")))</f>
        <v>Севастополь</v>
      </c>
    </row>
    <row r="878">
      <c r="A878" s="3" t="s">
        <v>3729</v>
      </c>
      <c r="B878" s="3" t="s">
        <v>7478</v>
      </c>
      <c r="C878" s="3" t="s">
        <v>7479</v>
      </c>
      <c r="D878" s="3" t="s">
        <v>4007</v>
      </c>
      <c r="E878" s="3" t="s">
        <v>7480</v>
      </c>
      <c r="F878" s="3" t="s">
        <v>4260</v>
      </c>
      <c r="G878" s="3" t="s">
        <v>7481</v>
      </c>
      <c r="H878" t="str">
        <f t="shared" si="269"/>
        <v xml:space="preserve">Капустин Андрей Павлович</v>
      </c>
      <c r="I878" s="5">
        <f>IFERROR(IF(ISNUMBER(FIND("-",C878)),DATE(VALUE(LEFT(C878,4)),VALUE(MID(C878,6,2)),VALUE(RIGHT(C878,2))),IF(ISNUMBER(FIND(".",C878)),DATE(VALUE(RIGHT(C878,4)),VALUE(MID(C878,4,2)),VALUE(LEFT(C878,2))),DATE(VALUE(RIGHT(C878,4)),VLOOKUP(TRIM(MID(C878,FIND(" ",C878)+1,LEN(C878)-FIND(" ",C878)-5)),Справочники!$M$3:$N$14,2,0),VALUE(LEFT(C878,FIND(" ",C878)-1))))),"")</f>
        <v>27666</v>
      </c>
      <c r="J878" s="6">
        <f t="shared" si="270"/>
        <v>51</v>
      </c>
      <c r="K878" t="str">
        <f t="shared" si="271"/>
        <v>ОК</v>
      </c>
      <c r="L878" s="5">
        <f>IFERROR(IF(ISNUMBER(FIND("-",G878)),DATE(VALUE(LEFT(G878,4)),VALUE(MID(G878,6,2)),VALUE(RIGHT(G878,2))),IF(ISNUMBER(FIND(".",G878)),DATE(VALUE(RIGHT(G878,4)),VALUE(MID(G878,4,2)),VALUE(LEFT(G878,2))),DATE(VALUE(RIGHT(G878,4)),VLOOKUP(TRIM(MID(G878,FIND(" ",G878)+1,LEN(G878)-FIND(" ",G878)-5)),Справочники!$M$3:$N$14,2,0),VALUE(LEFT(G878,FIND(" ",G878)-1))))),"")</f>
        <v>53448</v>
      </c>
      <c r="M878" t="str">
        <f t="shared" si="272"/>
        <v xml:space="preserve">+7 (903) 890-12-34</v>
      </c>
      <c r="N878" t="str">
        <f t="shared" si="273"/>
        <v>kapustin@mail</v>
      </c>
      <c r="O878" t="str">
        <f t="shared" si="274"/>
        <v xml:space="preserve">Ошибка Email</v>
      </c>
      <c r="P878" t="str">
        <f>IFERROR(VLOOKUP(TRIM(SUBSTITUTE(SUBSTITUTE(" "&amp;F878," г "," "),"г.","")),Справочники!$J$3:$K$102,2,0),TRIM(SUBSTITUTE(SUBSTITUTE(" "&amp;F878," г "," "),"г.","")))</f>
        <v>Сочи</v>
      </c>
    </row>
    <row r="879">
      <c r="A879" s="3" t="s">
        <v>3730</v>
      </c>
      <c r="B879" s="3" t="s">
        <v>6531</v>
      </c>
      <c r="C879" s="3" t="s">
        <v>7482</v>
      </c>
      <c r="D879" s="3" t="s">
        <v>1619</v>
      </c>
      <c r="E879" s="3" t="s">
        <v>6533</v>
      </c>
      <c r="F879" s="3" t="s">
        <v>4265</v>
      </c>
      <c r="G879" s="3" t="s">
        <v>7483</v>
      </c>
      <c r="H879" t="str">
        <f t="shared" si="269"/>
        <v xml:space="preserve">Бирюкова Ольга Сергеевна</v>
      </c>
      <c r="I879" s="5">
        <f>IFERROR(IF(ISNUMBER(FIND("-",C879)),DATE(VALUE(LEFT(C879,4)),VALUE(MID(C879,6,2)),VALUE(RIGHT(C879,2))),IF(ISNUMBER(FIND(".",C879)),DATE(VALUE(RIGHT(C879,4)),VALUE(MID(C879,4,2)),VALUE(LEFT(C879,2))),DATE(VALUE(RIGHT(C879,4)),VLOOKUP(TRIM(MID(C879,FIND(" ",C879)+1,LEN(C879)-FIND(" ",C879)-5)),Справочники!$M$3:$N$14,2,0),VALUE(LEFT(C879,FIND(" ",C879)-1))))),"")</f>
        <v>29923</v>
      </c>
      <c r="J879" s="6">
        <f t="shared" si="270"/>
        <v>44</v>
      </c>
      <c r="K879" t="str">
        <f t="shared" si="271"/>
        <v>ОК</v>
      </c>
      <c r="L879" s="5">
        <f>IFERROR(IF(ISNUMBER(FIND("-",G879)),DATE(VALUE(LEFT(G879,4)),VALUE(MID(G879,6,2)),VALUE(RIGHT(G879,2))),IF(ISNUMBER(FIND(".",G879)),DATE(VALUE(RIGHT(G879,4)),VALUE(MID(G879,4,2)),VALUE(LEFT(G879,2))),DATE(VALUE(RIGHT(G879,4)),VLOOKUP(TRIM(MID(G879,FIND(" ",G879)+1,LEN(G879)-FIND(" ",G879)-5)),Справочники!$M$3:$N$14,2,0),VALUE(LEFT(G879,FIND(" ",G879)-1))))),"")</f>
        <v>53462</v>
      </c>
      <c r="M879" t="str">
        <f t="shared" si="272"/>
        <v xml:space="preserve">+7 (903) 890-12-34</v>
      </c>
      <c r="N879" t="str">
        <f t="shared" si="273"/>
        <v>biryukova@yandex</v>
      </c>
      <c r="O879" t="str">
        <f t="shared" si="274"/>
        <v xml:space="preserve">Ошибка Email</v>
      </c>
      <c r="P879" t="str">
        <f>IFERROR(VLOOKUP(TRIM(SUBSTITUTE(SUBSTITUTE(" "&amp;F879," г "," "),"г.","")),Справочники!$J$3:$K$102,2,0),TRIM(SUBSTITUTE(SUBSTITUTE(" "&amp;F879," г "," "),"г.","")))</f>
        <v>Симферополь</v>
      </c>
    </row>
    <row r="880">
      <c r="A880" s="3" t="s">
        <v>3733</v>
      </c>
      <c r="B880" s="3" t="s">
        <v>7484</v>
      </c>
      <c r="C880" s="3" t="s">
        <v>7485</v>
      </c>
      <c r="D880" s="3" t="s">
        <v>4018</v>
      </c>
      <c r="E880" s="3" t="s">
        <v>7486</v>
      </c>
      <c r="F880" s="3" t="s">
        <v>4270</v>
      </c>
      <c r="G880" s="3" t="s">
        <v>7487</v>
      </c>
      <c r="H880" t="str">
        <f t="shared" si="269"/>
        <v xml:space="preserve">Барсуков Денис Викторович</v>
      </c>
      <c r="I880" s="5">
        <f>IFERROR(IF(ISNUMBER(FIND("-",C880)),DATE(VALUE(LEFT(C880,4)),VALUE(MID(C880,6,2)),VALUE(RIGHT(C880,2))),IF(ISNUMBER(FIND(".",C880)),DATE(VALUE(RIGHT(C880,4)),VALUE(MID(C880,4,2)),VALUE(LEFT(C880,2))),DATE(VALUE(RIGHT(C880,4)),VLOOKUP(TRIM(MID(C880,FIND(" ",C880)+1,LEN(C880)-FIND(" ",C880)-5)),Справочники!$M$3:$N$14,2,0),VALUE(LEFT(C880,FIND(" ",C880)-1))))),"")</f>
        <v>31796</v>
      </c>
      <c r="J880" s="6">
        <f t="shared" si="270"/>
        <v>39</v>
      </c>
      <c r="K880" t="str">
        <f t="shared" si="271"/>
        <v>ОК</v>
      </c>
      <c r="L880" s="5">
        <f>IFERROR(IF(ISNUMBER(FIND("-",G880)),DATE(VALUE(LEFT(G880,4)),VALUE(MID(G880,6,2)),VALUE(RIGHT(G880,2))),IF(ISNUMBER(FIND(".",G880)),DATE(VALUE(RIGHT(G880,4)),VALUE(MID(G880,4,2)),VALUE(LEFT(G880,2))),DATE(VALUE(RIGHT(G880,4)),VLOOKUP(TRIM(MID(G880,FIND(" ",G880)+1,LEN(G880)-FIND(" ",G880)-5)),Справочники!$M$3:$N$14,2,0),VALUE(LEFT(G880,FIND(" ",G880)-1))))),"")</f>
        <v>53462</v>
      </c>
      <c r="M880" t="str">
        <f t="shared" si="272"/>
        <v xml:space="preserve">+7 (903) 901-23-45</v>
      </c>
      <c r="N880" t="str">
        <f t="shared" si="273"/>
        <v>barsukov@gmail</v>
      </c>
      <c r="O880" t="str">
        <f t="shared" si="274"/>
        <v xml:space="preserve">Ошибка Email</v>
      </c>
      <c r="P880" t="str">
        <f>IFERROR(VLOOKUP(TRIM(SUBSTITUTE(SUBSTITUTE(" "&amp;F880," г "," "),"г.","")),Справочники!$J$3:$K$102,2,0),TRIM(SUBSTITUTE(SUBSTITUTE(" "&amp;F880," г "," "),"г.","")))</f>
        <v>Брянск</v>
      </c>
    </row>
    <row r="881">
      <c r="A881" s="3" t="s">
        <v>3734</v>
      </c>
      <c r="B881" s="3" t="s">
        <v>7488</v>
      </c>
      <c r="C881" s="3" t="s">
        <v>6737</v>
      </c>
      <c r="D881" s="3" t="s">
        <v>1626</v>
      </c>
      <c r="E881" s="3" t="s">
        <v>5867</v>
      </c>
      <c r="F881" s="3" t="s">
        <v>4275</v>
      </c>
      <c r="G881" s="3" t="s">
        <v>7489</v>
      </c>
      <c r="H881" t="str">
        <f t="shared" si="269"/>
        <v xml:space="preserve">Мосина Екатерина Владимировна</v>
      </c>
      <c r="I881" s="5">
        <f>IFERROR(IF(ISNUMBER(FIND("-",C881)),DATE(VALUE(LEFT(C881,4)),VALUE(MID(C881,6,2)),VALUE(RIGHT(C881,2))),IF(ISNUMBER(FIND(".",C881)),DATE(VALUE(RIGHT(C881,4)),VALUE(MID(C881,4,2)),VALUE(LEFT(C881,2))),DATE(VALUE(RIGHT(C881,4)),VLOOKUP(TRIM(MID(C881,FIND(" ",C881)+1,LEN(C881)-FIND(" ",C881)-5)),Справочники!$M$3:$N$14,2,0),VALUE(LEFT(C881,FIND(" ",C881)-1))))),"")</f>
        <v>33817</v>
      </c>
      <c r="J881" s="6">
        <f t="shared" si="270"/>
        <v>34</v>
      </c>
      <c r="K881" t="str">
        <f t="shared" si="271"/>
        <v>ОК</v>
      </c>
      <c r="L881" s="5">
        <f>IFERROR(IF(ISNUMBER(FIND("-",G881)),DATE(VALUE(LEFT(G881,4)),VALUE(MID(G881,6,2)),VALUE(RIGHT(G881,2))),IF(ISNUMBER(FIND(".",G881)),DATE(VALUE(RIGHT(G881,4)),VALUE(MID(G881,4,2)),VALUE(LEFT(G881,2))),DATE(VALUE(RIGHT(G881,4)),VLOOKUP(TRIM(MID(G881,FIND(" ",G881)+1,LEN(G881)-FIND(" ",G881)-5)),Справочники!$M$3:$N$14,2,0),VALUE(LEFT(G881,FIND(" ",G881)-1))))),"")</f>
        <v>53479</v>
      </c>
      <c r="M881" t="str">
        <f t="shared" si="272"/>
        <v xml:space="preserve">+7 (903) 901-23-45</v>
      </c>
      <c r="N881" t="str">
        <f t="shared" si="273"/>
        <v>mosina@mail</v>
      </c>
      <c r="O881" t="str">
        <f t="shared" si="274"/>
        <v xml:space="preserve">Ошибка Email</v>
      </c>
      <c r="P881" t="str">
        <f>IFERROR(VLOOKUP(TRIM(SUBSTITUTE(SUBSTITUTE(" "&amp;F881," г "," "),"г.","")),Справочники!$J$3:$K$102,2,0),TRIM(SUBSTITUTE(SUBSTITUTE(" "&amp;F881," г "," "),"г.","")))</f>
        <v>Абакан</v>
      </c>
    </row>
    <row r="882">
      <c r="A882" s="3" t="s">
        <v>3736</v>
      </c>
      <c r="B882" s="3" t="s">
        <v>7490</v>
      </c>
      <c r="C882" s="3" t="s">
        <v>7491</v>
      </c>
      <c r="D882" s="3" t="s">
        <v>4176</v>
      </c>
      <c r="E882" s="3" t="s">
        <v>7492</v>
      </c>
      <c r="F882" s="3" t="s">
        <v>4280</v>
      </c>
      <c r="G882" s="3" t="s">
        <v>7493</v>
      </c>
      <c r="H882" t="str">
        <f t="shared" si="269"/>
        <v xml:space="preserve">Вершинин Илья Александрович</v>
      </c>
      <c r="I882" s="5">
        <f>IFERROR(IF(ISNUMBER(FIND("-",C882)),DATE(VALUE(LEFT(C882,4)),VALUE(MID(C882,6,2)),VALUE(RIGHT(C882,2))),IF(ISNUMBER(FIND(".",C882)),DATE(VALUE(RIGHT(C882,4)),VALUE(MID(C882,4,2)),VALUE(LEFT(C882,2))),DATE(VALUE(RIGHT(C882,4)),VLOOKUP(TRIM(MID(C882,FIND(" ",C882)+1,LEN(C882)-FIND(" ",C882)-5)),Справочники!$M$3:$N$14,2,0),VALUE(LEFT(C882,FIND(" ",C882)-1))))),"")</f>
        <v>28665</v>
      </c>
      <c r="J882" s="6">
        <f t="shared" si="270"/>
        <v>48</v>
      </c>
      <c r="K882" t="str">
        <f t="shared" si="271"/>
        <v>ОК</v>
      </c>
      <c r="L882" s="5">
        <f>IFERROR(IF(ISNUMBER(FIND("-",G882)),DATE(VALUE(LEFT(G882,4)),VALUE(MID(G882,6,2)),VALUE(RIGHT(G882,2))),IF(ISNUMBER(FIND(".",G882)),DATE(VALUE(RIGHT(G882,4)),VALUE(MID(G882,4,2)),VALUE(LEFT(G882,2))),DATE(VALUE(RIGHT(G882,4)),VLOOKUP(TRIM(MID(G882,FIND(" ",G882)+1,LEN(G882)-FIND(" ",G882)-5)),Справочники!$M$3:$N$14,2,0),VALUE(LEFT(G882,FIND(" ",G882)-1))))),"")</f>
        <v>53488</v>
      </c>
      <c r="M882" t="str">
        <f t="shared" si="272"/>
        <v xml:space="preserve">+7 (903) 901-23-45</v>
      </c>
      <c r="N882" t="str">
        <f t="shared" si="273"/>
        <v>vershinin@yandex</v>
      </c>
      <c r="O882" t="str">
        <f t="shared" si="274"/>
        <v xml:space="preserve">Ошибка Email</v>
      </c>
      <c r="P882" t="str">
        <f>IFERROR(VLOOKUP(TRIM(SUBSTITUTE(SUBSTITUTE(" "&amp;F882," г "," "),"г.","")),Справочники!$J$3:$K$102,2,0),TRIM(SUBSTITUTE(SUBSTITUTE(" "&amp;F882," г "," "),"г.","")))</f>
        <v>Грозный</v>
      </c>
    </row>
    <row r="883">
      <c r="A883" s="3" t="s">
        <v>3738</v>
      </c>
      <c r="B883" s="3" t="s">
        <v>7494</v>
      </c>
      <c r="C883" s="3" t="s">
        <v>7495</v>
      </c>
      <c r="D883" s="3" t="s">
        <v>4182</v>
      </c>
      <c r="E883" s="3" t="s">
        <v>7496</v>
      </c>
      <c r="F883" s="3" t="s">
        <v>4285</v>
      </c>
      <c r="G883" s="3" t="s">
        <v>7497</v>
      </c>
      <c r="H883" t="str">
        <f t="shared" si="269"/>
        <v xml:space="preserve">Волова Мария Павловна</v>
      </c>
      <c r="I883" s="5">
        <f>IFERROR(IF(ISNUMBER(FIND("-",C883)),DATE(VALUE(LEFT(C883,4)),VALUE(MID(C883,6,2)),VALUE(RIGHT(C883,2))),IF(ISNUMBER(FIND(".",C883)),DATE(VALUE(RIGHT(C883,4)),VALUE(MID(C883,4,2)),VALUE(LEFT(C883,2))),DATE(VALUE(RIGHT(C883,4)),VLOOKUP(TRIM(MID(C883,FIND(" ",C883)+1,LEN(C883)-FIND(" ",C883)-5)),Справочники!$M$3:$N$14,2,0),VALUE(LEFT(C883,FIND(" ",C883)-1))))),"")</f>
        <v>30787</v>
      </c>
      <c r="J883" s="6">
        <f t="shared" si="270"/>
        <v>42</v>
      </c>
      <c r="K883" t="str">
        <f t="shared" si="271"/>
        <v>ОК</v>
      </c>
      <c r="L883" s="5">
        <f>IFERROR(IF(ISNUMBER(FIND("-",G883)),DATE(VALUE(LEFT(G883,4)),VALUE(MID(G883,6,2)),VALUE(RIGHT(G883,2))),IF(ISNUMBER(FIND(".",G883)),DATE(VALUE(RIGHT(G883,4)),VALUE(MID(G883,4,2)),VALUE(LEFT(G883,2))),DATE(VALUE(RIGHT(G883,4)),VLOOKUP(TRIM(MID(G883,FIND(" ",G883)+1,LEN(G883)-FIND(" ",G883)-5)),Справочники!$M$3:$N$14,2,0),VALUE(LEFT(G883,FIND(" ",G883)-1))))),"")</f>
        <v>53488</v>
      </c>
      <c r="M883" t="str">
        <f t="shared" si="272"/>
        <v xml:space="preserve">+7 (903) 012-34-56</v>
      </c>
      <c r="N883" t="str">
        <f t="shared" si="273"/>
        <v>volova@gmail</v>
      </c>
      <c r="O883" t="str">
        <f t="shared" si="274"/>
        <v xml:space="preserve">Ошибка Email</v>
      </c>
      <c r="P883" t="str">
        <f>IFERROR(VLOOKUP(TRIM(SUBSTITUTE(SUBSTITUTE(" "&amp;F883," г "," "),"г.","")),Справочники!$J$3:$K$102,2,0),TRIM(SUBSTITUTE(SUBSTITUTE(" "&amp;F883," г "," "),"г.","")))</f>
        <v>Бийск</v>
      </c>
    </row>
    <row r="884">
      <c r="A884" s="3" t="s">
        <v>3740</v>
      </c>
      <c r="B884" s="3" t="s">
        <v>7498</v>
      </c>
      <c r="C884" s="3" t="s">
        <v>6152</v>
      </c>
      <c r="D884" s="3" t="s">
        <v>4188</v>
      </c>
      <c r="E884" s="3" t="s">
        <v>7499</v>
      </c>
      <c r="F884" s="3" t="s">
        <v>4290</v>
      </c>
      <c r="G884" s="3" t="s">
        <v>7500</v>
      </c>
      <c r="H884" t="str">
        <f t="shared" si="269"/>
        <v xml:space="preserve">Мезенцев Андрей Олегович</v>
      </c>
      <c r="I884" s="5">
        <f>IFERROR(IF(ISNUMBER(FIND("-",C884)),DATE(VALUE(LEFT(C884,4)),VALUE(MID(C884,6,2)),VALUE(RIGHT(C884,2))),IF(ISNUMBER(FIND(".",C884)),DATE(VALUE(RIGHT(C884,4)),VALUE(MID(C884,4,2)),VALUE(LEFT(C884,2))),DATE(VALUE(RIGHT(C884,4)),VLOOKUP(TRIM(MID(C884,FIND(" ",C884)+1,LEN(C884)-FIND(" ",C884)-5)),Справочники!$M$3:$N$14,2,0),VALUE(LEFT(C884,FIND(" ",C884)-1))))),"")</f>
        <v>32762</v>
      </c>
      <c r="J884" s="6">
        <f t="shared" si="270"/>
        <v>37</v>
      </c>
      <c r="K884" t="str">
        <f t="shared" si="271"/>
        <v>ОК</v>
      </c>
      <c r="L884" s="5">
        <f>IFERROR(IF(ISNUMBER(FIND("-",G884)),DATE(VALUE(LEFT(G884,4)),VALUE(MID(G884,6,2)),VALUE(RIGHT(G884,2))),IF(ISNUMBER(FIND(".",G884)),DATE(VALUE(RIGHT(G884,4)),VALUE(MID(G884,4,2)),VALUE(LEFT(G884,2))),DATE(VALUE(RIGHT(G884,4)),VLOOKUP(TRIM(MID(G884,FIND(" ",G884)+1,LEN(G884)-FIND(" ",G884)-5)),Справочники!$M$3:$N$14,2,0),VALUE(LEFT(G884,FIND(" ",G884)-1))))),"")</f>
        <v>53509</v>
      </c>
      <c r="M884" t="str">
        <f t="shared" si="272"/>
        <v xml:space="preserve">+7 (903) 012-34-56</v>
      </c>
      <c r="N884" t="str">
        <f t="shared" si="273"/>
        <v>mezencev@mail</v>
      </c>
      <c r="O884" t="str">
        <f t="shared" si="274"/>
        <v xml:space="preserve">Ошибка Email</v>
      </c>
      <c r="P884" t="str">
        <f>IFERROR(VLOOKUP(TRIM(SUBSTITUTE(SUBSTITUTE(" "&amp;F884," г "," "),"г.","")),Справочники!$J$3:$K$102,2,0),TRIM(SUBSTITUTE(SUBSTITUTE(" "&amp;F884," г "," "),"г.","")))</f>
        <v>Йошкар-Ола</v>
      </c>
    </row>
    <row r="885">
      <c r="A885" s="3" t="s">
        <v>3741</v>
      </c>
      <c r="B885" s="3" t="s">
        <v>7501</v>
      </c>
      <c r="C885" s="3" t="s">
        <v>7502</v>
      </c>
      <c r="D885" s="3" t="s">
        <v>1633</v>
      </c>
      <c r="E885" s="3" t="s">
        <v>7503</v>
      </c>
      <c r="F885" s="3" t="s">
        <v>4295</v>
      </c>
      <c r="G885" s="3" t="s">
        <v>7504</v>
      </c>
      <c r="H885" t="str">
        <f t="shared" si="269"/>
        <v xml:space="preserve">Аксенова Ольга Сергеевна</v>
      </c>
      <c r="I885" s="5">
        <f>IFERROR(IF(ISNUMBER(FIND("-",C885)),DATE(VALUE(LEFT(C885,4)),VALUE(MID(C885,6,2)),VALUE(RIGHT(C885,2))),IF(ISNUMBER(FIND(".",C885)),DATE(VALUE(RIGHT(C885,4)),VALUE(MID(C885,4,2)),VALUE(LEFT(C885,2))),DATE(VALUE(RIGHT(C885,4)),VLOOKUP(TRIM(MID(C885,FIND(" ",C885)+1,LEN(C885)-FIND(" ",C885)-5)),Справочники!$M$3:$N$14,2,0),VALUE(LEFT(C885,FIND(" ",C885)-1))))),"")</f>
        <v>27005</v>
      </c>
      <c r="J885" s="6">
        <f t="shared" si="270"/>
        <v>52</v>
      </c>
      <c r="K885" t="str">
        <f t="shared" si="271"/>
        <v>ОК</v>
      </c>
      <c r="L885" s="5">
        <f>IFERROR(IF(ISNUMBER(FIND("-",G885)),DATE(VALUE(LEFT(G885,4)),VALUE(MID(G885,6,2)),VALUE(RIGHT(G885,2))),IF(ISNUMBER(FIND(".",G885)),DATE(VALUE(RIGHT(G885,4)),VALUE(MID(G885,4,2)),VALUE(LEFT(G885,2))),DATE(VALUE(RIGHT(G885,4)),VLOOKUP(TRIM(MID(G885,FIND(" ",G885)+1,LEN(G885)-FIND(" ",G885)-5)),Справочники!$M$3:$N$14,2,0),VALUE(LEFT(G885,FIND(" ",G885)-1))))),"")</f>
        <v>53523</v>
      </c>
      <c r="M885" t="str">
        <f t="shared" si="272"/>
        <v xml:space="preserve">+7 (903) 012-34-56</v>
      </c>
      <c r="N885" t="str">
        <f t="shared" si="273"/>
        <v>aksenova@yandex</v>
      </c>
      <c r="O885" t="str">
        <f t="shared" si="274"/>
        <v xml:space="preserve">Ошибка Email</v>
      </c>
      <c r="P885" t="str">
        <f>IFERROR(VLOOKUP(TRIM(SUBSTITUTE(SUBSTITUTE(" "&amp;F885," г "," "),"г.","")),Справочники!$J$3:$K$102,2,0),TRIM(SUBSTITUTE(SUBSTITUTE(" "&amp;F885," г "," "),"г.","")))</f>
        <v>Курган</v>
      </c>
    </row>
    <row r="886">
      <c r="A886" s="3" t="s">
        <v>3744</v>
      </c>
      <c r="B886" s="3" t="s">
        <v>7505</v>
      </c>
      <c r="C886" s="3" t="s">
        <v>7506</v>
      </c>
      <c r="D886" s="3" t="s">
        <v>4034</v>
      </c>
      <c r="E886" s="3" t="s">
        <v>7507</v>
      </c>
      <c r="F886" s="3" t="s">
        <v>4300</v>
      </c>
      <c r="G886" s="3" t="s">
        <v>7508</v>
      </c>
      <c r="H886" t="str">
        <f t="shared" si="269"/>
        <v xml:space="preserve">Смолин Денис Павлович</v>
      </c>
      <c r="I886" s="5">
        <f>IFERROR(IF(ISNUMBER(FIND("-",C886)),DATE(VALUE(LEFT(C886,4)),VALUE(MID(C886,6,2)),VALUE(RIGHT(C886,2))),IF(ISNUMBER(FIND(".",C886)),DATE(VALUE(RIGHT(C886,4)),VALUE(MID(C886,4,2)),VALUE(LEFT(C886,2))),DATE(VALUE(RIGHT(C886,4)),VLOOKUP(TRIM(MID(C886,FIND(" ",C886)+1,LEN(C886)-FIND(" ",C886)-5)),Справочники!$M$3:$N$14,2,0),VALUE(LEFT(C886,FIND(" ",C886)-1))))),"")</f>
        <v>31551</v>
      </c>
      <c r="J886" s="6">
        <f t="shared" si="270"/>
        <v>40</v>
      </c>
      <c r="K886" t="str">
        <f t="shared" si="271"/>
        <v>ОК</v>
      </c>
      <c r="L886" s="5">
        <f>IFERROR(IF(ISNUMBER(FIND("-",G886)),DATE(VALUE(LEFT(G886,4)),VALUE(MID(G886,6,2)),VALUE(RIGHT(G886,2))),IF(ISNUMBER(FIND(".",G886)),DATE(VALUE(RIGHT(G886,4)),VALUE(MID(G886,4,2)),VALUE(LEFT(G886,2))),DATE(VALUE(RIGHT(G886,4)),VLOOKUP(TRIM(MID(G886,FIND(" ",G886)+1,LEN(G886)-FIND(" ",G886)-5)),Справочники!$M$3:$N$14,2,0),VALUE(LEFT(G886,FIND(" ",G886)-1))))),"")</f>
        <v>53523</v>
      </c>
      <c r="M886" t="str">
        <f t="shared" si="272"/>
        <v xml:space="preserve">+7 (903) 123-45-67</v>
      </c>
      <c r="N886" t="str">
        <f t="shared" si="273"/>
        <v>smolin@gmail</v>
      </c>
      <c r="O886" t="str">
        <f t="shared" si="274"/>
        <v xml:space="preserve">Ошибка Email</v>
      </c>
      <c r="P886" t="str">
        <f>IFERROR(VLOOKUP(TRIM(SUBSTITUTE(SUBSTITUTE(" "&amp;F886," г "," "),"г.","")),Справочники!$J$3:$K$102,2,0),TRIM(SUBSTITUTE(SUBSTITUTE(" "&amp;F886," г "," "),"г.","")))</f>
        <v>Архангельск</v>
      </c>
    </row>
    <row r="887">
      <c r="A887" s="3" t="s">
        <v>3746</v>
      </c>
      <c r="B887" s="3" t="s">
        <v>7509</v>
      </c>
      <c r="C887" s="3" t="s">
        <v>7510</v>
      </c>
      <c r="D887" s="3" t="s">
        <v>4040</v>
      </c>
      <c r="E887" s="3" t="s">
        <v>7511</v>
      </c>
      <c r="F887" s="3" t="s">
        <v>4305</v>
      </c>
      <c r="G887" s="3" t="s">
        <v>7512</v>
      </c>
      <c r="H887" t="str">
        <f t="shared" si="269"/>
        <v xml:space="preserve">Сергиенко Екатерина Владимировна</v>
      </c>
      <c r="I887" s="5">
        <f>IFERROR(IF(ISNUMBER(FIND("-",C887)),DATE(VALUE(LEFT(C887,4)),VALUE(MID(C887,6,2)),VALUE(RIGHT(C887,2))),IF(ISNUMBER(FIND(".",C887)),DATE(VALUE(RIGHT(C887,4)),VALUE(MID(C887,4,2)),VALUE(LEFT(C887,2))),DATE(VALUE(RIGHT(C887,4)),VLOOKUP(TRIM(MID(C887,FIND(" ",C887)+1,LEN(C887)-FIND(" ",C887)-5)),Справочники!$M$3:$N$14,2,0),VALUE(LEFT(C887,FIND(" ",C887)-1))))),"")</f>
        <v>33181</v>
      </c>
      <c r="J887" s="6">
        <f t="shared" si="270"/>
        <v>35</v>
      </c>
      <c r="K887" t="str">
        <f t="shared" si="271"/>
        <v>ОК</v>
      </c>
      <c r="L887" s="5">
        <f>IFERROR(IF(ISNUMBER(FIND("-",G887)),DATE(VALUE(LEFT(G887,4)),VALUE(MID(G887,6,2)),VALUE(RIGHT(G887,2))),IF(ISNUMBER(FIND(".",G887)),DATE(VALUE(RIGHT(G887,4)),VALUE(MID(G887,4,2)),VALUE(LEFT(G887,2))),DATE(VALUE(RIGHT(G887,4)),VLOOKUP(TRIM(MID(G887,FIND(" ",G887)+1,LEN(G887)-FIND(" ",G887)-5)),Справочники!$M$3:$N$14,2,0),VALUE(LEFT(G887,FIND(" ",G887)-1))))),"")</f>
        <v>53540</v>
      </c>
      <c r="M887" t="str">
        <f t="shared" si="272"/>
        <v xml:space="preserve">+7 (903) 123-45-67</v>
      </c>
      <c r="N887" t="str">
        <f t="shared" si="273"/>
        <v>sergienko@mail</v>
      </c>
      <c r="O887" t="str">
        <f t="shared" si="274"/>
        <v xml:space="preserve">Ошибка Email</v>
      </c>
      <c r="P887" t="str">
        <f>IFERROR(VLOOKUP(TRIM(SUBSTITUTE(SUBSTITUTE(" "&amp;F887," г "," "),"г.","")),Справочники!$J$3:$K$102,2,0),TRIM(SUBSTITUTE(SUBSTITUTE(" "&amp;F887," г "," "),"г.","")))</f>
        <v>Благовещенск</v>
      </c>
    </row>
    <row r="888">
      <c r="A888" s="3" t="s">
        <v>3748</v>
      </c>
      <c r="B888" s="3" t="s">
        <v>7513</v>
      </c>
      <c r="C888" s="3" t="s">
        <v>7514</v>
      </c>
      <c r="D888" s="3" t="s">
        <v>1570</v>
      </c>
      <c r="E888" s="3" t="s">
        <v>7515</v>
      </c>
      <c r="F888" s="3" t="s">
        <v>4310</v>
      </c>
      <c r="G888" s="3" t="s">
        <v>7516</v>
      </c>
      <c r="H888" t="str">
        <f t="shared" si="269"/>
        <v xml:space="preserve">Брусницын Илья Александрович</v>
      </c>
      <c r="I888" s="5">
        <f>IFERROR(IF(ISNUMBER(FIND("-",C888)),DATE(VALUE(LEFT(C888,4)),VALUE(MID(C888,6,2)),VALUE(RIGHT(C888,2))),IF(ISNUMBER(FIND(".",C888)),DATE(VALUE(RIGHT(C888,4)),VALUE(MID(C888,4,2)),VALUE(LEFT(C888,2))),DATE(VALUE(RIGHT(C888,4)),VLOOKUP(TRIM(MID(C888,FIND(" ",C888)+1,LEN(C888)-FIND(" ",C888)-5)),Справочники!$M$3:$N$14,2,0),VALUE(LEFT(C888,FIND(" ",C888)-1))))),"")</f>
        <v>29867</v>
      </c>
      <c r="J888" s="6">
        <f t="shared" si="270"/>
        <v>45</v>
      </c>
      <c r="K888" t="str">
        <f t="shared" si="271"/>
        <v>ОК</v>
      </c>
      <c r="L888" s="5">
        <f>IFERROR(IF(ISNUMBER(FIND("-",G888)),DATE(VALUE(LEFT(G888,4)),VALUE(MID(G888,6,2)),VALUE(RIGHT(G888,2))),IF(ISNUMBER(FIND(".",G888)),DATE(VALUE(RIGHT(G888,4)),VALUE(MID(G888,4,2)),VALUE(LEFT(G888,2))),DATE(VALUE(RIGHT(G888,4)),VLOOKUP(TRIM(MID(G888,FIND(" ",G888)+1,LEN(G888)-FIND(" ",G888)-5)),Справочники!$M$3:$N$14,2,0),VALUE(LEFT(G888,FIND(" ",G888)-1))))),"")</f>
        <v>53549</v>
      </c>
      <c r="M888" t="str">
        <f t="shared" si="272"/>
        <v xml:space="preserve">+7 (903) 123-45-67</v>
      </c>
      <c r="N888" t="str">
        <f t="shared" si="273"/>
        <v>brusnitsyn@yandex</v>
      </c>
      <c r="O888" t="str">
        <f t="shared" si="274"/>
        <v xml:space="preserve">Ошибка Email</v>
      </c>
      <c r="P888" t="str">
        <f>IFERROR(VLOOKUP(TRIM(SUBSTITUTE(SUBSTITUTE(" "&amp;F888," г "," "),"г.","")),Справочники!$J$3:$K$102,2,0),TRIM(SUBSTITUTE(SUBSTITUTE(" "&amp;F888," г "," "),"г.","")))</f>
        <v>Майкоп</v>
      </c>
    </row>
    <row r="889">
      <c r="A889" s="3" t="s">
        <v>3749</v>
      </c>
      <c r="B889" s="3" t="s">
        <v>7517</v>
      </c>
      <c r="C889" s="3" t="s">
        <v>7518</v>
      </c>
      <c r="D889" s="3" t="s">
        <v>4051</v>
      </c>
      <c r="E889" s="3" t="s">
        <v>7519</v>
      </c>
      <c r="F889" s="3" t="s">
        <v>4315</v>
      </c>
      <c r="G889" s="3" t="s">
        <v>7520</v>
      </c>
      <c r="H889" t="str">
        <f t="shared" si="269"/>
        <v xml:space="preserve">Виноградова Мария Павловна</v>
      </c>
      <c r="I889" s="5">
        <f>IFERROR(IF(ISNUMBER(FIND("-",C889)),DATE(VALUE(LEFT(C889,4)),VALUE(MID(C889,6,2)),VALUE(RIGHT(C889,2))),IF(ISNUMBER(FIND(".",C889)),DATE(VALUE(RIGHT(C889,4)),VALUE(MID(C889,4,2)),VALUE(LEFT(C889,2))),DATE(VALUE(RIGHT(C889,4)),VLOOKUP(TRIM(MID(C889,FIND(" ",C889)+1,LEN(C889)-FIND(" ",C889)-5)),Справочники!$M$3:$N$14,2,0),VALUE(LEFT(C889,FIND(" ",C889)-1))))),"")</f>
        <v>27470</v>
      </c>
      <c r="J889" s="6">
        <f t="shared" si="270"/>
        <v>51</v>
      </c>
      <c r="K889" t="str">
        <f t="shared" si="271"/>
        <v>ОК</v>
      </c>
      <c r="L889" s="5">
        <f>IFERROR(IF(ISNUMBER(FIND("-",G889)),DATE(VALUE(LEFT(G889,4)),VALUE(MID(G889,6,2)),VALUE(RIGHT(G889,2))),IF(ISNUMBER(FIND(".",G889)),DATE(VALUE(RIGHT(G889,4)),VALUE(MID(G889,4,2)),VALUE(LEFT(G889,2))),DATE(VALUE(RIGHT(G889,4)),VLOOKUP(TRIM(MID(G889,FIND(" ",G889)+1,LEN(G889)-FIND(" ",G889)-5)),Справочники!$M$3:$N$14,2,0),VALUE(LEFT(G889,FIND(" ",G889)-1))))),"")</f>
        <v>53549</v>
      </c>
      <c r="M889" t="str">
        <f t="shared" si="272"/>
        <v xml:space="preserve">+7 (903) 234-56-78</v>
      </c>
      <c r="N889" t="str">
        <f t="shared" si="273"/>
        <v>vinogradova@gmail</v>
      </c>
      <c r="O889" t="str">
        <f t="shared" si="274"/>
        <v xml:space="preserve">Ошибка Email</v>
      </c>
      <c r="P889" t="str">
        <f>IFERROR(VLOOKUP(TRIM(SUBSTITUTE(SUBSTITUTE(" "&amp;F889," г "," "),"г.","")),Справочники!$J$3:$K$102,2,0),TRIM(SUBSTITUTE(SUBSTITUTE(" "&amp;F889," г "," "),"г.","")))</f>
        <v>Уссурийск</v>
      </c>
    </row>
    <row r="890">
      <c r="A890" s="3" t="s">
        <v>3752</v>
      </c>
      <c r="B890" s="3" t="s">
        <v>7521</v>
      </c>
      <c r="C890" s="3" t="s">
        <v>7522</v>
      </c>
      <c r="D890" s="3" t="s">
        <v>4057</v>
      </c>
      <c r="E890" s="3" t="s">
        <v>7523</v>
      </c>
      <c r="F890" s="3" t="s">
        <v>4320</v>
      </c>
      <c r="G890" s="3" t="s">
        <v>7524</v>
      </c>
      <c r="H890" t="str">
        <f t="shared" si="269"/>
        <v xml:space="preserve">Грачев Андрей Олегович</v>
      </c>
      <c r="I890" s="5">
        <f>IFERROR(IF(ISNUMBER(FIND("-",C890)),DATE(VALUE(LEFT(C890,4)),VALUE(MID(C890,6,2)),VALUE(RIGHT(C890,2))),IF(ISNUMBER(FIND(".",C890)),DATE(VALUE(RIGHT(C890,4)),VALUE(MID(C890,4,2)),VALUE(LEFT(C890,2))),DATE(VALUE(RIGHT(C890,4)),VLOOKUP(TRIM(MID(C890,FIND(" ",C890)+1,LEN(C890)-FIND(" ",C890)-5)),Справочники!$M$3:$N$14,2,0),VALUE(LEFT(C890,FIND(" ",C890)-1))))),"")</f>
        <v>32347</v>
      </c>
      <c r="J890" s="6">
        <f t="shared" si="270"/>
        <v>38</v>
      </c>
      <c r="K890" t="str">
        <f t="shared" si="271"/>
        <v>ОК</v>
      </c>
      <c r="L890" s="5">
        <f>IFERROR(IF(ISNUMBER(FIND("-",G890)),DATE(VALUE(LEFT(G890,4)),VALUE(MID(G890,6,2)),VALUE(RIGHT(G890,2))),IF(ISNUMBER(FIND(".",G890)),DATE(VALUE(RIGHT(G890,4)),VALUE(MID(G890,4,2)),VALUE(LEFT(G890,2))),DATE(VALUE(RIGHT(G890,4)),VLOOKUP(TRIM(MID(G890,FIND(" ",G890)+1,LEN(G890)-FIND(" ",G890)-5)),Справочники!$M$3:$N$14,2,0),VALUE(LEFT(G890,FIND(" ",G890)-1))))),"")</f>
        <v>53571</v>
      </c>
      <c r="M890" t="str">
        <f t="shared" si="272"/>
        <v xml:space="preserve">+7 (903) 234-56-78</v>
      </c>
      <c r="N890" t="str">
        <f t="shared" si="273"/>
        <v>grachev@mail</v>
      </c>
      <c r="O890" t="str">
        <f t="shared" si="274"/>
        <v xml:space="preserve">Ошибка Email</v>
      </c>
      <c r="P890" t="str">
        <f>IFERROR(VLOOKUP(TRIM(SUBSTITUTE(SUBSTITUTE(" "&amp;F890," г "," "),"г.","")),Справочники!$J$3:$K$102,2,0),TRIM(SUBSTITUTE(SUBSTITUTE(" "&amp;F890," г "," "),"г.","")))</f>
        <v>Миасс</v>
      </c>
    </row>
    <row r="891">
      <c r="A891" s="3" t="s">
        <v>3753</v>
      </c>
      <c r="B891" s="3" t="s">
        <v>7525</v>
      </c>
      <c r="C891" s="3" t="s">
        <v>7526</v>
      </c>
      <c r="D891" s="3" t="s">
        <v>1712</v>
      </c>
      <c r="E891" s="3" t="s">
        <v>7527</v>
      </c>
      <c r="F891" s="3" t="s">
        <v>4325</v>
      </c>
      <c r="G891" s="3" t="s">
        <v>7528</v>
      </c>
      <c r="H891" t="str">
        <f t="shared" si="269"/>
        <v xml:space="preserve">Тимофеева Ольга Сергеевна</v>
      </c>
      <c r="I891" s="5">
        <f>IFERROR(IF(ISNUMBER(FIND("-",C891)),DATE(VALUE(LEFT(C891,4)),VALUE(MID(C891,6,2)),VALUE(RIGHT(C891,2))),IF(ISNUMBER(FIND(".",C891)),DATE(VALUE(RIGHT(C891,4)),VALUE(MID(C891,4,2)),VALUE(LEFT(C891,2))),DATE(VALUE(RIGHT(C891,4)),VLOOKUP(TRIM(MID(C891,FIND(" ",C891)+1,LEN(C891)-FIND(" ",C891)-5)),Справочники!$M$3:$N$14,2,0),VALUE(LEFT(C891,FIND(" ",C891)-1))))),"")</f>
        <v>30337</v>
      </c>
      <c r="J891" s="6">
        <f t="shared" si="270"/>
        <v>43</v>
      </c>
      <c r="K891" t="str">
        <f t="shared" si="271"/>
        <v>ОК</v>
      </c>
      <c r="L891" s="5">
        <f>IFERROR(IF(ISNUMBER(FIND("-",G891)),DATE(VALUE(LEFT(G891,4)),VALUE(MID(G891,6,2)),VALUE(RIGHT(G891,2))),IF(ISNUMBER(FIND(".",G891)),DATE(VALUE(RIGHT(G891,4)),VALUE(MID(G891,4,2)),VALUE(LEFT(G891,2))),DATE(VALUE(RIGHT(G891,4)),VLOOKUP(TRIM(MID(G891,FIND(" ",G891)+1,LEN(G891)-FIND(" ",G891)-5)),Справочники!$M$3:$N$14,2,0),VALUE(LEFT(G891,FIND(" ",G891)-1))))),"")</f>
        <v>53585</v>
      </c>
      <c r="M891" t="str">
        <f t="shared" si="272"/>
        <v xml:space="preserve">+7 (903) 234-56-78</v>
      </c>
      <c r="N891" t="str">
        <f t="shared" si="273"/>
        <v>timofeeva@yandex</v>
      </c>
      <c r="O891" t="str">
        <f t="shared" si="274"/>
        <v xml:space="preserve">Ошибка Email</v>
      </c>
      <c r="P891" t="str">
        <f>IFERROR(VLOOKUP(TRIM(SUBSTITUTE(SUBSTITUTE(" "&amp;F891," г "," "),"г.","")),Справочники!$J$3:$K$102,2,0),TRIM(SUBSTITUTE(SUBSTITUTE(" "&amp;F891," г "," "),"г.","")))</f>
        <v>Кызыл</v>
      </c>
    </row>
    <row r="892">
      <c r="A892" s="3" t="s">
        <v>3755</v>
      </c>
      <c r="B892" s="3" t="s">
        <v>7529</v>
      </c>
      <c r="C892" s="3" t="s">
        <v>7530</v>
      </c>
      <c r="D892" s="3" t="s">
        <v>1584</v>
      </c>
      <c r="E892" s="3" t="s">
        <v>7531</v>
      </c>
      <c r="F892" s="3" t="s">
        <v>4330</v>
      </c>
      <c r="G892" s="3" t="s">
        <v>7532</v>
      </c>
      <c r="H892" t="str">
        <f t="shared" si="269"/>
        <v xml:space="preserve">Смирнов Денис Викторович</v>
      </c>
      <c r="I892" s="5">
        <f>IFERROR(IF(ISNUMBER(FIND("-",C892)),DATE(VALUE(LEFT(C892,4)),VALUE(MID(C892,6,2)),VALUE(RIGHT(C892,2))),IF(ISNUMBER(FIND(".",C892)),DATE(VALUE(RIGHT(C892,4)),VALUE(MID(C892,4,2)),VALUE(LEFT(C892,2))),DATE(VALUE(RIGHT(C892,4)),VLOOKUP(TRIM(MID(C892,FIND(" ",C892)+1,LEN(C892)-FIND(" ",C892)-5)),Справочники!$M$3:$N$14,2,0),VALUE(LEFT(C892,FIND(" ",C892)-1))))),"")</f>
        <v>28108</v>
      </c>
      <c r="J892" s="6">
        <f t="shared" si="270"/>
        <v>49</v>
      </c>
      <c r="K892" t="str">
        <f t="shared" si="271"/>
        <v>ОК</v>
      </c>
      <c r="L892" s="5">
        <f>IFERROR(IF(ISNUMBER(FIND("-",G892)),DATE(VALUE(LEFT(G892,4)),VALUE(MID(G892,6,2)),VALUE(RIGHT(G892,2))),IF(ISNUMBER(FIND(".",G892)),DATE(VALUE(RIGHT(G892,4)),VALUE(MID(G892,4,2)),VALUE(LEFT(G892,2))),DATE(VALUE(RIGHT(G892,4)),VLOOKUP(TRIM(MID(G892,FIND(" ",G892)+1,LEN(G892)-FIND(" ",G892)-5)),Справочники!$M$3:$N$14,2,0),VALUE(LEFT(G892,FIND(" ",G892)-1))))),"")</f>
        <v>53585</v>
      </c>
      <c r="M892" t="str">
        <f t="shared" si="272"/>
        <v xml:space="preserve">+7 (903) 345-67-89</v>
      </c>
      <c r="N892" t="str">
        <f t="shared" si="273"/>
        <v>smirnov@gmail</v>
      </c>
      <c r="O892" t="str">
        <f t="shared" si="274"/>
        <v xml:space="preserve">Ошибка Email</v>
      </c>
      <c r="P892" t="str">
        <f>IFERROR(VLOOKUP(TRIM(SUBSTITUTE(SUBSTITUTE(" "&amp;F892," г "," "),"г.","")),Справочники!$J$3:$K$102,2,0),TRIM(SUBSTITUTE(SUBSTITUTE(" "&amp;F892," г "," "),"г.","")))</f>
        <v>Калининград</v>
      </c>
    </row>
    <row r="893">
      <c r="A893" s="3" t="s">
        <v>3756</v>
      </c>
      <c r="B893" s="3" t="s">
        <v>7533</v>
      </c>
      <c r="C893" s="3" t="s">
        <v>7534</v>
      </c>
      <c r="D893" s="3" t="s">
        <v>4073</v>
      </c>
      <c r="E893" s="3" t="s">
        <v>7535</v>
      </c>
      <c r="F893" s="3" t="s">
        <v>4335</v>
      </c>
      <c r="G893" s="3" t="s">
        <v>7536</v>
      </c>
      <c r="H893" t="str">
        <f t="shared" si="269"/>
        <v xml:space="preserve">Ерохина Екатерина Владимировна</v>
      </c>
      <c r="I893" s="5">
        <f>IFERROR(IF(ISNUMBER(FIND("-",C893)),DATE(VALUE(LEFT(C893,4)),VALUE(MID(C893,6,2)),VALUE(RIGHT(C893,2))),IF(ISNUMBER(FIND(".",C893)),DATE(VALUE(RIGHT(C893,4)),VALUE(MID(C893,4,2)),VALUE(LEFT(C893,2))),DATE(VALUE(RIGHT(C893,4)),VLOOKUP(TRIM(MID(C893,FIND(" ",C893)+1,LEN(C893)-FIND(" ",C893)-5)),Справочники!$M$3:$N$14,2,0),VALUE(LEFT(C893,FIND(" ",C893)-1))))),"")</f>
        <v>30775</v>
      </c>
      <c r="J893" s="6">
        <f t="shared" si="270"/>
        <v>42</v>
      </c>
      <c r="K893" t="str">
        <f t="shared" si="271"/>
        <v>ОК</v>
      </c>
      <c r="L893" s="5">
        <f>IFERROR(IF(ISNUMBER(FIND("-",G893)),DATE(VALUE(LEFT(G893,4)),VALUE(MID(G893,6,2)),VALUE(RIGHT(G893,2))),IF(ISNUMBER(FIND(".",G893)),DATE(VALUE(RIGHT(G893,4)),VALUE(MID(G893,4,2)),VALUE(LEFT(G893,2))),DATE(VALUE(RIGHT(G893,4)),VLOOKUP(TRIM(MID(G893,FIND(" ",G893)+1,LEN(G893)-FIND(" ",G893)-5)),Справочники!$M$3:$N$14,2,0),VALUE(LEFT(G893,FIND(" ",G893)-1))))),"")</f>
        <v>53601</v>
      </c>
      <c r="M893" t="str">
        <f t="shared" si="272"/>
        <v xml:space="preserve">+7 (903) 345-67-89</v>
      </c>
      <c r="N893" t="str">
        <f t="shared" si="273"/>
        <v>erohina@mail</v>
      </c>
      <c r="O893" t="str">
        <f t="shared" si="274"/>
        <v xml:space="preserve">Ошибка Email</v>
      </c>
      <c r="P893" t="str">
        <f>IFERROR(VLOOKUP(TRIM(SUBSTITUTE(SUBSTITUTE(" "&amp;F893," г "," "),"г.","")),Справочники!$J$3:$K$102,2,0),TRIM(SUBSTITUTE(SUBSTITUTE(" "&amp;F893," г "," "),"г.","")))</f>
        <v>Петрозаводск</v>
      </c>
    </row>
    <row r="894">
      <c r="A894" s="3" t="s">
        <v>3758</v>
      </c>
      <c r="B894" s="3" t="s">
        <v>7537</v>
      </c>
      <c r="C894" s="3" t="s">
        <v>7538</v>
      </c>
      <c r="D894" s="3" t="s">
        <v>4079</v>
      </c>
      <c r="E894" s="3" t="s">
        <v>7539</v>
      </c>
      <c r="F894" s="3" t="s">
        <v>4340</v>
      </c>
      <c r="G894" s="3" t="s">
        <v>7540</v>
      </c>
      <c r="H894" t="str">
        <f t="shared" si="269"/>
        <v xml:space="preserve">Пелевин Илья Александрович</v>
      </c>
      <c r="I894" s="5">
        <f>IFERROR(IF(ISNUMBER(FIND("-",C894)),DATE(VALUE(LEFT(C894,4)),VALUE(MID(C894,6,2)),VALUE(RIGHT(C894,2))),IF(ISNUMBER(FIND(".",C894)),DATE(VALUE(RIGHT(C894,4)),VALUE(MID(C894,4,2)),VALUE(LEFT(C894,2))),DATE(VALUE(RIGHT(C894,4)),VLOOKUP(TRIM(MID(C894,FIND(" ",C894)+1,LEN(C894)-FIND(" ",C894)-5)),Справочники!$M$3:$N$14,2,0),VALUE(LEFT(C894,FIND(" ",C894)-1))))),"")</f>
        <v>33456</v>
      </c>
      <c r="J894" s="6">
        <f t="shared" si="270"/>
        <v>35</v>
      </c>
      <c r="K894" t="str">
        <f t="shared" si="271"/>
        <v>ОК</v>
      </c>
      <c r="L894" s="5">
        <f>IFERROR(IF(ISNUMBER(FIND("-",G894)),DATE(VALUE(LEFT(G894,4)),VALUE(MID(G894,6,2)),VALUE(RIGHT(G894,2))),IF(ISNUMBER(FIND(".",G894)),DATE(VALUE(RIGHT(G894,4)),VALUE(MID(G894,4,2)),VALUE(LEFT(G894,2))),DATE(VALUE(RIGHT(G894,4)),VLOOKUP(TRIM(MID(G894,FIND(" ",G894)+1,LEN(G894)-FIND(" ",G894)-5)),Справочники!$M$3:$N$14,2,0),VALUE(LEFT(G894,FIND(" ",G894)-1))))),"")</f>
        <v>53610</v>
      </c>
      <c r="M894" t="str">
        <f t="shared" si="272"/>
        <v xml:space="preserve">+7 (903) 345-67-89</v>
      </c>
      <c r="N894" t="str">
        <f t="shared" si="273"/>
        <v>pelevin@yandex</v>
      </c>
      <c r="O894" t="str">
        <f t="shared" si="274"/>
        <v xml:space="preserve">Ошибка Email</v>
      </c>
      <c r="P894" t="str">
        <f>IFERROR(VLOOKUP(TRIM(SUBSTITUTE(SUBSTITUTE(" "&amp;F894," г "," "),"г.","")),Справочники!$J$3:$K$102,2,0),TRIM(SUBSTITUTE(SUBSTITUTE(" "&amp;F894," г "," "),"г.","")))</f>
        <v>Рубцовск</v>
      </c>
    </row>
    <row r="895">
      <c r="A895" s="3" t="s">
        <v>3760</v>
      </c>
      <c r="B895" s="3" t="s">
        <v>7541</v>
      </c>
      <c r="C895" s="3" t="s">
        <v>7024</v>
      </c>
      <c r="D895" s="3" t="s">
        <v>4085</v>
      </c>
      <c r="E895" s="3" t="s">
        <v>7542</v>
      </c>
      <c r="F895" s="3" t="s">
        <v>4345</v>
      </c>
      <c r="G895" s="3" t="s">
        <v>7543</v>
      </c>
      <c r="H895" t="str">
        <f t="shared" si="269"/>
        <v xml:space="preserve">Кирсанова Мария Павловна</v>
      </c>
      <c r="I895" s="5">
        <f>IFERROR(IF(ISNUMBER(FIND("-",C895)),DATE(VALUE(LEFT(C895,4)),VALUE(MID(C895,6,2)),VALUE(RIGHT(C895,2))),IF(ISNUMBER(FIND(".",C895)),DATE(VALUE(RIGHT(C895,4)),VALUE(MID(C895,4,2)),VALUE(LEFT(C895,2))),DATE(VALUE(RIGHT(C895,4)),VLOOKUP(TRIM(MID(C895,FIND(" ",C895)+1,LEN(C895)-FIND(" ",C895)-5)),Справочники!$M$3:$N$14,2,0),VALUE(LEFT(C895,FIND(" ",C895)-1))))),"")</f>
        <v>26468</v>
      </c>
      <c r="J895" s="6">
        <f t="shared" si="270"/>
        <v>54</v>
      </c>
      <c r="K895" t="str">
        <f t="shared" si="271"/>
        <v>ОК</v>
      </c>
      <c r="L895" s="5">
        <f>IFERROR(IF(ISNUMBER(FIND("-",G895)),DATE(VALUE(LEFT(G895,4)),VALUE(MID(G895,6,2)),VALUE(RIGHT(G895,2))),IF(ISNUMBER(FIND(".",G895)),DATE(VALUE(RIGHT(G895,4)),VALUE(MID(G895,4,2)),VALUE(LEFT(G895,2))),DATE(VALUE(RIGHT(G895,4)),VLOOKUP(TRIM(MID(G895,FIND(" ",G895)+1,LEN(G895)-FIND(" ",G895)-5)),Справочники!$M$3:$N$14,2,0),VALUE(LEFT(G895,FIND(" ",G895)-1))))),"")</f>
        <v>53610</v>
      </c>
      <c r="M895" t="str">
        <f t="shared" si="272"/>
        <v xml:space="preserve">+7 (903) 456-78-90</v>
      </c>
      <c r="N895" t="str">
        <f t="shared" si="273"/>
        <v>kirsanova@gmail</v>
      </c>
      <c r="O895" t="str">
        <f t="shared" si="274"/>
        <v xml:space="preserve">Ошибка Email</v>
      </c>
      <c r="P895" t="str">
        <f>IFERROR(VLOOKUP(TRIM(SUBSTITUTE(SUBSTITUTE(" "&amp;F895," г "," "),"г.","")),Справочники!$J$3:$K$102,2,0),TRIM(SUBSTITUTE(SUBSTITUTE(" "&amp;F895," г "," "),"г.","")))</f>
        <v>Элиста</v>
      </c>
    </row>
    <row r="896">
      <c r="A896" s="3" t="s">
        <v>3763</v>
      </c>
      <c r="B896" s="3" t="s">
        <v>7544</v>
      </c>
      <c r="C896" s="3" t="s">
        <v>7545</v>
      </c>
      <c r="D896" s="3" t="s">
        <v>1591</v>
      </c>
      <c r="E896" s="3" t="s">
        <v>7546</v>
      </c>
      <c r="F896" s="3" t="s">
        <v>4350</v>
      </c>
      <c r="G896" s="3" t="s">
        <v>7547</v>
      </c>
      <c r="H896" t="str">
        <f t="shared" si="269"/>
        <v xml:space="preserve">Белозеров Андрей Олегович</v>
      </c>
      <c r="I896" s="5">
        <f>IFERROR(IF(ISNUMBER(FIND("-",C896)),DATE(VALUE(LEFT(C896,4)),VALUE(MID(C896,6,2)),VALUE(RIGHT(C896,2))),IF(ISNUMBER(FIND(".",C896)),DATE(VALUE(RIGHT(C896,4)),VALUE(MID(C896,4,2)),VALUE(LEFT(C896,2))),DATE(VALUE(RIGHT(C896,4)),VLOOKUP(TRIM(MID(C896,FIND(" ",C896)+1,LEN(C896)-FIND(" ",C896)-5)),Справочники!$M$3:$N$14,2,0),VALUE(LEFT(C896,FIND(" ",C896)-1))))),"")</f>
        <v>31671</v>
      </c>
      <c r="J896" s="6">
        <f t="shared" si="270"/>
        <v>40</v>
      </c>
      <c r="K896" t="str">
        <f t="shared" si="271"/>
        <v>ОК</v>
      </c>
      <c r="L896" s="5">
        <f>IFERROR(IF(ISNUMBER(FIND("-",G896)),DATE(VALUE(LEFT(G896,4)),VALUE(MID(G896,6,2)),VALUE(RIGHT(G896,2))),IF(ISNUMBER(FIND(".",G896)),DATE(VALUE(RIGHT(G896,4)),VALUE(MID(G896,4,2)),VALUE(LEFT(G896,2))),DATE(VALUE(RIGHT(G896,4)),VLOOKUP(TRIM(MID(G896,FIND(" ",G896)+1,LEN(G896)-FIND(" ",G896)-5)),Справочники!$M$3:$N$14,2,0),VALUE(LEFT(G896,FIND(" ",G896)-1))))),"")</f>
        <v>53632</v>
      </c>
      <c r="M896" t="str">
        <f t="shared" si="272"/>
        <v xml:space="preserve">+7 (903) 456-78-90</v>
      </c>
      <c r="N896" t="str">
        <f t="shared" si="273"/>
        <v>belozerov@mail</v>
      </c>
      <c r="O896" t="str">
        <f t="shared" si="274"/>
        <v xml:space="preserve">Ошибка Email</v>
      </c>
      <c r="P896" t="str">
        <f>IFERROR(VLOOKUP(TRIM(SUBSTITUTE(SUBSTITUTE(" "&amp;F896," г "," "),"г.","")),Справочники!$J$3:$K$102,2,0),TRIM(SUBSTITUTE(SUBSTITUTE(" "&amp;F896," г "," "),"г.","")))</f>
        <v>Орск</v>
      </c>
    </row>
    <row r="897">
      <c r="A897" s="3" t="s">
        <v>3764</v>
      </c>
      <c r="B897" s="3" t="s">
        <v>7548</v>
      </c>
      <c r="C897" s="3" t="s">
        <v>7549</v>
      </c>
      <c r="D897" s="3" t="s">
        <v>1660</v>
      </c>
      <c r="E897" s="3" t="s">
        <v>7550</v>
      </c>
      <c r="F897" s="3" t="s">
        <v>4355</v>
      </c>
      <c r="G897" s="3" t="s">
        <v>7551</v>
      </c>
      <c r="H897" t="str">
        <f t="shared" si="269"/>
        <v xml:space="preserve">Пучкова Ольга Сергеевна</v>
      </c>
      <c r="I897" s="5">
        <f>IFERROR(IF(ISNUMBER(FIND("-",C897)),DATE(VALUE(LEFT(C897,4)),VALUE(MID(C897,6,2)),VALUE(RIGHT(C897,2))),IF(ISNUMBER(FIND(".",C897)),DATE(VALUE(RIGHT(C897,4)),VALUE(MID(C897,4,2)),VALUE(LEFT(C897,2))),DATE(VALUE(RIGHT(C897,4)),VLOOKUP(TRIM(MID(C897,FIND(" ",C897)+1,LEN(C897)-FIND(" ",C897)-5)),Справочники!$M$3:$N$14,2,0),VALUE(LEFT(C897,FIND(" ",C897)-1))))),"")</f>
        <v>33937</v>
      </c>
      <c r="J897" s="6">
        <f t="shared" si="270"/>
        <v>33</v>
      </c>
      <c r="K897" t="str">
        <f t="shared" si="271"/>
        <v>ОК</v>
      </c>
      <c r="L897" s="5">
        <f>IFERROR(IF(ISNUMBER(FIND("-",G897)),DATE(VALUE(LEFT(G897,4)),VALUE(MID(G897,6,2)),VALUE(RIGHT(G897,2))),IF(ISNUMBER(FIND(".",G897)),DATE(VALUE(RIGHT(G897,4)),VALUE(MID(G897,4,2)),VALUE(LEFT(G897,2))),DATE(VALUE(RIGHT(G897,4)),VLOOKUP(TRIM(MID(G897,FIND(" ",G897)+1,LEN(G897)-FIND(" ",G897)-5)),Справочники!$M$3:$N$14,2,0),VALUE(LEFT(G897,FIND(" ",G897)-1))))),"")</f>
        <v>53646</v>
      </c>
      <c r="M897" t="str">
        <f t="shared" si="272"/>
        <v xml:space="preserve">+7 (903) 456-78-90</v>
      </c>
      <c r="N897" t="str">
        <f t="shared" si="273"/>
        <v>puchkova@yandex</v>
      </c>
      <c r="O897" t="str">
        <f t="shared" si="274"/>
        <v xml:space="preserve">Ошибка Email</v>
      </c>
      <c r="P897" t="str">
        <f>IFERROR(VLOOKUP(TRIM(SUBSTITUTE(SUBSTITUTE(" "&amp;F897," г "," "),"г.","")),Справочники!$J$3:$K$102,2,0),TRIM(SUBSTITUTE(SUBSTITUTE(" "&amp;F897," г "," "),"г.","")))</f>
        <v>Нижневартовск</v>
      </c>
    </row>
    <row r="898">
      <c r="A898" s="3" t="s">
        <v>3766</v>
      </c>
      <c r="B898" s="3" t="s">
        <v>7552</v>
      </c>
      <c r="C898" s="3" t="s">
        <v>7553</v>
      </c>
      <c r="D898" s="3" t="s">
        <v>3984</v>
      </c>
      <c r="E898" s="3" t="s">
        <v>6860</v>
      </c>
      <c r="F898" s="3" t="s">
        <v>4360</v>
      </c>
      <c r="G898" s="3" t="s">
        <v>7554</v>
      </c>
      <c r="H898" t="str">
        <f t="shared" si="269"/>
        <v xml:space="preserve">Костин Денис Павлович</v>
      </c>
      <c r="I898" s="5">
        <f>IFERROR(IF(ISNUMBER(FIND("-",C898)),DATE(VALUE(LEFT(C898,4)),VALUE(MID(C898,6,2)),VALUE(RIGHT(C898,2))),IF(ISNUMBER(FIND(".",C898)),DATE(VALUE(RIGHT(C898,4)),VALUE(MID(C898,4,2)),VALUE(LEFT(C898,2))),DATE(VALUE(RIGHT(C898,4)),VLOOKUP(TRIM(MID(C898,FIND(" ",C898)+1,LEN(C898)-FIND(" ",C898)-5)),Справочники!$M$3:$N$14,2,0),VALUE(LEFT(C898,FIND(" ",C898)-1))))),"")</f>
        <v>28775</v>
      </c>
      <c r="J898" s="6">
        <f t="shared" si="270"/>
        <v>48</v>
      </c>
      <c r="K898" t="str">
        <f t="shared" si="271"/>
        <v>ОК</v>
      </c>
      <c r="L898" s="5">
        <f>IFERROR(IF(ISNUMBER(FIND("-",G898)),DATE(VALUE(LEFT(G898,4)),VALUE(MID(G898,6,2)),VALUE(RIGHT(G898,2))),IF(ISNUMBER(FIND(".",G898)),DATE(VALUE(RIGHT(G898,4)),VALUE(MID(G898,4,2)),VALUE(LEFT(G898,2))),DATE(VALUE(RIGHT(G898,4)),VLOOKUP(TRIM(MID(G898,FIND(" ",G898)+1,LEN(G898)-FIND(" ",G898)-5)),Справочники!$M$3:$N$14,2,0),VALUE(LEFT(G898,FIND(" ",G898)-1))))),"")</f>
        <v>53646</v>
      </c>
      <c r="M898" t="str">
        <f t="shared" si="272"/>
        <v xml:space="preserve">+7 (903) 567-89-01</v>
      </c>
      <c r="N898" t="str">
        <f t="shared" si="273"/>
        <v>kostin@gmail</v>
      </c>
      <c r="O898" t="str">
        <f t="shared" si="274"/>
        <v xml:space="preserve">Ошибка Email</v>
      </c>
      <c r="P898" t="str">
        <f>IFERROR(VLOOKUP(TRIM(SUBSTITUTE(SUBSTITUTE(" "&amp;F898," г "," "),"г.","")),Справочники!$J$3:$K$102,2,0),TRIM(SUBSTITUTE(SUBSTITUTE(" "&amp;F898," г "," "),"г.","")))</f>
        <v>Новороссийск</v>
      </c>
    </row>
    <row r="899">
      <c r="A899" s="3" t="s">
        <v>3767</v>
      </c>
      <c r="B899" s="3" t="s">
        <v>7555</v>
      </c>
      <c r="C899" s="3" t="s">
        <v>7556</v>
      </c>
      <c r="D899" s="3" t="s">
        <v>3990</v>
      </c>
      <c r="E899" s="3" t="s">
        <v>4962</v>
      </c>
      <c r="F899" s="3" t="s">
        <v>4365</v>
      </c>
      <c r="G899" s="3" t="s">
        <v>7557</v>
      </c>
      <c r="H899" t="str">
        <f t="shared" si="269"/>
        <v xml:space="preserve">Попова Екатерина Владимировна</v>
      </c>
      <c r="I899" s="5">
        <f>IFERROR(IF(ISNUMBER(FIND("-",C899)),DATE(VALUE(LEFT(C899,4)),VALUE(MID(C899,6,2)),VALUE(RIGHT(C899,2))),IF(ISNUMBER(FIND(".",C899)),DATE(VALUE(RIGHT(C899,4)),VALUE(MID(C899,4,2)),VALUE(LEFT(C899,2))),DATE(VALUE(RIGHT(C899,4)),VLOOKUP(TRIM(MID(C899,FIND(" ",C899)+1,LEN(C899)-FIND(" ",C899)-5)),Справочники!$M$3:$N$14,2,0),VALUE(LEFT(C899,FIND(" ",C899)-1))))),"")</f>
        <v>30187</v>
      </c>
      <c r="J899" s="6">
        <f t="shared" si="270"/>
        <v>44</v>
      </c>
      <c r="K899" t="str">
        <f t="shared" si="271"/>
        <v>ОК</v>
      </c>
      <c r="L899" s="5">
        <f>IFERROR(IF(ISNUMBER(FIND("-",G899)),DATE(VALUE(LEFT(G899,4)),VALUE(MID(G899,6,2)),VALUE(RIGHT(G899,2))),IF(ISNUMBER(FIND(".",G899)),DATE(VALUE(RIGHT(G899,4)),VALUE(MID(G899,4,2)),VALUE(LEFT(G899,2))),DATE(VALUE(RIGHT(G899,4)),VLOOKUP(TRIM(MID(G899,FIND(" ",G899)+1,LEN(G899)-FIND(" ",G899)-5)),Справочники!$M$3:$N$14,2,0),VALUE(LEFT(G899,FIND(" ",G899)-1))))),"")</f>
        <v>53662</v>
      </c>
      <c r="M899" t="str">
        <f t="shared" si="272"/>
        <v xml:space="preserve">+7 (903) 567-89-01</v>
      </c>
      <c r="N899" t="str">
        <f t="shared" si="273"/>
        <v>popova@mail</v>
      </c>
      <c r="O899" t="str">
        <f t="shared" si="274"/>
        <v xml:space="preserve">Ошибка Email</v>
      </c>
      <c r="P899" t="str">
        <f>IFERROR(VLOOKUP(TRIM(SUBSTITUTE(SUBSTITUTE(" "&amp;F899," г "," "),"г.","")),Справочники!$J$3:$K$102,2,0),TRIM(SUBSTITUTE(SUBSTITUTE(" "&amp;F899," г "," "),"г.","")))</f>
        <v>Химки</v>
      </c>
    </row>
    <row r="900">
      <c r="A900" s="3" t="s">
        <v>3770</v>
      </c>
      <c r="B900" s="3" t="s">
        <v>7558</v>
      </c>
      <c r="C900" s="3" t="s">
        <v>7559</v>
      </c>
      <c r="D900" s="3" t="s">
        <v>1598</v>
      </c>
      <c r="E900" s="3" t="s">
        <v>7560</v>
      </c>
      <c r="F900" s="3" t="s">
        <v>4370</v>
      </c>
      <c r="G900" s="3" t="s">
        <v>7561</v>
      </c>
      <c r="H900" t="str">
        <f t="shared" si="269"/>
        <v xml:space="preserve">Сазонов Илья Александрович</v>
      </c>
      <c r="I900" s="5">
        <f>IFERROR(IF(ISNUMBER(FIND("-",C900)),DATE(VALUE(LEFT(C900,4)),VALUE(MID(C900,6,2)),VALUE(RIGHT(C900,2))),IF(ISNUMBER(FIND(".",C900)),DATE(VALUE(RIGHT(C900,4)),VALUE(MID(C900,4,2)),VALUE(LEFT(C900,2))),DATE(VALUE(RIGHT(C900,4)),VLOOKUP(TRIM(MID(C900,FIND(" ",C900)+1,LEN(C900)-FIND(" ",C900)-5)),Справочники!$M$3:$N$14,2,0),VALUE(LEFT(C900,FIND(" ",C900)-1))))),"")</f>
        <v>32849</v>
      </c>
      <c r="J900" s="6">
        <f t="shared" si="270"/>
        <v>36</v>
      </c>
      <c r="K900" t="str">
        <f t="shared" si="271"/>
        <v>ОК</v>
      </c>
      <c r="L900" s="5">
        <f>IFERROR(IF(ISNUMBER(FIND("-",G900)),DATE(VALUE(LEFT(G900,4)),VALUE(MID(G900,6,2)),VALUE(RIGHT(G900,2))),IF(ISNUMBER(FIND(".",G900)),DATE(VALUE(RIGHT(G900,4)),VALUE(MID(G900,4,2)),VALUE(LEFT(G900,2))),DATE(VALUE(RIGHT(G900,4)),VLOOKUP(TRIM(MID(G900,FIND(" ",G900)+1,LEN(G900)-FIND(" ",G900)-5)),Справочники!$M$3:$N$14,2,0),VALUE(LEFT(G900,FIND(" ",G900)-1))))),"")</f>
        <v>53671</v>
      </c>
      <c r="M900" t="str">
        <f t="shared" si="272"/>
        <v xml:space="preserve">+7 (903) 567-89-01</v>
      </c>
      <c r="N900" t="str">
        <f t="shared" si="273"/>
        <v>sazonov@yandex</v>
      </c>
      <c r="O900" t="str">
        <f t="shared" si="274"/>
        <v xml:space="preserve">Ошибка Email</v>
      </c>
      <c r="P900" t="str">
        <f>IFERROR(VLOOKUP(TRIM(SUBSTITUTE(SUBSTITUTE(" "&amp;F900," г "," "),"г.","")),Справочники!$J$3:$K$102,2,0),TRIM(SUBSTITUTE(SUBSTITUTE(" "&amp;F900," г "," "),"г.","")))</f>
        <v>Подольск</v>
      </c>
    </row>
    <row r="901">
      <c r="A901" s="3" t="s">
        <v>3771</v>
      </c>
      <c r="B901" s="3" t="s">
        <v>7562</v>
      </c>
      <c r="C901" s="3" t="s">
        <v>7563</v>
      </c>
      <c r="D901" s="3" t="s">
        <v>4116</v>
      </c>
      <c r="E901" s="3" t="s">
        <v>7564</v>
      </c>
      <c r="F901" s="3" t="s">
        <v>4375</v>
      </c>
      <c r="G901" s="3" t="s">
        <v>7565</v>
      </c>
      <c r="H901" t="str">
        <f t="shared" si="269"/>
        <v xml:space="preserve">Кузьменко Андрей Олегович</v>
      </c>
      <c r="I901" s="5">
        <f>IFERROR(IF(ISNUMBER(FIND("-",C901)),DATE(VALUE(LEFT(C901,4)),VALUE(MID(C901,6,2)),VALUE(RIGHT(C901,2))),IF(ISNUMBER(FIND(".",C901)),DATE(VALUE(RIGHT(C901,4)),VALUE(MID(C901,4,2)),VALUE(LEFT(C901,2))),DATE(VALUE(RIGHT(C901,4)),VLOOKUP(TRIM(MID(C901,FIND(" ",C901)+1,LEN(C901)-FIND(" ",C901)-5)),Справочники!$M$3:$N$14,2,0),VALUE(LEFT(C901,FIND(" ",C901)-1))))),"")</f>
        <v>28250</v>
      </c>
      <c r="J901" s="6">
        <f t="shared" si="270"/>
        <v>49</v>
      </c>
      <c r="K901" t="str">
        <f t="shared" si="271"/>
        <v>ОК</v>
      </c>
      <c r="L901" s="5">
        <f>IFERROR(IF(ISNUMBER(FIND("-",G901)),DATE(VALUE(LEFT(G901,4)),VALUE(MID(G901,6,2)),VALUE(RIGHT(G901,2))),IF(ISNUMBER(FIND(".",G901)),DATE(VALUE(RIGHT(G901,4)),VALUE(MID(G901,4,2)),VALUE(LEFT(G901,2))),DATE(VALUE(RIGHT(G901,4)),VLOOKUP(TRIM(MID(G901,FIND(" ",G901)+1,LEN(G901)-FIND(" ",G901)-5)),Справочники!$M$3:$N$14,2,0),VALUE(LEFT(G901,FIND(" ",G901)-1))))),"")</f>
        <v>53671</v>
      </c>
      <c r="M901" t="str">
        <f t="shared" si="272"/>
        <v xml:space="preserve">+7 (903) 678-90-12</v>
      </c>
      <c r="N901" t="str">
        <f t="shared" si="273"/>
        <v>kuzmenko@gmail</v>
      </c>
      <c r="O901" t="str">
        <f t="shared" si="274"/>
        <v xml:space="preserve">Ошибка Email</v>
      </c>
      <c r="P901" t="str">
        <f>IFERROR(VLOOKUP(TRIM(SUBSTITUTE(SUBSTITUTE(" "&amp;F901," г "," "),"г.","")),Справочники!$J$3:$K$102,2,0),TRIM(SUBSTITUTE(SUBSTITUTE(" "&amp;F901," г "," "),"г.","")))</f>
        <v>Балашиха</v>
      </c>
    </row>
    <row r="902">
      <c r="A902" s="3" t="s">
        <v>3773</v>
      </c>
      <c r="B902" s="3" t="s">
        <v>7566</v>
      </c>
      <c r="C902" s="3" t="s">
        <v>6316</v>
      </c>
      <c r="D902" s="3" t="s">
        <v>4122</v>
      </c>
      <c r="E902" s="3" t="s">
        <v>7567</v>
      </c>
      <c r="F902" s="3" t="s">
        <v>4380</v>
      </c>
      <c r="G902" s="3" t="s">
        <v>7568</v>
      </c>
      <c r="H902" t="str">
        <f t="shared" si="269"/>
        <v xml:space="preserve">Герасимов Денис Викторович</v>
      </c>
      <c r="I902" s="5">
        <f>IFERROR(IF(ISNUMBER(FIND("-",C902)),DATE(VALUE(LEFT(C902,4)),VALUE(MID(C902,6,2)),VALUE(RIGHT(C902,2))),IF(ISNUMBER(FIND(".",C902)),DATE(VALUE(RIGHT(C902,4)),VALUE(MID(C902,4,2)),VALUE(LEFT(C902,2))),DATE(VALUE(RIGHT(C902,4)),VLOOKUP(TRIM(MID(C902,FIND(" ",C902)+1,LEN(C902)-FIND(" ",C902)-5)),Справочники!$M$3:$N$14,2,0),VALUE(LEFT(C902,FIND(" ",C902)-1))))),"")</f>
        <v>31243</v>
      </c>
      <c r="J902" s="6">
        <f t="shared" si="270"/>
        <v>41</v>
      </c>
      <c r="K902" t="str">
        <f t="shared" si="271"/>
        <v>ОК</v>
      </c>
      <c r="L902" s="5">
        <f>IFERROR(IF(ISNUMBER(FIND("-",G902)),DATE(VALUE(LEFT(G902,4)),VALUE(MID(G902,6,2)),VALUE(RIGHT(G902,2))),IF(ISNUMBER(FIND(".",G902)),DATE(VALUE(RIGHT(G902,4)),VALUE(MID(G902,4,2)),VALUE(LEFT(G902,2))),DATE(VALUE(RIGHT(G902,4)),VLOOKUP(TRIM(MID(G902,FIND(" ",G902)+1,LEN(G902)-FIND(" ",G902)-5)),Справочники!$M$3:$N$14,2,0),VALUE(LEFT(G902,FIND(" ",G902)-1))))),"")</f>
        <v>53693</v>
      </c>
      <c r="M902" t="str">
        <f t="shared" si="272"/>
        <v xml:space="preserve">+7 (903) 678-90-12</v>
      </c>
      <c r="N902" t="str">
        <f t="shared" si="273"/>
        <v>gerasimov@mail</v>
      </c>
      <c r="O902" t="str">
        <f t="shared" si="274"/>
        <v xml:space="preserve">Ошибка Email</v>
      </c>
      <c r="P902" t="str">
        <f>IFERROR(VLOOKUP(TRIM(SUBSTITUTE(SUBSTITUTE(" "&amp;F902," г "," "),"г.","")),Справочники!$J$3:$K$102,2,0),TRIM(SUBSTITUTE(SUBSTITUTE(" "&amp;F902," г "," "),"г.","")))</f>
        <v>Сургут</v>
      </c>
    </row>
    <row r="903">
      <c r="A903" s="3" t="s">
        <v>3774</v>
      </c>
      <c r="B903" s="3" t="s">
        <v>7569</v>
      </c>
      <c r="C903" s="3" t="s">
        <v>7570</v>
      </c>
      <c r="D903" s="3" t="s">
        <v>1605</v>
      </c>
      <c r="E903" s="3" t="s">
        <v>7571</v>
      </c>
      <c r="F903" s="3" t="s">
        <v>4385</v>
      </c>
      <c r="G903" s="3" t="s">
        <v>7572</v>
      </c>
      <c r="H903" t="str">
        <f t="shared" si="269"/>
        <v xml:space="preserve">Михайлова Ольга Сергеевна</v>
      </c>
      <c r="I903" s="5">
        <f>IFERROR(IF(ISNUMBER(FIND("-",C903)),DATE(VALUE(LEFT(C903,4)),VALUE(MID(C903,6,2)),VALUE(RIGHT(C903,2))),IF(ISNUMBER(FIND(".",C903)),DATE(VALUE(RIGHT(C903,4)),VALUE(MID(C903,4,2)),VALUE(LEFT(C903,2))),DATE(VALUE(RIGHT(C903,4)),VLOOKUP(TRIM(MID(C903,FIND(" ",C903)+1,LEN(C903)-FIND(" ",C903)-5)),Справочники!$M$3:$N$14,2,0),VALUE(LEFT(C903,FIND(" ",C903)-1))))),"")</f>
        <v>32959</v>
      </c>
      <c r="J903" s="6">
        <f t="shared" si="270"/>
        <v>36</v>
      </c>
      <c r="K903" t="str">
        <f t="shared" si="271"/>
        <v>ОК</v>
      </c>
      <c r="L903" s="5">
        <f>IFERROR(IF(ISNUMBER(FIND("-",G903)),DATE(VALUE(LEFT(G903,4)),VALUE(MID(G903,6,2)),VALUE(RIGHT(G903,2))),IF(ISNUMBER(FIND(".",G903)),DATE(VALUE(RIGHT(G903,4)),VALUE(MID(G903,4,2)),VALUE(LEFT(G903,2))),DATE(VALUE(RIGHT(G903,4)),VLOOKUP(TRIM(MID(G903,FIND(" ",G903)+1,LEN(G903)-FIND(" ",G903)-5)),Справочники!$M$3:$N$14,2,0),VALUE(LEFT(G903,FIND(" ",G903)-1))))),"")</f>
        <v>53707</v>
      </c>
      <c r="M903" t="str">
        <f t="shared" si="272"/>
        <v xml:space="preserve">+7 (903) 678-90-12</v>
      </c>
      <c r="N903" t="str">
        <f t="shared" si="273"/>
        <v>mihaylova@yandex</v>
      </c>
      <c r="O903" t="str">
        <f t="shared" si="274"/>
        <v xml:space="preserve">Ошибка Email</v>
      </c>
      <c r="P903" t="str">
        <f>IFERROR(VLOOKUP(TRIM(SUBSTITUTE(SUBSTITUTE(" "&amp;F903," г "," "),"г.","")),Справочники!$J$3:$K$102,2,0),TRIM(SUBSTITUTE(SUBSTITUTE(" "&amp;F903," г "," "),"г.","")))</f>
        <v>Армавир</v>
      </c>
    </row>
    <row r="904">
      <c r="A904" s="3" t="s">
        <v>3776</v>
      </c>
      <c r="B904" s="3" t="s">
        <v>7573</v>
      </c>
      <c r="C904" s="3" t="s">
        <v>7574</v>
      </c>
      <c r="D904" s="3" t="s">
        <v>4001</v>
      </c>
      <c r="E904" s="3" t="s">
        <v>7575</v>
      </c>
      <c r="F904" s="3" t="s">
        <v>4390</v>
      </c>
      <c r="G904" s="3" t="s">
        <v>7576</v>
      </c>
      <c r="H904" t="str">
        <f t="shared" si="269"/>
        <v xml:space="preserve">Чеботарева Мария Павловна</v>
      </c>
      <c r="I904" s="5">
        <f>IFERROR(IF(ISNUMBER(FIND("-",C904)),DATE(VALUE(LEFT(C904,4)),VALUE(MID(C904,6,2)),VALUE(RIGHT(C904,2))),IF(ISNUMBER(FIND(".",C904)),DATE(VALUE(RIGHT(C904,4)),VALUE(MID(C904,4,2)),VALUE(LEFT(C904,2))),DATE(VALUE(RIGHT(C904,4)),VLOOKUP(TRIM(MID(C904,FIND(" ",C904)+1,LEN(C904)-FIND(" ",C904)-5)),Справочники!$M$3:$N$14,2,0),VALUE(LEFT(C904,FIND(" ",C904)-1))))),"")</f>
        <v>27244</v>
      </c>
      <c r="J904" s="6">
        <f t="shared" si="270"/>
        <v>52</v>
      </c>
      <c r="K904" t="str">
        <f t="shared" si="271"/>
        <v>ОК</v>
      </c>
      <c r="L904" s="5">
        <f>IFERROR(IF(ISNUMBER(FIND("-",G904)),DATE(VALUE(LEFT(G904,4)),VALUE(MID(G904,6,2)),VALUE(RIGHT(G904,2))),IF(ISNUMBER(FIND(".",G904)),DATE(VALUE(RIGHT(G904,4)),VALUE(MID(G904,4,2)),VALUE(LEFT(G904,2))),DATE(VALUE(RIGHT(G904,4)),VLOOKUP(TRIM(MID(G904,FIND(" ",G904)+1,LEN(G904)-FIND(" ",G904)-5)),Справочники!$M$3:$N$14,2,0),VALUE(LEFT(G904,FIND(" ",G904)-1))))),"")</f>
        <v>53707</v>
      </c>
      <c r="M904" t="str">
        <f t="shared" si="272"/>
        <v xml:space="preserve">+7 (903) 789-01-23</v>
      </c>
      <c r="N904" t="str">
        <f t="shared" si="273"/>
        <v>chebotareva@gmail</v>
      </c>
      <c r="O904" t="str">
        <f t="shared" si="274"/>
        <v xml:space="preserve">Ошибка Email</v>
      </c>
      <c r="P904" t="str">
        <f>IFERROR(VLOOKUP(TRIM(SUBSTITUTE(SUBSTITUTE(" "&amp;F904," г "," "),"г.","")),Справочники!$J$3:$K$102,2,0),TRIM(SUBSTITUTE(SUBSTITUTE(" "&amp;F904," г "," "),"г.","")))</f>
        <v>Волжский</v>
      </c>
    </row>
    <row r="905">
      <c r="A905" s="3" t="s">
        <v>3778</v>
      </c>
      <c r="B905" s="3" t="s">
        <v>7577</v>
      </c>
      <c r="C905" s="3" t="s">
        <v>7578</v>
      </c>
      <c r="D905" s="3" t="s">
        <v>4138</v>
      </c>
      <c r="E905" s="3" t="s">
        <v>5598</v>
      </c>
      <c r="F905" s="3" t="s">
        <v>4395</v>
      </c>
      <c r="G905" s="3" t="s">
        <v>7579</v>
      </c>
      <c r="H905" t="str">
        <f t="shared" si="269"/>
        <v xml:space="preserve">Стрелков Андрей Олегович</v>
      </c>
      <c r="I905" s="5">
        <f>IFERROR(IF(ISNUMBER(FIND("-",C905)),DATE(VALUE(LEFT(C905,4)),VALUE(MID(C905,6,2)),VALUE(RIGHT(C905,2))),IF(ISNUMBER(FIND(".",C905)),DATE(VALUE(RIGHT(C905,4)),VALUE(MID(C905,4,2)),VALUE(LEFT(C905,2))),DATE(VALUE(RIGHT(C905,4)),VLOOKUP(TRIM(MID(C905,FIND(" ",C905)+1,LEN(C905)-FIND(" ",C905)-5)),Справочники!$M$3:$N$14,2,0),VALUE(LEFT(C905,FIND(" ",C905)-1))))),"")</f>
        <v>30479</v>
      </c>
      <c r="J905" s="6">
        <f t="shared" si="270"/>
        <v>43</v>
      </c>
      <c r="K905" t="str">
        <f t="shared" si="271"/>
        <v>ОК</v>
      </c>
      <c r="L905" s="5">
        <f>IFERROR(IF(ISNUMBER(FIND("-",G905)),DATE(VALUE(LEFT(G905,4)),VALUE(MID(G905,6,2)),VALUE(RIGHT(G905,2))),IF(ISNUMBER(FIND(".",G905)),DATE(VALUE(RIGHT(G905,4)),VALUE(MID(G905,4,2)),VALUE(LEFT(G905,2))),DATE(VALUE(RIGHT(G905,4)),VLOOKUP(TRIM(MID(G905,FIND(" ",G905)+1,LEN(G905)-FIND(" ",G905)-5)),Справочники!$M$3:$N$14,2,0),VALUE(LEFT(G905,FIND(" ",G905)-1))))),"")</f>
        <v>53724</v>
      </c>
      <c r="M905" t="str">
        <f t="shared" si="272"/>
        <v xml:space="preserve">+7 (903) 789-01-23</v>
      </c>
      <c r="N905" t="str">
        <f t="shared" si="273"/>
        <v>strelkov@mail</v>
      </c>
      <c r="O905" t="str">
        <f t="shared" si="274"/>
        <v xml:space="preserve">Ошибка Email</v>
      </c>
      <c r="P905" t="str">
        <f>IFERROR(VLOOKUP(TRIM(SUBSTITUTE(SUBSTITUTE(" "&amp;F905," г "," "),"г.","")),Справочники!$J$3:$K$102,2,0),TRIM(SUBSTITUTE(SUBSTITUTE(" "&amp;F905," г "," "),"г.","")))</f>
        <v>Шахты</v>
      </c>
    </row>
    <row r="906">
      <c r="A906" s="3" t="s">
        <v>3781</v>
      </c>
      <c r="B906" s="3" t="s">
        <v>7580</v>
      </c>
      <c r="C906" s="3" t="s">
        <v>7581</v>
      </c>
      <c r="D906" s="3" t="s">
        <v>4144</v>
      </c>
      <c r="E906" s="3" t="s">
        <v>7582</v>
      </c>
      <c r="F906" s="3" t="s">
        <v>4400</v>
      </c>
      <c r="G906" s="3" t="s">
        <v>7583</v>
      </c>
      <c r="H906" t="str">
        <f t="shared" si="269"/>
        <v xml:space="preserve">Доброва Екатерина Владимировна</v>
      </c>
      <c r="I906" s="5">
        <f>IFERROR(IF(ISNUMBER(FIND("-",C906)),DATE(VALUE(LEFT(C906,4)),VALUE(MID(C906,6,2)),VALUE(RIGHT(C906,2))),IF(ISNUMBER(FIND(".",C906)),DATE(VALUE(RIGHT(C906,4)),VALUE(MID(C906,4,2)),VALUE(LEFT(C906,2))),DATE(VALUE(RIGHT(C906,4)),VLOOKUP(TRIM(MID(C906,FIND(" ",C906)+1,LEN(C906)-FIND(" ",C906)-5)),Справочники!$M$3:$N$14,2,0),VALUE(LEFT(C906,FIND(" ",C906)-1))))),"")</f>
        <v>32435</v>
      </c>
      <c r="J906" s="6">
        <f t="shared" si="270"/>
        <v>38</v>
      </c>
      <c r="K906" t="str">
        <f t="shared" si="271"/>
        <v>ОК</v>
      </c>
      <c r="L906" s="5">
        <f>IFERROR(IF(ISNUMBER(FIND("-",G906)),DATE(VALUE(LEFT(G906,4)),VALUE(MID(G906,6,2)),VALUE(RIGHT(G906,2))),IF(ISNUMBER(FIND(".",G906)),DATE(VALUE(RIGHT(G906,4)),VALUE(MID(G906,4,2)),VALUE(LEFT(G906,2))),DATE(VALUE(RIGHT(G906,4)),VLOOKUP(TRIM(MID(G906,FIND(" ",G906)+1,LEN(G906)-FIND(" ",G906)-5)),Справочники!$M$3:$N$14,2,0),VALUE(LEFT(G906,FIND(" ",G906)-1))))),"")</f>
        <v>53733</v>
      </c>
      <c r="M906" t="str">
        <f t="shared" si="272"/>
        <v xml:space="preserve">+7 (903) 789-01-23</v>
      </c>
      <c r="N906" t="str">
        <f t="shared" si="273"/>
        <v>dobrova@yandex</v>
      </c>
      <c r="O906" t="str">
        <f t="shared" si="274"/>
        <v xml:space="preserve">Ошибка Email</v>
      </c>
      <c r="P906" t="str">
        <f>IFERROR(VLOOKUP(TRIM(SUBSTITUTE(SUBSTITUTE(" "&amp;F906," г "," "),"г.","")),Справочники!$J$3:$K$102,2,0),TRIM(SUBSTITUTE(SUBSTITUTE(" "&amp;F906," г "," "),"г.","")))</f>
        <v>Златоуст</v>
      </c>
    </row>
    <row r="907">
      <c r="A907" s="3" t="s">
        <v>3782</v>
      </c>
      <c r="B907" s="3" t="s">
        <v>7584</v>
      </c>
      <c r="C907" s="3" t="s">
        <v>7585</v>
      </c>
      <c r="D907" s="3" t="s">
        <v>4150</v>
      </c>
      <c r="E907" s="3" t="s">
        <v>7586</v>
      </c>
      <c r="F907" s="3" t="s">
        <v>4405</v>
      </c>
      <c r="G907" s="3" t="s">
        <v>7587</v>
      </c>
      <c r="H907" t="str">
        <f t="shared" si="269"/>
        <v xml:space="preserve">Калачев Илья Александрович</v>
      </c>
      <c r="I907" s="5">
        <f>IFERROR(IF(ISNUMBER(FIND("-",C907)),DATE(VALUE(LEFT(C907,4)),VALUE(MID(C907,6,2)),VALUE(RIGHT(C907,2))),IF(ISNUMBER(FIND(".",C907)),DATE(VALUE(RIGHT(C907,4)),VALUE(MID(C907,4,2)),VALUE(LEFT(C907,2))),DATE(VALUE(RIGHT(C907,4)),VLOOKUP(TRIM(MID(C907,FIND(" ",C907)+1,LEN(C907)-FIND(" ",C907)-5)),Справочники!$M$3:$N$14,2,0),VALUE(LEFT(C907,FIND(" ",C907)-1))))),"")</f>
        <v>26849</v>
      </c>
      <c r="J907" s="6">
        <f t="shared" si="270"/>
        <v>53</v>
      </c>
      <c r="K907" t="str">
        <f t="shared" si="271"/>
        <v>ОК</v>
      </c>
      <c r="L907" s="5">
        <f>IFERROR(IF(ISNUMBER(FIND("-",G907)),DATE(VALUE(LEFT(G907,4)),VALUE(MID(G907,6,2)),VALUE(RIGHT(G907,2))),IF(ISNUMBER(FIND(".",G907)),DATE(VALUE(RIGHT(G907,4)),VALUE(MID(G907,4,2)),VALUE(LEFT(G907,2))),DATE(VALUE(RIGHT(G907,4)),VLOOKUP(TRIM(MID(G907,FIND(" ",G907)+1,LEN(G907)-FIND(" ",G907)-5)),Справочники!$M$3:$N$14,2,0),VALUE(LEFT(G907,FIND(" ",G907)-1))))),"")</f>
        <v>53733</v>
      </c>
      <c r="M907" t="str">
        <f t="shared" si="272"/>
        <v xml:space="preserve">+7 (903) 890-12-34</v>
      </c>
      <c r="N907" t="str">
        <f t="shared" si="273"/>
        <v>kalachev@gmail</v>
      </c>
      <c r="O907" t="str">
        <f t="shared" si="274"/>
        <v xml:space="preserve">Ошибка Email</v>
      </c>
      <c r="P907" t="str">
        <f>IFERROR(VLOOKUP(TRIM(SUBSTITUTE(SUBSTITUTE(" "&amp;F907," г "," "),"г.","")),Справочники!$J$3:$K$102,2,0),TRIM(SUBSTITUTE(SUBSTITUTE(" "&amp;F907," г "," "),"г.","")))</f>
        <v>Ангарск</v>
      </c>
    </row>
    <row r="908">
      <c r="A908" s="3" t="s">
        <v>3785</v>
      </c>
      <c r="B908" s="3" t="s">
        <v>7588</v>
      </c>
      <c r="C908" s="3" t="s">
        <v>7589</v>
      </c>
      <c r="D908" s="3" t="s">
        <v>4007</v>
      </c>
      <c r="E908" s="3" t="s">
        <v>7590</v>
      </c>
      <c r="F908" s="3" t="s">
        <v>4410</v>
      </c>
      <c r="G908" s="3" t="s">
        <v>7591</v>
      </c>
      <c r="H908" t="str">
        <f t="shared" si="269"/>
        <v xml:space="preserve">Пахомова Мария Павловна</v>
      </c>
      <c r="I908" s="5">
        <f>IFERROR(IF(ISNUMBER(FIND("-",C908)),DATE(VALUE(LEFT(C908,4)),VALUE(MID(C908,6,2)),VALUE(RIGHT(C908,2))),IF(ISNUMBER(FIND(".",C908)),DATE(VALUE(RIGHT(C908,4)),VALUE(MID(C908,4,2)),VALUE(LEFT(C908,2))),DATE(VALUE(RIGHT(C908,4)),VLOOKUP(TRIM(MID(C908,FIND(" ",C908)+1,LEN(C908)-FIND(" ",C908)-5)),Справочники!$M$3:$N$14,2,0),VALUE(LEFT(C908,FIND(" ",C908)-1))))),"")</f>
        <v>29578</v>
      </c>
      <c r="J908" s="6">
        <f t="shared" si="270"/>
        <v>45</v>
      </c>
      <c r="K908" t="str">
        <f t="shared" si="271"/>
        <v>ОК</v>
      </c>
      <c r="L908" s="5">
        <f>IFERROR(IF(ISNUMBER(FIND("-",G908)),DATE(VALUE(LEFT(G908,4)),VALUE(MID(G908,6,2)),VALUE(RIGHT(G908,2))),IF(ISNUMBER(FIND(".",G908)),DATE(VALUE(RIGHT(G908,4)),VALUE(MID(G908,4,2)),VALUE(LEFT(G908,2))),DATE(VALUE(RIGHT(G908,4)),VLOOKUP(TRIM(MID(G908,FIND(" ",G908)+1,LEN(G908)-FIND(" ",G908)-5)),Справочники!$M$3:$N$14,2,0),VALUE(LEFT(G908,FIND(" ",G908)-1))))),"")</f>
        <v>53752</v>
      </c>
      <c r="M908" t="str">
        <f t="shared" si="272"/>
        <v xml:space="preserve">+7 (903) 890-12-34</v>
      </c>
      <c r="N908" t="str">
        <f t="shared" si="273"/>
        <v>pahomova@mail</v>
      </c>
      <c r="O908" t="str">
        <f t="shared" si="274"/>
        <v xml:space="preserve">Ошибка Email</v>
      </c>
      <c r="P908" t="str">
        <f>IFERROR(VLOOKUP(TRIM(SUBSTITUTE(SUBSTITUTE(" "&amp;F908," г "," "),"г.","")),Справочники!$J$3:$K$102,2,0),TRIM(SUBSTITUTE(SUBSTITUTE(" "&amp;F908," г "," "),"г.","")))</f>
        <v>Озёрск</v>
      </c>
    </row>
    <row r="909">
      <c r="A909" s="3" t="s">
        <v>3787</v>
      </c>
      <c r="B909" s="3" t="s">
        <v>7592</v>
      </c>
      <c r="C909" s="3" t="s">
        <v>7593</v>
      </c>
      <c r="D909" s="3" t="s">
        <v>1619</v>
      </c>
      <c r="E909" s="3" t="s">
        <v>7594</v>
      </c>
      <c r="F909" s="3" t="s">
        <v>4415</v>
      </c>
      <c r="G909" s="3" t="s">
        <v>7595</v>
      </c>
      <c r="H909" t="str">
        <f t="shared" si="269"/>
        <v xml:space="preserve">Усков Денис Сергеевич</v>
      </c>
      <c r="I909" s="5">
        <f>IFERROR(IF(ISNUMBER(FIND("-",C909)),DATE(VALUE(LEFT(C909,4)),VALUE(MID(C909,6,2)),VALUE(RIGHT(C909,2))),IF(ISNUMBER(FIND(".",C909)),DATE(VALUE(RIGHT(C909,4)),VALUE(MID(C909,4,2)),VALUE(LEFT(C909,2))),DATE(VALUE(RIGHT(C909,4)),VLOOKUP(TRIM(MID(C909,FIND(" ",C909)+1,LEN(C909)-FIND(" ",C909)-5)),Справочники!$M$3:$N$14,2,0),VALUE(LEFT(C909,FIND(" ",C909)-1))))),"")</f>
        <v>31541</v>
      </c>
      <c r="J909" s="6">
        <f t="shared" si="270"/>
        <v>40</v>
      </c>
      <c r="K909" t="str">
        <f t="shared" si="271"/>
        <v>ОК</v>
      </c>
      <c r="L909" s="5">
        <f>IFERROR(IF(ISNUMBER(FIND("-",G909)),DATE(VALUE(LEFT(G909,4)),VALUE(MID(G909,6,2)),VALUE(RIGHT(G909,2))),IF(ISNUMBER(FIND(".",G909)),DATE(VALUE(RIGHT(G909,4)),VALUE(MID(G909,4,2)),VALUE(LEFT(G909,2))),DATE(VALUE(RIGHT(G909,4)),VLOOKUP(TRIM(MID(G909,FIND(" ",G909)+1,LEN(G909)-FIND(" ",G909)-5)),Справочники!$M$3:$N$14,2,0),VALUE(LEFT(G909,FIND(" ",G909)-1))))),"")</f>
        <v>53766</v>
      </c>
      <c r="M909" t="str">
        <f t="shared" si="272"/>
        <v xml:space="preserve">+7 (903) 890-12-34</v>
      </c>
      <c r="N909" t="str">
        <f t="shared" si="273"/>
        <v>uskov@yandex</v>
      </c>
      <c r="O909" t="str">
        <f t="shared" si="274"/>
        <v xml:space="preserve">Ошибка Email</v>
      </c>
      <c r="P909" t="str">
        <f>IFERROR(VLOOKUP(TRIM(SUBSTITUTE(SUBSTITUTE(" "&amp;F909," г "," "),"г.","")),Справочники!$J$3:$K$102,2,0),TRIM(SUBSTITUTE(SUBSTITUTE(" "&amp;F909," г "," "),"г.","")))</f>
        <v>Орел</v>
      </c>
    </row>
    <row r="910">
      <c r="A910" s="3" t="s">
        <v>3789</v>
      </c>
      <c r="B910" s="3" t="s">
        <v>7596</v>
      </c>
      <c r="C910" s="3" t="s">
        <v>7597</v>
      </c>
      <c r="D910" s="3" t="s">
        <v>4018</v>
      </c>
      <c r="E910" s="3" t="s">
        <v>7598</v>
      </c>
      <c r="F910" s="3" t="s">
        <v>4184</v>
      </c>
      <c r="G910" s="3" t="s">
        <v>7599</v>
      </c>
      <c r="H910" t="str">
        <f t="shared" si="269"/>
        <v xml:space="preserve">Кудрявцева Ольга Владимировна</v>
      </c>
      <c r="I910" s="5">
        <f>IFERROR(IF(ISNUMBER(FIND("-",C910)),DATE(VALUE(LEFT(C910,4)),VALUE(MID(C910,6,2)),VALUE(RIGHT(C910,2))),IF(ISNUMBER(FIND(".",C910)),DATE(VALUE(RIGHT(C910,4)),VALUE(MID(C910,4,2)),VALUE(LEFT(C910,2))),DATE(VALUE(RIGHT(C910,4)),VLOOKUP(TRIM(MID(C910,FIND(" ",C910)+1,LEN(C910)-FIND(" ",C910)-5)),Справочники!$M$3:$N$14,2,0),VALUE(LEFT(C910,FIND(" ",C910)-1))))),"")</f>
        <v>33492</v>
      </c>
      <c r="J910" s="6">
        <f t="shared" si="270"/>
        <v>35</v>
      </c>
      <c r="K910" t="str">
        <f t="shared" si="271"/>
        <v>ОК</v>
      </c>
      <c r="L910" s="5">
        <f>IFERROR(IF(ISNUMBER(FIND("-",G910)),DATE(VALUE(LEFT(G910,4)),VALUE(MID(G910,6,2)),VALUE(RIGHT(G910,2))),IF(ISNUMBER(FIND(".",G910)),DATE(VALUE(RIGHT(G910,4)),VALUE(MID(G910,4,2)),VALUE(LEFT(G910,2))),DATE(VALUE(RIGHT(G910,4)),VLOOKUP(TRIM(MID(G910,FIND(" ",G910)+1,LEN(G910)-FIND(" ",G910)-5)),Справочники!$M$3:$N$14,2,0),VALUE(LEFT(G910,FIND(" ",G910)-1))))),"")</f>
        <v>53766</v>
      </c>
      <c r="M910" t="str">
        <f t="shared" si="272"/>
        <v xml:space="preserve">+7 (903) 901-23-45</v>
      </c>
      <c r="N910" t="str">
        <f t="shared" si="273"/>
        <v>kudryavtseva@gmail</v>
      </c>
      <c r="O910" t="str">
        <f t="shared" si="274"/>
        <v xml:space="preserve">Ошибка Email</v>
      </c>
      <c r="P910" t="str">
        <f>IFERROR(VLOOKUP(TRIM(SUBSTITUTE(SUBSTITUTE(" "&amp;F910," г "," "),"г.","")),Справочники!$J$3:$K$102,2,0),TRIM(SUBSTITUTE(SUBSTITUTE(" "&amp;F910," г "," "),"г.","")))</f>
        <v>Магнитогорск</v>
      </c>
    </row>
    <row r="911">
      <c r="A911" s="3" t="s">
        <v>3790</v>
      </c>
      <c r="B911" s="3" t="s">
        <v>7600</v>
      </c>
      <c r="C911" s="3" t="s">
        <v>7601</v>
      </c>
      <c r="D911" s="3" t="s">
        <v>1626</v>
      </c>
      <c r="E911" s="3" t="s">
        <v>7602</v>
      </c>
      <c r="F911" s="3" t="s">
        <v>4205</v>
      </c>
      <c r="G911" s="3" t="s">
        <v>7603</v>
      </c>
      <c r="H911" t="str">
        <f t="shared" si="269"/>
        <v xml:space="preserve">Миллер Андрей Олегович</v>
      </c>
      <c r="I911" s="5">
        <f>IFERROR(IF(ISNUMBER(FIND("-",C911)),DATE(VALUE(LEFT(C911,4)),VALUE(MID(C911,6,2)),VALUE(RIGHT(C911,2))),IF(ISNUMBER(FIND(".",C911)),DATE(VALUE(RIGHT(C911,4)),VALUE(MID(C911,4,2)),VALUE(LEFT(C911,2))),DATE(VALUE(RIGHT(C911,4)),VLOOKUP(TRIM(MID(C911,FIND(" ",C911)+1,LEN(C911)-FIND(" ",C911)-5)),Справочники!$M$3:$N$14,2,0),VALUE(LEFT(C911,FIND(" ",C911)-1))))),"")</f>
        <v>27777</v>
      </c>
      <c r="J911" s="6">
        <f t="shared" si="270"/>
        <v>50</v>
      </c>
      <c r="K911" t="str">
        <f t="shared" si="271"/>
        <v>ОК</v>
      </c>
      <c r="L911" s="5">
        <f>IFERROR(IF(ISNUMBER(FIND("-",G911)),DATE(VALUE(LEFT(G911,4)),VALUE(MID(G911,6,2)),VALUE(RIGHT(G911,2))),IF(ISNUMBER(FIND(".",G911)),DATE(VALUE(RIGHT(G911,4)),VALUE(MID(G911,4,2)),VALUE(LEFT(G911,2))),DATE(VALUE(RIGHT(G911,4)),VLOOKUP(TRIM(MID(G911,FIND(" ",G911)+1,LEN(G911)-FIND(" ",G911)-5)),Справочники!$M$3:$N$14,2,0),VALUE(LEFT(G911,FIND(" ",G911)-1))))),"")</f>
        <v>53783</v>
      </c>
      <c r="M911" t="str">
        <f t="shared" si="272"/>
        <v xml:space="preserve">+7 (903) 901-23-45</v>
      </c>
      <c r="N911" t="str">
        <f t="shared" si="273"/>
        <v>miller@mail</v>
      </c>
      <c r="O911" t="str">
        <f t="shared" si="274"/>
        <v xml:space="preserve">Ошибка Email</v>
      </c>
      <c r="P911" t="str">
        <f>IFERROR(VLOOKUP(TRIM(SUBSTITUTE(SUBSTITUTE(" "&amp;F911," г "," "),"г.","")),Справочники!$J$3:$K$102,2,0),TRIM(SUBSTITUTE(SUBSTITUTE(" "&amp;F911," г "," "),"г.","")))</f>
        <v>Якутск</v>
      </c>
    </row>
    <row r="912">
      <c r="A912" s="3" t="s">
        <v>3792</v>
      </c>
      <c r="B912" s="3" t="s">
        <v>7604</v>
      </c>
      <c r="C912" s="3" t="s">
        <v>7605</v>
      </c>
      <c r="D912" s="3" t="s">
        <v>4176</v>
      </c>
      <c r="E912" s="3" t="s">
        <v>4669</v>
      </c>
      <c r="F912" s="3" t="s">
        <v>4152</v>
      </c>
      <c r="G912" s="3" t="s">
        <v>7606</v>
      </c>
      <c r="H912" t="str">
        <f t="shared" si="269"/>
        <v xml:space="preserve">Степанова Екатерина Сергеевна</v>
      </c>
      <c r="I912" s="5">
        <f>IFERROR(IF(ISNUMBER(FIND("-",C912)),DATE(VALUE(LEFT(C912,4)),VALUE(MID(C912,6,2)),VALUE(RIGHT(C912,2))),IF(ISNUMBER(FIND(".",C912)),DATE(VALUE(RIGHT(C912,4)),VALUE(MID(C912,4,2)),VALUE(LEFT(C912,2))),DATE(VALUE(RIGHT(C912,4)),VLOOKUP(TRIM(MID(C912,FIND(" ",C912)+1,LEN(C912)-FIND(" ",C912)-5)),Справочники!$M$3:$N$14,2,0),VALUE(LEFT(C912,FIND(" ",C912)-1))))),"")</f>
        <v>30869</v>
      </c>
      <c r="J912" s="6">
        <f t="shared" si="270"/>
        <v>42</v>
      </c>
      <c r="K912" t="str">
        <f t="shared" si="271"/>
        <v>ОК</v>
      </c>
      <c r="L912" s="5">
        <f>IFERROR(IF(ISNUMBER(FIND("-",G912)),DATE(VALUE(LEFT(G912,4)),VALUE(MID(G912,6,2)),VALUE(RIGHT(G912,2))),IF(ISNUMBER(FIND(".",G912)),DATE(VALUE(RIGHT(G912,4)),VALUE(MID(G912,4,2)),VALUE(LEFT(G912,2))),DATE(VALUE(RIGHT(G912,4)),VLOOKUP(TRIM(MID(G912,FIND(" ",G912)+1,LEN(G912)-FIND(" ",G912)-5)),Справочники!$M$3:$N$14,2,0),VALUE(LEFT(G912,FIND(" ",G912)-1))))),"")</f>
        <v>53792</v>
      </c>
      <c r="M912" t="str">
        <f t="shared" si="272"/>
        <v xml:space="preserve">+7 (903) 901-23-45</v>
      </c>
      <c r="N912" t="str">
        <f t="shared" si="273"/>
        <v>stepanova@yandex</v>
      </c>
      <c r="O912" t="str">
        <f t="shared" si="274"/>
        <v xml:space="preserve">Ошибка Email</v>
      </c>
      <c r="P912" t="str">
        <f>IFERROR(VLOOKUP(TRIM(SUBSTITUTE(SUBSTITUTE(" "&amp;F912," г "," "),"г.","")),Справочники!$J$3:$K$102,2,0),TRIM(SUBSTITUTE(SUBSTITUTE(" "&amp;F912," г "," "),"г.","")))</f>
        <v>Чебоксары</v>
      </c>
    </row>
    <row r="913">
      <c r="A913" s="3" t="s">
        <v>3794</v>
      </c>
      <c r="B913" s="3" t="s">
        <v>7607</v>
      </c>
      <c r="C913" s="3" t="s">
        <v>7608</v>
      </c>
      <c r="D913" s="3" t="s">
        <v>4182</v>
      </c>
      <c r="E913" s="3" t="s">
        <v>7609</v>
      </c>
      <c r="F913" s="3" t="s">
        <v>4245</v>
      </c>
      <c r="G913" s="3" t="s">
        <v>7610</v>
      </c>
      <c r="H913" t="str">
        <f t="shared" si="269"/>
        <v xml:space="preserve">Прокопьев Илья Александрович</v>
      </c>
      <c r="I913" s="5">
        <f>IFERROR(IF(ISNUMBER(FIND("-",C913)),DATE(VALUE(LEFT(C913,4)),VALUE(MID(C913,6,2)),VALUE(RIGHT(C913,2))),IF(ISNUMBER(FIND(".",C913)),DATE(VALUE(RIGHT(C913,4)),VALUE(MID(C913,4,2)),VALUE(LEFT(C913,2))),DATE(VALUE(RIGHT(C913,4)),VLOOKUP(TRIM(MID(C913,FIND(" ",C913)+1,LEN(C913)-FIND(" ",C913)-5)),Справочники!$M$3:$N$14,2,0),VALUE(LEFT(C913,FIND(" ",C913)-1))))),"")</f>
        <v>30011</v>
      </c>
      <c r="J913" s="6">
        <f t="shared" si="270"/>
        <v>44</v>
      </c>
      <c r="K913" t="str">
        <f t="shared" si="271"/>
        <v>ОК</v>
      </c>
      <c r="L913" s="5">
        <f>IFERROR(IF(ISNUMBER(FIND("-",G913)),DATE(VALUE(LEFT(G913,4)),VALUE(MID(G913,6,2)),VALUE(RIGHT(G913,2))),IF(ISNUMBER(FIND(".",G913)),DATE(VALUE(RIGHT(G913,4)),VALUE(MID(G913,4,2)),VALUE(LEFT(G913,2))),DATE(VALUE(RIGHT(G913,4)),VLOOKUP(TRIM(MID(G913,FIND(" ",G913)+1,LEN(G913)-FIND(" ",G913)-5)),Справочники!$M$3:$N$14,2,0),VALUE(LEFT(G913,FIND(" ",G913)-1))))),"")</f>
        <v>53792</v>
      </c>
      <c r="M913" t="str">
        <f t="shared" si="272"/>
        <v xml:space="preserve">+7 (903) 012-34-56</v>
      </c>
      <c r="N913" t="str">
        <f t="shared" si="273"/>
        <v>prokopyev@gmail</v>
      </c>
      <c r="O913" t="str">
        <f t="shared" si="274"/>
        <v xml:space="preserve">Ошибка Email</v>
      </c>
      <c r="P913" t="str">
        <f>IFERROR(VLOOKUP(TRIM(SUBSTITUTE(SUBSTITUTE(" "&amp;F913," г "," "),"г.","")),Справочники!$J$3:$K$102,2,0),TRIM(SUBSTITUTE(SUBSTITUTE(" "&amp;F913," г "," "),"г.","")))</f>
        <v>Мурманск</v>
      </c>
    </row>
    <row r="914">
      <c r="A914" s="3" t="s">
        <v>3797</v>
      </c>
      <c r="B914" s="3" t="s">
        <v>7611</v>
      </c>
      <c r="C914" s="3" t="s">
        <v>7612</v>
      </c>
      <c r="D914" s="3" t="s">
        <v>4188</v>
      </c>
      <c r="E914" s="3" t="s">
        <v>7613</v>
      </c>
      <c r="F914" s="3" t="s">
        <v>4235</v>
      </c>
      <c r="G914" s="3" t="s">
        <v>7614</v>
      </c>
      <c r="H914" t="str">
        <f t="shared" si="269"/>
        <v xml:space="preserve">Игнатьева Мария Павловна</v>
      </c>
      <c r="I914" s="5">
        <f>IFERROR(IF(ISNUMBER(FIND("-",C914)),DATE(VALUE(LEFT(C914,4)),VALUE(MID(C914,6,2)),VALUE(RIGHT(C914,2))),IF(ISNUMBER(FIND(".",C914)),DATE(VALUE(RIGHT(C914,4)),VALUE(MID(C914,4,2)),VALUE(LEFT(C914,2))),DATE(VALUE(RIGHT(C914,4)),VLOOKUP(TRIM(MID(C914,FIND(" ",C914)+1,LEN(C914)-FIND(" ",C914)-5)),Справочники!$M$3:$N$14,2,0),VALUE(LEFT(C914,FIND(" ",C914)-1))))),"")</f>
        <v>28726</v>
      </c>
      <c r="J914" s="6">
        <f t="shared" si="270"/>
        <v>48</v>
      </c>
      <c r="K914" t="str">
        <f t="shared" si="271"/>
        <v>ОК</v>
      </c>
      <c r="L914" s="5">
        <f>IFERROR(IF(ISNUMBER(FIND("-",G914)),DATE(VALUE(LEFT(G914,4)),VALUE(MID(G914,6,2)),VALUE(RIGHT(G914,2))),IF(ISNUMBER(FIND(".",G914)),DATE(VALUE(RIGHT(G914,4)),VALUE(MID(G914,4,2)),VALUE(LEFT(G914,2))),DATE(VALUE(RIGHT(G914,4)),VLOOKUP(TRIM(MID(G914,FIND(" ",G914)+1,LEN(G914)-FIND(" ",G914)-5)),Справочники!$M$3:$N$14,2,0),VALUE(LEFT(G914,FIND(" ",G914)-1))))),"")</f>
        <v>53813</v>
      </c>
      <c r="M914" t="str">
        <f t="shared" si="272"/>
        <v xml:space="preserve">+7 (903) 012-34-56</v>
      </c>
      <c r="N914" t="str">
        <f t="shared" si="273"/>
        <v>ignatieva@mail</v>
      </c>
      <c r="O914" t="str">
        <f t="shared" si="274"/>
        <v xml:space="preserve">Ошибка Email</v>
      </c>
      <c r="P914" t="str">
        <f>IFERROR(VLOOKUP(TRIM(SUBSTITUTE(SUBSTITUTE(" "&amp;F914," г "," "),"г.","")),Справочники!$J$3:$K$102,2,0),TRIM(SUBSTITUTE(SUBSTITUTE(" "&amp;F914," г "," "),"г.","")))</f>
        <v>Смоленск</v>
      </c>
    </row>
    <row r="915">
      <c r="A915" s="3" t="s">
        <v>3798</v>
      </c>
      <c r="B915" s="3" t="s">
        <v>7615</v>
      </c>
      <c r="C915" s="3" t="s">
        <v>7616</v>
      </c>
      <c r="D915" s="3" t="s">
        <v>1633</v>
      </c>
      <c r="E915" s="3" t="s">
        <v>7617</v>
      </c>
      <c r="F915" s="3" t="s">
        <v>4220</v>
      </c>
      <c r="G915" s="3" t="s">
        <v>7618</v>
      </c>
      <c r="H915" t="str">
        <f t="shared" si="269"/>
        <v xml:space="preserve">Сидоров Денис Викторович</v>
      </c>
      <c r="I915" s="5">
        <f>IFERROR(IF(ISNUMBER(FIND("-",C915)),DATE(VALUE(LEFT(C915,4)),VALUE(MID(C915,6,2)),VALUE(RIGHT(C915,2))),IF(ISNUMBER(FIND(".",C915)),DATE(VALUE(RIGHT(C915,4)),VALUE(MID(C915,4,2)),VALUE(LEFT(C915,2))),DATE(VALUE(RIGHT(C915,4)),VLOOKUP(TRIM(MID(C915,FIND(" ",C915)+1,LEN(C915)-FIND(" ",C915)-5)),Справочники!$M$3:$N$14,2,0),VALUE(LEFT(C915,FIND(" ",C915)-1))))),"")</f>
        <v>32128</v>
      </c>
      <c r="J915" s="6">
        <f t="shared" si="270"/>
        <v>38</v>
      </c>
      <c r="K915" t="str">
        <f t="shared" si="271"/>
        <v>ОК</v>
      </c>
      <c r="L915" s="5">
        <f>IFERROR(IF(ISNUMBER(FIND("-",G915)),DATE(VALUE(LEFT(G915,4)),VALUE(MID(G915,6,2)),VALUE(RIGHT(G915,2))),IF(ISNUMBER(FIND(".",G915)),DATE(VALUE(RIGHT(G915,4)),VALUE(MID(G915,4,2)),VALUE(LEFT(G915,2))),DATE(VALUE(RIGHT(G915,4)),VLOOKUP(TRIM(MID(G915,FIND(" ",G915)+1,LEN(G915)-FIND(" ",G915)-5)),Справочники!$M$3:$N$14,2,0),VALUE(LEFT(G915,FIND(" ",G915)-1))))),"")</f>
        <v>53827</v>
      </c>
      <c r="M915" t="str">
        <f t="shared" si="272"/>
        <v xml:space="preserve">+7 (903) 012-34-56</v>
      </c>
      <c r="N915" t="str">
        <f t="shared" si="273"/>
        <v>sidorov@yandex</v>
      </c>
      <c r="O915" t="str">
        <f t="shared" si="274"/>
        <v xml:space="preserve">Ошибка Email</v>
      </c>
      <c r="P915" t="str">
        <f>IFERROR(VLOOKUP(TRIM(SUBSTITUTE(SUBSTITUTE(" "&amp;F915," г "," "),"г.","")),Справочники!$J$3:$K$102,2,0),TRIM(SUBSTITUTE(SUBSTITUTE(" "&amp;F915," г "," "),"г.","")))</f>
        <v>Тула</v>
      </c>
    </row>
    <row r="916">
      <c r="A916" s="3" t="s">
        <v>3800</v>
      </c>
      <c r="B916" s="3" t="s">
        <v>7619</v>
      </c>
      <c r="C916" s="3" t="s">
        <v>7620</v>
      </c>
      <c r="D916" s="3" t="s">
        <v>4034</v>
      </c>
      <c r="E916" s="3" t="s">
        <v>4876</v>
      </c>
      <c r="F916" s="3" t="s">
        <v>4225</v>
      </c>
      <c r="G916" s="3" t="s">
        <v>7621</v>
      </c>
      <c r="H916" t="str">
        <f t="shared" si="269"/>
        <v xml:space="preserve">Петрова Ольга Сергеевна</v>
      </c>
      <c r="I916" s="5">
        <f>IFERROR(IF(ISNUMBER(FIND("-",C916)),DATE(VALUE(LEFT(C916,4)),VALUE(MID(C916,6,2)),VALUE(RIGHT(C916,2))),IF(ISNUMBER(FIND(".",C916)),DATE(VALUE(RIGHT(C916,4)),VALUE(MID(C916,4,2)),VALUE(LEFT(C916,2))),DATE(VALUE(RIGHT(C916,4)),VLOOKUP(TRIM(MID(C916,FIND(" ",C916)+1,LEN(C916)-FIND(" ",C916)-5)),Справочники!$M$3:$N$14,2,0),VALUE(LEFT(C916,FIND(" ",C916)-1))))),"")</f>
        <v>26631</v>
      </c>
      <c r="J916" s="6">
        <f t="shared" si="270"/>
        <v>53</v>
      </c>
      <c r="K916" t="str">
        <f t="shared" si="271"/>
        <v>ОК</v>
      </c>
      <c r="L916" s="5">
        <f>IFERROR(IF(ISNUMBER(FIND("-",G916)),DATE(VALUE(LEFT(G916,4)),VALUE(MID(G916,6,2)),VALUE(RIGHT(G916,2))),IF(ISNUMBER(FIND(".",G916)),DATE(VALUE(RIGHT(G916,4)),VALUE(MID(G916,4,2)),VALUE(LEFT(G916,2))),DATE(VALUE(RIGHT(G916,4)),VLOOKUP(TRIM(MID(G916,FIND(" ",G916)+1,LEN(G916)-FIND(" ",G916)-5)),Справочники!$M$3:$N$14,2,0),VALUE(LEFT(G916,FIND(" ",G916)-1))))),"")</f>
        <v>53827</v>
      </c>
      <c r="M916" t="str">
        <f t="shared" si="272"/>
        <v xml:space="preserve">+7 (903) 123-45-67</v>
      </c>
      <c r="N916" t="str">
        <f t="shared" si="273"/>
        <v>petrova@gmail</v>
      </c>
      <c r="O916" t="str">
        <f t="shared" si="274"/>
        <v xml:space="preserve">Ошибка Email</v>
      </c>
      <c r="P916" t="str">
        <f>IFERROR(VLOOKUP(TRIM(SUBSTITUTE(SUBSTITUTE(" "&amp;F916," г "," "),"г.","")),Справочники!$J$3:$K$102,2,0),TRIM(SUBSTITUTE(SUBSTITUTE(" "&amp;F916," г "," "),"г.","")))</f>
        <v>Калуга</v>
      </c>
    </row>
    <row r="917">
      <c r="A917" s="3" t="s">
        <v>3802</v>
      </c>
      <c r="B917" s="3" t="s">
        <v>7622</v>
      </c>
      <c r="C917" s="3" t="s">
        <v>7623</v>
      </c>
      <c r="D917" s="3" t="s">
        <v>4040</v>
      </c>
      <c r="E917" s="3" t="s">
        <v>7624</v>
      </c>
      <c r="F917" s="3" t="s">
        <v>4230</v>
      </c>
      <c r="G917" s="3" t="s">
        <v>7625</v>
      </c>
      <c r="H917" t="str">
        <f t="shared" si="269"/>
        <v xml:space="preserve">Ларионов Андрей Олегович</v>
      </c>
      <c r="I917" s="5">
        <f>IFERROR(IF(ISNUMBER(FIND("-",C917)),DATE(VALUE(LEFT(C917,4)),VALUE(MID(C917,6,2)),VALUE(RIGHT(C917,2))),IF(ISNUMBER(FIND(".",C917)),DATE(VALUE(RIGHT(C917,4)),VALUE(MID(C917,4,2)),VALUE(LEFT(C917,2))),DATE(VALUE(RIGHT(C917,4)),VLOOKUP(TRIM(MID(C917,FIND(" ",C917)+1,LEN(C917)-FIND(" ",C917)-5)),Справочники!$M$3:$N$14,2,0),VALUE(LEFT(C917,FIND(" ",C917)-1))))),"")</f>
        <v>30458</v>
      </c>
      <c r="J917" s="6">
        <f t="shared" si="270"/>
        <v>43</v>
      </c>
      <c r="K917" t="str">
        <f t="shared" si="271"/>
        <v>ОК</v>
      </c>
      <c r="L917" s="5">
        <f>IFERROR(IF(ISNUMBER(FIND("-",G917)),DATE(VALUE(LEFT(G917,4)),VALUE(MID(G917,6,2)),VALUE(RIGHT(G917,2))),IF(ISNUMBER(FIND(".",G917)),DATE(VALUE(RIGHT(G917,4)),VALUE(MID(G917,4,2)),VALUE(LEFT(G917,2))),DATE(VALUE(RIGHT(G917,4)),VLOOKUP(TRIM(MID(G917,FIND(" ",G917)+1,LEN(G917)-FIND(" ",G917)-5)),Справочники!$M$3:$N$14,2,0),VALUE(LEFT(G917,FIND(" ",G917)-1))))),"")</f>
        <v>53844</v>
      </c>
      <c r="M917" t="str">
        <f t="shared" si="272"/>
        <v xml:space="preserve">+7 (903) 123-45-67</v>
      </c>
      <c r="N917" t="str">
        <f t="shared" si="273"/>
        <v>larionov@mail</v>
      </c>
      <c r="O917" t="str">
        <f t="shared" si="274"/>
        <v xml:space="preserve">Ошибка Email</v>
      </c>
      <c r="P917" t="str">
        <f>IFERROR(VLOOKUP(TRIM(SUBSTITUTE(SUBSTITUTE(" "&amp;F917," г "," "),"г.","")),Справочники!$J$3:$K$102,2,0),TRIM(SUBSTITUTE(SUBSTITUTE(" "&amp;F917," г "," "),"г.","")))</f>
        <v>Владикавказ</v>
      </c>
    </row>
    <row r="918">
      <c r="A918" s="3" t="s">
        <v>3804</v>
      </c>
      <c r="B918" s="3" t="s">
        <v>7626</v>
      </c>
      <c r="C918" s="3" t="s">
        <v>7627</v>
      </c>
      <c r="D918" s="3" t="s">
        <v>1570</v>
      </c>
      <c r="E918" s="3" t="s">
        <v>7628</v>
      </c>
      <c r="F918" s="3" t="s">
        <v>4235</v>
      </c>
      <c r="G918" s="3" t="s">
        <v>7629</v>
      </c>
      <c r="H918" t="str">
        <f t="shared" si="269"/>
        <v xml:space="preserve">Зубова Екатерина Владимировна</v>
      </c>
      <c r="I918" s="5">
        <f>IFERROR(IF(ISNUMBER(FIND("-",C918)),DATE(VALUE(LEFT(C918,4)),VALUE(MID(C918,6,2)),VALUE(RIGHT(C918,2))),IF(ISNUMBER(FIND(".",C918)),DATE(VALUE(RIGHT(C918,4)),VALUE(MID(C918,4,2)),VALUE(LEFT(C918,2))),DATE(VALUE(RIGHT(C918,4)),VLOOKUP(TRIM(MID(C918,FIND(" ",C918)+1,LEN(C918)-FIND(" ",C918)-5)),Справочники!$M$3:$N$14,2,0),VALUE(LEFT(C918,FIND(" ",C918)-1))))),"")</f>
        <v>33068</v>
      </c>
      <c r="J918" s="6">
        <f t="shared" si="270"/>
        <v>36</v>
      </c>
      <c r="K918" t="str">
        <f t="shared" si="271"/>
        <v>ОК</v>
      </c>
      <c r="L918" s="5">
        <f>IFERROR(IF(ISNUMBER(FIND("-",G918)),DATE(VALUE(LEFT(G918,4)),VALUE(MID(G918,6,2)),VALUE(RIGHT(G918,2))),IF(ISNUMBER(FIND(".",G918)),DATE(VALUE(RIGHT(G918,4)),VALUE(MID(G918,4,2)),VALUE(LEFT(G918,2))),DATE(VALUE(RIGHT(G918,4)),VLOOKUP(TRIM(MID(G918,FIND(" ",G918)+1,LEN(G918)-FIND(" ",G918)-5)),Справочники!$M$3:$N$14,2,0),VALUE(LEFT(G918,FIND(" ",G918)-1))))),"")</f>
        <v>53853</v>
      </c>
      <c r="M918" t="str">
        <f t="shared" si="272"/>
        <v xml:space="preserve">+7 (903) 123-45-67</v>
      </c>
      <c r="N918" t="str">
        <f t="shared" si="273"/>
        <v>zubova@yandex</v>
      </c>
      <c r="O918" t="str">
        <f t="shared" si="274"/>
        <v xml:space="preserve">Ошибка Email</v>
      </c>
      <c r="P918" t="str">
        <f>IFERROR(VLOOKUP(TRIM(SUBSTITUTE(SUBSTITUTE(" "&amp;F918," г "," "),"г.","")),Справочники!$J$3:$K$102,2,0),TRIM(SUBSTITUTE(SUBSTITUTE(" "&amp;F918," г "," "),"г.","")))</f>
        <v>Смоленск</v>
      </c>
    </row>
    <row r="919">
      <c r="A919" s="3" t="s">
        <v>3805</v>
      </c>
      <c r="B919" s="3" t="s">
        <v>7630</v>
      </c>
      <c r="C919" s="3" t="s">
        <v>7631</v>
      </c>
      <c r="D919" s="3" t="s">
        <v>4051</v>
      </c>
      <c r="E919" s="3" t="s">
        <v>7632</v>
      </c>
      <c r="F919" s="3" t="s">
        <v>4240</v>
      </c>
      <c r="G919" s="3" t="s">
        <v>7633</v>
      </c>
      <c r="H919" t="str">
        <f t="shared" si="269"/>
        <v xml:space="preserve">Киреев Денис Сергеевич</v>
      </c>
      <c r="I919" s="5">
        <f>IFERROR(IF(ISNUMBER(FIND("-",C919)),DATE(VALUE(LEFT(C919,4)),VALUE(MID(C919,6,2)),VALUE(RIGHT(C919,2))),IF(ISNUMBER(FIND(".",C919)),DATE(VALUE(RIGHT(C919,4)),VALUE(MID(C919,4,2)),VALUE(LEFT(C919,2))),DATE(VALUE(RIGHT(C919,4)),VLOOKUP(TRIM(MID(C919,FIND(" ",C919)+1,LEN(C919)-FIND(" ",C919)-5)),Справочники!$M$3:$N$14,2,0),VALUE(LEFT(C919,FIND(" ",C919)-1))))),"")</f>
        <v>27645</v>
      </c>
      <c r="J919" s="6">
        <f t="shared" si="270"/>
        <v>51</v>
      </c>
      <c r="K919" t="str">
        <f t="shared" si="271"/>
        <v>ОК</v>
      </c>
      <c r="L919" s="5">
        <f>IFERROR(IF(ISNUMBER(FIND("-",G919)),DATE(VALUE(LEFT(G919,4)),VALUE(MID(G919,6,2)),VALUE(RIGHT(G919,2))),IF(ISNUMBER(FIND(".",G919)),DATE(VALUE(RIGHT(G919,4)),VALUE(MID(G919,4,2)),VALUE(LEFT(G919,2))),DATE(VALUE(RIGHT(G919,4)),VLOOKUP(TRIM(MID(G919,FIND(" ",G919)+1,LEN(G919)-FIND(" ",G919)-5)),Справочники!$M$3:$N$14,2,0),VALUE(LEFT(G919,FIND(" ",G919)-1))))),"")</f>
        <v>53853</v>
      </c>
      <c r="M919" t="str">
        <f t="shared" si="272"/>
        <v xml:space="preserve">+7 (903) 234-56-78</v>
      </c>
      <c r="N919" t="str">
        <f t="shared" si="273"/>
        <v>kireev@gmail</v>
      </c>
      <c r="O919" t="str">
        <f t="shared" si="274"/>
        <v xml:space="preserve">Ошибка Email</v>
      </c>
      <c r="P919" t="str">
        <f>IFERROR(VLOOKUP(TRIM(SUBSTITUTE(SUBSTITUTE(" "&amp;F919," г "," "),"г.","")),Справочники!$J$3:$K$102,2,0),TRIM(SUBSTITUTE(SUBSTITUTE(" "&amp;F919," г "," "),"г.","")))</f>
        <v>Белгород</v>
      </c>
    </row>
    <row r="920">
      <c r="A920" s="3" t="s">
        <v>3807</v>
      </c>
      <c r="B920" s="3" t="s">
        <v>7634</v>
      </c>
      <c r="C920" s="3" t="s">
        <v>7635</v>
      </c>
      <c r="D920" s="3" t="s">
        <v>4057</v>
      </c>
      <c r="E920" s="3" t="s">
        <v>7636</v>
      </c>
      <c r="F920" s="3" t="s">
        <v>4245</v>
      </c>
      <c r="G920" s="3" t="s">
        <v>7637</v>
      </c>
      <c r="H920" t="str">
        <f t="shared" si="269"/>
        <v xml:space="preserve">Крупнова Мария Павловна</v>
      </c>
      <c r="I920" s="5">
        <f>IFERROR(IF(ISNUMBER(FIND("-",C920)),DATE(VALUE(LEFT(C920,4)),VALUE(MID(C920,6,2)),VALUE(RIGHT(C920,2))),IF(ISNUMBER(FIND(".",C920)),DATE(VALUE(RIGHT(C920,4)),VALUE(MID(C920,4,2)),VALUE(LEFT(C920,2))),DATE(VALUE(RIGHT(C920,4)),VLOOKUP(TRIM(MID(C920,FIND(" ",C920)+1,LEN(C920)-FIND(" ",C920)-5)),Справочники!$M$3:$N$14,2,0),VALUE(LEFT(C920,FIND(" ",C920)-1))))),"")</f>
        <v>29671</v>
      </c>
      <c r="J920" s="6">
        <f t="shared" si="270"/>
        <v>45</v>
      </c>
      <c r="K920" t="str">
        <f t="shared" si="271"/>
        <v>ОК</v>
      </c>
      <c r="L920" s="5">
        <f>IFERROR(IF(ISNUMBER(FIND("-",G920)),DATE(VALUE(LEFT(G920,4)),VALUE(MID(G920,6,2)),VALUE(RIGHT(G920,2))),IF(ISNUMBER(FIND(".",G920)),DATE(VALUE(RIGHT(G920,4)),VALUE(MID(G920,4,2)),VALUE(LEFT(G920,2))),DATE(VALUE(RIGHT(G920,4)),VLOOKUP(TRIM(MID(G920,FIND(" ",G920)+1,LEN(G920)-FIND(" ",G920)-5)),Справочники!$M$3:$N$14,2,0),VALUE(LEFT(G920,FIND(" ",G920)-1))))),"")</f>
        <v>53874</v>
      </c>
      <c r="M920" t="str">
        <f t="shared" si="272"/>
        <v xml:space="preserve">+7 (903) 234-56-78</v>
      </c>
      <c r="N920" t="str">
        <f t="shared" si="273"/>
        <v>krupnova@mail</v>
      </c>
      <c r="O920" t="str">
        <f t="shared" si="274"/>
        <v xml:space="preserve">Ошибка Email</v>
      </c>
      <c r="P920" t="str">
        <f>IFERROR(VLOOKUP(TRIM(SUBSTITUTE(SUBSTITUTE(" "&amp;F920," г "," "),"г.","")),Справочники!$J$3:$K$102,2,0),TRIM(SUBSTITUTE(SUBSTITUTE(" "&amp;F920," г "," "),"г.","")))</f>
        <v>Мурманск</v>
      </c>
    </row>
    <row r="921">
      <c r="A921" s="3" t="s">
        <v>3808</v>
      </c>
      <c r="B921" s="3" t="s">
        <v>7638</v>
      </c>
      <c r="C921" s="3" t="s">
        <v>7639</v>
      </c>
      <c r="D921" s="3" t="s">
        <v>1712</v>
      </c>
      <c r="E921" s="3" t="s">
        <v>7640</v>
      </c>
      <c r="F921" s="3" t="s">
        <v>4250</v>
      </c>
      <c r="G921" s="3" t="s">
        <v>7641</v>
      </c>
      <c r="H921" t="str">
        <f t="shared" si="269"/>
        <v xml:space="preserve">Масленников Илья Александрович</v>
      </c>
      <c r="I921" s="5">
        <f>IFERROR(IF(ISNUMBER(FIND("-",C921)),DATE(VALUE(LEFT(C921,4)),VALUE(MID(C921,6,2)),VALUE(RIGHT(C921,2))),IF(ISNUMBER(FIND(".",C921)),DATE(VALUE(RIGHT(C921,4)),VALUE(MID(C921,4,2)),VALUE(LEFT(C921,2))),DATE(VALUE(RIGHT(C921,4)),VLOOKUP(TRIM(MID(C921,FIND(" ",C921)+1,LEN(C921)-FIND(" ",C921)-5)),Справочники!$M$3:$N$14,2,0),VALUE(LEFT(C921,FIND(" ",C921)-1))))),"")</f>
        <v>31715</v>
      </c>
      <c r="J921" s="6">
        <f t="shared" si="270"/>
        <v>39</v>
      </c>
      <c r="K921" t="str">
        <f t="shared" si="271"/>
        <v>ОК</v>
      </c>
      <c r="L921" s="5">
        <f>IFERROR(IF(ISNUMBER(FIND("-",G921)),DATE(VALUE(LEFT(G921,4)),VALUE(MID(G921,6,2)),VALUE(RIGHT(G921,2))),IF(ISNUMBER(FIND(".",G921)),DATE(VALUE(RIGHT(G921,4)),VALUE(MID(G921,4,2)),VALUE(LEFT(G921,2))),DATE(VALUE(RIGHT(G921,4)),VLOOKUP(TRIM(MID(G921,FIND(" ",G921)+1,LEN(G921)-FIND(" ",G921)-5)),Справочники!$M$3:$N$14,2,0),VALUE(LEFT(G921,FIND(" ",G921)-1))))),"")</f>
        <v>53888</v>
      </c>
      <c r="M921" t="str">
        <f t="shared" si="272"/>
        <v xml:space="preserve">+7 (903) 234-56-78</v>
      </c>
      <c r="N921" t="str">
        <f t="shared" si="273"/>
        <v>maslennikov@yandex</v>
      </c>
      <c r="O921" t="str">
        <f t="shared" si="274"/>
        <v xml:space="preserve">Ошибка Email</v>
      </c>
      <c r="P921" t="str">
        <f>IFERROR(VLOOKUP(TRIM(SUBSTITUTE(SUBSTITUTE(" "&amp;F921," г "," "),"г.","")),Справочники!$J$3:$K$102,2,0),TRIM(SUBSTITUTE(SUBSTITUTE(" "&amp;F921," г "," "),"г.","")))</f>
        <v>Ставрополь</v>
      </c>
    </row>
    <row r="922">
      <c r="A922" s="3" t="s">
        <v>3810</v>
      </c>
      <c r="B922" s="3" t="s">
        <v>7642</v>
      </c>
      <c r="C922" s="3" t="s">
        <v>7643</v>
      </c>
      <c r="D922" s="3" t="s">
        <v>1584</v>
      </c>
      <c r="E922" s="3" t="s">
        <v>5360</v>
      </c>
      <c r="F922" s="3" t="s">
        <v>4255</v>
      </c>
      <c r="G922" s="3" t="s">
        <v>7644</v>
      </c>
      <c r="H922" t="str">
        <f t="shared" si="269"/>
        <v xml:space="preserve">Широкова Ольга Сергеевна</v>
      </c>
      <c r="I922" s="5">
        <f>IFERROR(IF(ISNUMBER(FIND("-",C922)),DATE(VALUE(LEFT(C922,4)),VALUE(MID(C922,6,2)),VALUE(RIGHT(C922,2))),IF(ISNUMBER(FIND(".",C922)),DATE(VALUE(RIGHT(C922,4)),VALUE(MID(C922,4,2)),VALUE(LEFT(C922,2))),DATE(VALUE(RIGHT(C922,4)),VLOOKUP(TRIM(MID(C922,FIND(" ",C922)+1,LEN(C922)-FIND(" ",C922)-5)),Справочники!$M$3:$N$14,2,0),VALUE(LEFT(C922,FIND(" ",C922)-1))))),"")</f>
        <v>33589</v>
      </c>
      <c r="J922" s="6">
        <f t="shared" si="270"/>
        <v>34</v>
      </c>
      <c r="K922" t="str">
        <f t="shared" si="271"/>
        <v>ОК</v>
      </c>
      <c r="L922" s="5">
        <f>IFERROR(IF(ISNUMBER(FIND("-",G922)),DATE(VALUE(LEFT(G922,4)),VALUE(MID(G922,6,2)),VALUE(RIGHT(G922,2))),IF(ISNUMBER(FIND(".",G922)),DATE(VALUE(RIGHT(G922,4)),VALUE(MID(G922,4,2)),VALUE(LEFT(G922,2))),DATE(VALUE(RIGHT(G922,4)),VLOOKUP(TRIM(MID(G922,FIND(" ",G922)+1,LEN(G922)-FIND(" ",G922)-5)),Справочники!$M$3:$N$14,2,0),VALUE(LEFT(G922,FIND(" ",G922)-1))))),"")</f>
        <v>53888</v>
      </c>
      <c r="M922" t="str">
        <f t="shared" si="272"/>
        <v xml:space="preserve">+7 (903) 345-67-89</v>
      </c>
      <c r="N922" t="str">
        <f t="shared" si="273"/>
        <v>shirokova@gmail</v>
      </c>
      <c r="O922" t="str">
        <f t="shared" si="274"/>
        <v xml:space="preserve">Ошибка Email</v>
      </c>
      <c r="P922" t="str">
        <f>IFERROR(VLOOKUP(TRIM(SUBSTITUTE(SUBSTITUTE(" "&amp;F922," г "," "),"г.","")),Справочники!$J$3:$K$102,2,0),TRIM(SUBSTITUTE(SUBSTITUTE(" "&amp;F922," г "," "),"г.","")))</f>
        <v>Севастополь</v>
      </c>
    </row>
    <row r="923">
      <c r="A923" s="3" t="s">
        <v>3812</v>
      </c>
      <c r="B923" s="3" t="s">
        <v>7645</v>
      </c>
      <c r="C923" s="3" t="s">
        <v>7646</v>
      </c>
      <c r="D923" s="3" t="s">
        <v>4073</v>
      </c>
      <c r="E923" s="3" t="s">
        <v>7647</v>
      </c>
      <c r="F923" s="3" t="s">
        <v>4260</v>
      </c>
      <c r="G923" s="3" t="s">
        <v>7648</v>
      </c>
      <c r="H923" t="str">
        <f t="shared" si="269"/>
        <v xml:space="preserve">Рубцов Андрей Олегович</v>
      </c>
      <c r="I923" s="5">
        <f>IFERROR(IF(ISNUMBER(FIND("-",C923)),DATE(VALUE(LEFT(C923,4)),VALUE(MID(C923,6,2)),VALUE(RIGHT(C923,2))),IF(ISNUMBER(FIND(".",C923)),DATE(VALUE(RIGHT(C923,4)),VALUE(MID(C923,4,2)),VALUE(LEFT(C923,2))),DATE(VALUE(RIGHT(C923,4)),VLOOKUP(TRIM(MID(C923,FIND(" ",C923)+1,LEN(C923)-FIND(" ",C923)-5)),Справочники!$M$3:$N$14,2,0),VALUE(LEFT(C923,FIND(" ",C923)-1))))),"")</f>
        <v>27983</v>
      </c>
      <c r="J923" s="6">
        <f t="shared" si="270"/>
        <v>50</v>
      </c>
      <c r="K923" t="str">
        <f t="shared" si="271"/>
        <v>ОК</v>
      </c>
      <c r="L923" s="5">
        <f>IFERROR(IF(ISNUMBER(FIND("-",G923)),DATE(VALUE(LEFT(G923,4)),VALUE(MID(G923,6,2)),VALUE(RIGHT(G923,2))),IF(ISNUMBER(FIND(".",G923)),DATE(VALUE(RIGHT(G923,4)),VALUE(MID(G923,4,2)),VALUE(LEFT(G923,2))),DATE(VALUE(RIGHT(G923,4)),VLOOKUP(TRIM(MID(G923,FIND(" ",G923)+1,LEN(G923)-FIND(" ",G923)-5)),Справочники!$M$3:$N$14,2,0),VALUE(LEFT(G923,FIND(" ",G923)-1))))),"")</f>
        <v>53905</v>
      </c>
      <c r="M923" t="str">
        <f t="shared" si="272"/>
        <v xml:space="preserve">+7 (903) 345-67-89</v>
      </c>
      <c r="N923" t="str">
        <f t="shared" si="273"/>
        <v>rubtsov@mail</v>
      </c>
      <c r="O923" t="str">
        <f t="shared" si="274"/>
        <v xml:space="preserve">Ошибка Email</v>
      </c>
      <c r="P923" t="str">
        <f>IFERROR(VLOOKUP(TRIM(SUBSTITUTE(SUBSTITUTE(" "&amp;F923," г "," "),"г.","")),Справочники!$J$3:$K$102,2,0),TRIM(SUBSTITUTE(SUBSTITUTE(" "&amp;F923," г "," "),"г.","")))</f>
        <v>Сочи</v>
      </c>
    </row>
    <row r="924">
      <c r="A924" s="3" t="s">
        <v>3814</v>
      </c>
      <c r="B924" s="3" t="s">
        <v>7649</v>
      </c>
      <c r="C924" s="3" t="s">
        <v>7650</v>
      </c>
      <c r="D924" s="3" t="s">
        <v>4079</v>
      </c>
      <c r="E924" s="3" t="s">
        <v>7651</v>
      </c>
      <c r="F924" s="3" t="s">
        <v>4265</v>
      </c>
      <c r="G924" s="3" t="s">
        <v>7652</v>
      </c>
      <c r="H924" t="str">
        <f t="shared" si="269"/>
        <v xml:space="preserve">Ковалева Екатерина Владимировна</v>
      </c>
      <c r="I924" s="5">
        <f>IFERROR(IF(ISNUMBER(FIND("-",C924)),DATE(VALUE(LEFT(C924,4)),VALUE(MID(C924,6,2)),VALUE(RIGHT(C924,2))),IF(ISNUMBER(FIND(".",C924)),DATE(VALUE(RIGHT(C924,4)),VALUE(MID(C924,4,2)),VALUE(LEFT(C924,2))),DATE(VALUE(RIGHT(C924,4)),VLOOKUP(TRIM(MID(C924,FIND(" ",C924)+1,LEN(C924)-FIND(" ",C924)-5)),Справочники!$M$3:$N$14,2,0),VALUE(LEFT(C924,FIND(" ",C924)-1))))),"")</f>
        <v>30835</v>
      </c>
      <c r="J924" s="6">
        <f t="shared" si="270"/>
        <v>42</v>
      </c>
      <c r="K924" t="str">
        <f t="shared" si="271"/>
        <v>ОК</v>
      </c>
      <c r="L924" s="5">
        <f>IFERROR(IF(ISNUMBER(FIND("-",G924)),DATE(VALUE(LEFT(G924,4)),VALUE(MID(G924,6,2)),VALUE(RIGHT(G924,2))),IF(ISNUMBER(FIND(".",G924)),DATE(VALUE(RIGHT(G924,4)),VALUE(MID(G924,4,2)),VALUE(LEFT(G924,2))),DATE(VALUE(RIGHT(G924,4)),VLOOKUP(TRIM(MID(G924,FIND(" ",G924)+1,LEN(G924)-FIND(" ",G924)-5)),Справочники!$M$3:$N$14,2,0),VALUE(LEFT(G924,FIND(" ",G924)-1))))),"")</f>
        <v>53914</v>
      </c>
      <c r="M924" t="str">
        <f t="shared" si="272"/>
        <v xml:space="preserve">+7 (903) 345-67-89</v>
      </c>
      <c r="N924" t="str">
        <f t="shared" si="273"/>
        <v>kovaleva@yandex</v>
      </c>
      <c r="O924" t="str">
        <f t="shared" si="274"/>
        <v xml:space="preserve">Ошибка Email</v>
      </c>
      <c r="P924" t="str">
        <f>IFERROR(VLOOKUP(TRIM(SUBSTITUTE(SUBSTITUTE(" "&amp;F924," г "," "),"г.","")),Справочники!$J$3:$K$102,2,0),TRIM(SUBSTITUTE(SUBSTITUTE(" "&amp;F924," г "," "),"г.","")))</f>
        <v>Симферополь</v>
      </c>
    </row>
    <row r="925">
      <c r="A925" s="3" t="s">
        <v>3816</v>
      </c>
      <c r="B925" s="3" t="s">
        <v>7653</v>
      </c>
      <c r="C925" s="3" t="s">
        <v>7654</v>
      </c>
      <c r="D925" s="3" t="s">
        <v>4085</v>
      </c>
      <c r="E925" s="3" t="s">
        <v>7655</v>
      </c>
      <c r="F925" s="3" t="s">
        <v>4270</v>
      </c>
      <c r="G925" s="3" t="s">
        <v>7656</v>
      </c>
      <c r="H925" t="str">
        <f t="shared" si="269"/>
        <v xml:space="preserve">Чижиков Илья Александрович</v>
      </c>
      <c r="I925" s="5">
        <f>IFERROR(IF(ISNUMBER(FIND("-",C925)),DATE(VALUE(LEFT(C925,4)),VALUE(MID(C925,6,2)),VALUE(RIGHT(C925,2))),IF(ISNUMBER(FIND(".",C925)),DATE(VALUE(RIGHT(C925,4)),VALUE(MID(C925,4,2)),VALUE(LEFT(C925,2))),DATE(VALUE(RIGHT(C925,4)),VLOOKUP(TRIM(MID(C925,FIND(" ",C925)+1,LEN(C925)-FIND(" ",C925)-5)),Справочники!$M$3:$N$14,2,0),VALUE(LEFT(C925,FIND(" ",C925)-1))))),"")</f>
        <v>32466</v>
      </c>
      <c r="J925" s="6">
        <f t="shared" si="270"/>
        <v>37</v>
      </c>
      <c r="K925" t="str">
        <f t="shared" si="271"/>
        <v>ОК</v>
      </c>
      <c r="L925" s="5">
        <f>IFERROR(IF(ISNUMBER(FIND("-",G925)),DATE(VALUE(LEFT(G925,4)),VALUE(MID(G925,6,2)),VALUE(RIGHT(G925,2))),IF(ISNUMBER(FIND(".",G925)),DATE(VALUE(RIGHT(G925,4)),VALUE(MID(G925,4,2)),VALUE(LEFT(G925,2))),DATE(VALUE(RIGHT(G925,4)),VLOOKUP(TRIM(MID(G925,FIND(" ",G925)+1,LEN(G925)-FIND(" ",G925)-5)),Справочники!$M$3:$N$14,2,0),VALUE(LEFT(G925,FIND(" ",G925)-1))))),"")</f>
        <v>53914</v>
      </c>
      <c r="M925" t="str">
        <f t="shared" si="272"/>
        <v xml:space="preserve">+7 (903) 456-78-90</v>
      </c>
      <c r="N925" t="str">
        <f t="shared" si="273"/>
        <v>chizhikov@gmail</v>
      </c>
      <c r="O925" t="str">
        <f t="shared" si="274"/>
        <v xml:space="preserve">Ошибка Email</v>
      </c>
      <c r="P925" t="str">
        <f>IFERROR(VLOOKUP(TRIM(SUBSTITUTE(SUBSTITUTE(" "&amp;F925," г "," "),"г.","")),Справочники!$J$3:$K$102,2,0),TRIM(SUBSTITUTE(SUBSTITUTE(" "&amp;F925," г "," "),"г.","")))</f>
        <v>Брянск</v>
      </c>
    </row>
    <row r="926">
      <c r="A926" s="3" t="s">
        <v>3819</v>
      </c>
      <c r="B926" s="3" t="s">
        <v>7657</v>
      </c>
      <c r="C926" s="3" t="s">
        <v>6222</v>
      </c>
      <c r="D926" s="3" t="s">
        <v>1591</v>
      </c>
      <c r="E926" s="3" t="s">
        <v>7658</v>
      </c>
      <c r="F926" s="3" t="s">
        <v>4275</v>
      </c>
      <c r="G926" s="3" t="s">
        <v>7659</v>
      </c>
      <c r="H926" t="str">
        <f t="shared" si="269"/>
        <v xml:space="preserve">Борзова Мария Павловна</v>
      </c>
      <c r="I926" s="5">
        <f>IFERROR(IF(ISNUMBER(FIND("-",C926)),DATE(VALUE(LEFT(C926,4)),VALUE(MID(C926,6,2)),VALUE(RIGHT(C926,2))),IF(ISNUMBER(FIND(".",C926)),DATE(VALUE(RIGHT(C926,4)),VALUE(MID(C926,4,2)),VALUE(LEFT(C926,2))),DATE(VALUE(RIGHT(C926,4)),VLOOKUP(TRIM(MID(C926,FIND(" ",C926)+1,LEN(C926)-FIND(" ",C926)-5)),Справочники!$M$3:$N$14,2,0),VALUE(LEFT(C926,FIND(" ",C926)-1))))),"")</f>
        <v>27315</v>
      </c>
      <c r="J926" s="6">
        <f t="shared" si="270"/>
        <v>52</v>
      </c>
      <c r="K926" t="str">
        <f t="shared" si="271"/>
        <v>ОК</v>
      </c>
      <c r="L926" s="5">
        <f>IFERROR(IF(ISNUMBER(FIND("-",G926)),DATE(VALUE(LEFT(G926,4)),VALUE(MID(G926,6,2)),VALUE(RIGHT(G926,2))),IF(ISNUMBER(FIND(".",G926)),DATE(VALUE(RIGHT(G926,4)),VALUE(MID(G926,4,2)),VALUE(LEFT(G926,2))),DATE(VALUE(RIGHT(G926,4)),VLOOKUP(TRIM(MID(G926,FIND(" ",G926)+1,LEN(G926)-FIND(" ",G926)-5)),Справочники!$M$3:$N$14,2,0),VALUE(LEFT(G926,FIND(" ",G926)-1))))),"")</f>
        <v>53936</v>
      </c>
      <c r="M926" t="str">
        <f t="shared" si="272"/>
        <v xml:space="preserve">+7 (903) 456-78-90</v>
      </c>
      <c r="N926" t="str">
        <f t="shared" si="273"/>
        <v>borzova@mail</v>
      </c>
      <c r="O926" t="str">
        <f t="shared" si="274"/>
        <v xml:space="preserve">Ошибка Email</v>
      </c>
      <c r="P926" t="str">
        <f>IFERROR(VLOOKUP(TRIM(SUBSTITUTE(SUBSTITUTE(" "&amp;F926," г "," "),"г.","")),Справочники!$J$3:$K$102,2,0),TRIM(SUBSTITUTE(SUBSTITUTE(" "&amp;F926," г "," "),"г.","")))</f>
        <v>Абакан</v>
      </c>
    </row>
    <row r="927">
      <c r="A927" s="3" t="s">
        <v>3820</v>
      </c>
      <c r="B927" s="3" t="s">
        <v>7660</v>
      </c>
      <c r="C927" s="3" t="s">
        <v>7661</v>
      </c>
      <c r="D927" s="3" t="s">
        <v>1660</v>
      </c>
      <c r="E927" s="3" t="s">
        <v>7662</v>
      </c>
      <c r="F927" s="3" t="s">
        <v>4280</v>
      </c>
      <c r="G927" s="3" t="s">
        <v>7663</v>
      </c>
      <c r="H927" t="str">
        <f t="shared" si="269"/>
        <v xml:space="preserve">Трофимов Денис Викторович</v>
      </c>
      <c r="I927" s="5">
        <f>IFERROR(IF(ISNUMBER(FIND("-",C927)),DATE(VALUE(LEFT(C927,4)),VALUE(MID(C927,6,2)),VALUE(RIGHT(C927,2))),IF(ISNUMBER(FIND(".",C927)),DATE(VALUE(RIGHT(C927,4)),VALUE(MID(C927,4,2)),VALUE(LEFT(C927,2))),DATE(VALUE(RIGHT(C927,4)),VLOOKUP(TRIM(MID(C927,FIND(" ",C927)+1,LEN(C927)-FIND(" ",C927)-5)),Справочники!$M$3:$N$14,2,0),VALUE(LEFT(C927,FIND(" ",C927)-1))))),"")</f>
        <v>31133</v>
      </c>
      <c r="J927" s="6">
        <f t="shared" si="270"/>
        <v>41</v>
      </c>
      <c r="K927" t="str">
        <f t="shared" si="271"/>
        <v>ОК</v>
      </c>
      <c r="L927" s="5">
        <f>IFERROR(IF(ISNUMBER(FIND("-",G927)),DATE(VALUE(LEFT(G927,4)),VALUE(MID(G927,6,2)),VALUE(RIGHT(G927,2))),IF(ISNUMBER(FIND(".",G927)),DATE(VALUE(RIGHT(G927,4)),VALUE(MID(G927,4,2)),VALUE(LEFT(G927,2))),DATE(VALUE(RIGHT(G927,4)),VLOOKUP(TRIM(MID(G927,FIND(" ",G927)+1,LEN(G927)-FIND(" ",G927)-5)),Справочники!$M$3:$N$14,2,0),VALUE(LEFT(G927,FIND(" ",G927)-1))))),"")</f>
        <v>53950</v>
      </c>
      <c r="M927" t="str">
        <f t="shared" si="272"/>
        <v xml:space="preserve">+7 (903) 456-78-90</v>
      </c>
      <c r="N927" t="str">
        <f t="shared" si="273"/>
        <v>trofimov@yandex</v>
      </c>
      <c r="O927" t="str">
        <f t="shared" si="274"/>
        <v xml:space="preserve">Ошибка Email</v>
      </c>
      <c r="P927" t="str">
        <f>IFERROR(VLOOKUP(TRIM(SUBSTITUTE(SUBSTITUTE(" "&amp;F927," г "," "),"г.","")),Справочники!$J$3:$K$102,2,0),TRIM(SUBSTITUTE(SUBSTITUTE(" "&amp;F927," г "," "),"г.","")))</f>
        <v>Грозный</v>
      </c>
    </row>
    <row r="928">
      <c r="A928" s="3" t="s">
        <v>3822</v>
      </c>
      <c r="B928" s="3" t="s">
        <v>7664</v>
      </c>
      <c r="C928" s="3" t="s">
        <v>7665</v>
      </c>
      <c r="D928" s="3" t="s">
        <v>3984</v>
      </c>
      <c r="E928" s="3" t="s">
        <v>7666</v>
      </c>
      <c r="F928" s="3" t="s">
        <v>4285</v>
      </c>
      <c r="G928" s="3" t="s">
        <v>7667</v>
      </c>
      <c r="H928" t="str">
        <f t="shared" si="269"/>
        <v xml:space="preserve">Кузьмичева Ольга Сергеевна</v>
      </c>
      <c r="I928" s="5">
        <f>IFERROR(IF(ISNUMBER(FIND("-",C928)),DATE(VALUE(LEFT(C928,4)),VALUE(MID(C928,6,2)),VALUE(RIGHT(C928,2))),IF(ISNUMBER(FIND(".",C928)),DATE(VALUE(RIGHT(C928,4)),VALUE(MID(C928,4,2)),VALUE(LEFT(C928,2))),DATE(VALUE(RIGHT(C928,4)),VLOOKUP(TRIM(MID(C928,FIND(" ",C928)+1,LEN(C928)-FIND(" ",C928)-5)),Справочники!$M$3:$N$14,2,0),VALUE(LEFT(C928,FIND(" ",C928)-1))))),"")</f>
        <v>33790</v>
      </c>
      <c r="J928" s="6">
        <f t="shared" si="270"/>
        <v>34</v>
      </c>
      <c r="K928" t="str">
        <f t="shared" si="271"/>
        <v>ОК</v>
      </c>
      <c r="L928" s="5">
        <f>IFERROR(IF(ISNUMBER(FIND("-",G928)),DATE(VALUE(LEFT(G928,4)),VALUE(MID(G928,6,2)),VALUE(RIGHT(G928,2))),IF(ISNUMBER(FIND(".",G928)),DATE(VALUE(RIGHT(G928,4)),VALUE(MID(G928,4,2)),VALUE(LEFT(G928,2))),DATE(VALUE(RIGHT(G928,4)),VLOOKUP(TRIM(MID(G928,FIND(" ",G928)+1,LEN(G928)-FIND(" ",G928)-5)),Справочники!$M$3:$N$14,2,0),VALUE(LEFT(G928,FIND(" ",G928)-1))))),"")</f>
        <v>53950</v>
      </c>
      <c r="M928" t="str">
        <f t="shared" si="272"/>
        <v xml:space="preserve">+7 (903) 567-89-01</v>
      </c>
      <c r="N928" t="str">
        <f t="shared" si="273"/>
        <v>kuzmicheva@gmail</v>
      </c>
      <c r="O928" t="str">
        <f t="shared" si="274"/>
        <v xml:space="preserve">Ошибка Email</v>
      </c>
      <c r="P928" t="str">
        <f>IFERROR(VLOOKUP(TRIM(SUBSTITUTE(SUBSTITUTE(" "&amp;F928," г "," "),"г.","")),Справочники!$J$3:$K$102,2,0),TRIM(SUBSTITUTE(SUBSTITUTE(" "&amp;F928," г "," "),"г.","")))</f>
        <v>Бийск</v>
      </c>
    </row>
    <row r="929">
      <c r="A929" s="3" t="s">
        <v>3824</v>
      </c>
      <c r="B929" s="3" t="s">
        <v>7668</v>
      </c>
      <c r="C929" s="3" t="s">
        <v>7669</v>
      </c>
      <c r="D929" s="3" t="s">
        <v>3990</v>
      </c>
      <c r="E929" s="3" t="s">
        <v>7670</v>
      </c>
      <c r="F929" s="3" t="s">
        <v>4290</v>
      </c>
      <c r="G929" s="3" t="s">
        <v>7671</v>
      </c>
      <c r="H929" t="str">
        <f t="shared" si="269"/>
        <v xml:space="preserve">Голованов Андрей Олегович</v>
      </c>
      <c r="I929" s="5">
        <f>IFERROR(IF(ISNUMBER(FIND("-",C929)),DATE(VALUE(LEFT(C929,4)),VALUE(MID(C929,6,2)),VALUE(RIGHT(C929,2))),IF(ISNUMBER(FIND(".",C929)),DATE(VALUE(RIGHT(C929,4)),VALUE(MID(C929,4,2)),VALUE(LEFT(C929,2))),DATE(VALUE(RIGHT(C929,4)),VLOOKUP(TRIM(MID(C929,FIND(" ",C929)+1,LEN(C929)-FIND(" ",C929)-5)),Справочники!$M$3:$N$14,2,0),VALUE(LEFT(C929,FIND(" ",C929)-1))))),"")</f>
        <v>26719</v>
      </c>
      <c r="J929" s="6">
        <f t="shared" si="270"/>
        <v>53</v>
      </c>
      <c r="K929" t="str">
        <f t="shared" si="271"/>
        <v>ОК</v>
      </c>
      <c r="L929" s="5">
        <f>IFERROR(IF(ISNUMBER(FIND("-",G929)),DATE(VALUE(LEFT(G929,4)),VALUE(MID(G929,6,2)),VALUE(RIGHT(G929,2))),IF(ISNUMBER(FIND(".",G929)),DATE(VALUE(RIGHT(G929,4)),VALUE(MID(G929,4,2)),VALUE(LEFT(G929,2))),DATE(VALUE(RIGHT(G929,4)),VLOOKUP(TRIM(MID(G929,FIND(" ",G929)+1,LEN(G929)-FIND(" ",G929)-5)),Справочники!$M$3:$N$14,2,0),VALUE(LEFT(G929,FIND(" ",G929)-1))))),"")</f>
        <v>53966</v>
      </c>
      <c r="M929" t="str">
        <f t="shared" si="272"/>
        <v xml:space="preserve">+7 (903) 567-89-01</v>
      </c>
      <c r="N929" t="str">
        <f t="shared" si="273"/>
        <v>golovanov@mail</v>
      </c>
      <c r="O929" t="str">
        <f t="shared" si="274"/>
        <v xml:space="preserve">Ошибка Email</v>
      </c>
      <c r="P929" t="str">
        <f>IFERROR(VLOOKUP(TRIM(SUBSTITUTE(SUBSTITUTE(" "&amp;F929," г "," "),"г.","")),Справочники!$J$3:$K$102,2,0),TRIM(SUBSTITUTE(SUBSTITUTE(" "&amp;F929," г "," "),"г.","")))</f>
        <v>Йошкар-Ола</v>
      </c>
    </row>
    <row r="930">
      <c r="A930" s="3" t="s">
        <v>3826</v>
      </c>
      <c r="B930" s="3" t="s">
        <v>7672</v>
      </c>
      <c r="C930" s="3" t="s">
        <v>7673</v>
      </c>
      <c r="D930" s="3" t="s">
        <v>1598</v>
      </c>
      <c r="E930" s="3" t="s">
        <v>7674</v>
      </c>
      <c r="F930" s="3" t="s">
        <v>4295</v>
      </c>
      <c r="G930" s="3" t="s">
        <v>7675</v>
      </c>
      <c r="H930" t="str">
        <f t="shared" si="269"/>
        <v xml:space="preserve">Гущин Илья Александрович</v>
      </c>
      <c r="I930" s="5">
        <f>IFERROR(IF(ISNUMBER(FIND("-",C930)),DATE(VALUE(LEFT(C930,4)),VALUE(MID(C930,6,2)),VALUE(RIGHT(C930,2))),IF(ISNUMBER(FIND(".",C930)),DATE(VALUE(RIGHT(C930,4)),VALUE(MID(C930,4,2)),VALUE(LEFT(C930,2))),DATE(VALUE(RIGHT(C930,4)),VLOOKUP(TRIM(MID(C930,FIND(" ",C930)+1,LEN(C930)-FIND(" ",C930)-5)),Справочники!$M$3:$N$14,2,0),VALUE(LEFT(C930,FIND(" ",C930)-1))))),"")</f>
        <v>29935</v>
      </c>
      <c r="J930" s="6">
        <f t="shared" si="270"/>
        <v>44</v>
      </c>
      <c r="K930" t="str">
        <f t="shared" si="271"/>
        <v>ОК</v>
      </c>
      <c r="L930" s="5">
        <f>IFERROR(IF(ISNUMBER(FIND("-",G930)),DATE(VALUE(LEFT(G930,4)),VALUE(MID(G930,6,2)),VALUE(RIGHT(G930,2))),IF(ISNUMBER(FIND(".",G930)),DATE(VALUE(RIGHT(G930,4)),VALUE(MID(G930,4,2)),VALUE(LEFT(G930,2))),DATE(VALUE(RIGHT(G930,4)),VLOOKUP(TRIM(MID(G930,FIND(" ",G930)+1,LEN(G930)-FIND(" ",G930)-5)),Справочники!$M$3:$N$14,2,0),VALUE(LEFT(G930,FIND(" ",G930)-1))))),"")</f>
        <v>53975</v>
      </c>
      <c r="M930" t="str">
        <f t="shared" si="272"/>
        <v xml:space="preserve">+7 (903) 567-89-01</v>
      </c>
      <c r="N930" t="str">
        <f t="shared" si="273"/>
        <v>guschin@yandex</v>
      </c>
      <c r="O930" t="str">
        <f t="shared" si="274"/>
        <v xml:space="preserve">Ошибка Email</v>
      </c>
      <c r="P930" t="str">
        <f>IFERROR(VLOOKUP(TRIM(SUBSTITUTE(SUBSTITUTE(" "&amp;F930," г "," "),"г.","")),Справочники!$J$3:$K$102,2,0),TRIM(SUBSTITUTE(SUBSTITUTE(" "&amp;F930," г "," "),"г.","")))</f>
        <v>Курган</v>
      </c>
    </row>
    <row r="931">
      <c r="A931" s="3" t="s">
        <v>3828</v>
      </c>
      <c r="B931" s="3" t="s">
        <v>7676</v>
      </c>
      <c r="C931" s="3" t="s">
        <v>7677</v>
      </c>
      <c r="D931" s="3" t="s">
        <v>4116</v>
      </c>
      <c r="E931" s="3" t="s">
        <v>7678</v>
      </c>
      <c r="F931" s="3" t="s">
        <v>4300</v>
      </c>
      <c r="G931" s="3" t="s">
        <v>7679</v>
      </c>
      <c r="H931" t="str">
        <f t="shared" si="269"/>
        <v xml:space="preserve">Кашкаева Екатерина Владимировна</v>
      </c>
      <c r="I931" s="5">
        <f>IFERROR(IF(ISNUMBER(FIND("-",C931)),DATE(VALUE(LEFT(C931,4)),VALUE(MID(C931,6,2)),VALUE(RIGHT(C931,2))),IF(ISNUMBER(FIND(".",C931)),DATE(VALUE(RIGHT(C931,4)),VALUE(MID(C931,4,2)),VALUE(LEFT(C931,2))),DATE(VALUE(RIGHT(C931,4)),VLOOKUP(TRIM(MID(C931,FIND(" ",C931)+1,LEN(C931)-FIND(" ",C931)-5)),Справочники!$M$3:$N$14,2,0),VALUE(LEFT(C931,FIND(" ",C931)-1))))),"")</f>
        <v>32010</v>
      </c>
      <c r="J931" s="6">
        <f t="shared" si="270"/>
        <v>39</v>
      </c>
      <c r="K931" t="str">
        <f t="shared" si="271"/>
        <v>ОК</v>
      </c>
      <c r="L931" s="5">
        <f>IFERROR(IF(ISNUMBER(FIND("-",G931)),DATE(VALUE(LEFT(G931,4)),VALUE(MID(G931,6,2)),VALUE(RIGHT(G931,2))),IF(ISNUMBER(FIND(".",G931)),DATE(VALUE(RIGHT(G931,4)),VALUE(MID(G931,4,2)),VALUE(LEFT(G931,2))),DATE(VALUE(RIGHT(G931,4)),VLOOKUP(TRIM(MID(G931,FIND(" ",G931)+1,LEN(G931)-FIND(" ",G931)-5)),Справочники!$M$3:$N$14,2,0),VALUE(LEFT(G931,FIND(" ",G931)-1))))),"")</f>
        <v>53975</v>
      </c>
      <c r="M931" t="str">
        <f t="shared" si="272"/>
        <v xml:space="preserve">+7 (903) 678-90-12</v>
      </c>
      <c r="N931" t="str">
        <f t="shared" si="273"/>
        <v>kashkaeva@gmail</v>
      </c>
      <c r="O931" t="str">
        <f t="shared" si="274"/>
        <v xml:space="preserve">Ошибка Email</v>
      </c>
      <c r="P931" t="str">
        <f>IFERROR(VLOOKUP(TRIM(SUBSTITUTE(SUBSTITUTE(" "&amp;F931," г "," "),"г.","")),Справочники!$J$3:$K$102,2,0),TRIM(SUBSTITUTE(SUBSTITUTE(" "&amp;F931," г "," "),"г.","")))</f>
        <v>Архангельск</v>
      </c>
    </row>
    <row r="932">
      <c r="A932" s="3" t="s">
        <v>3830</v>
      </c>
      <c r="B932" s="3" t="s">
        <v>7680</v>
      </c>
      <c r="C932" s="3" t="s">
        <v>7681</v>
      </c>
      <c r="D932" s="3" t="s">
        <v>4122</v>
      </c>
      <c r="E932" s="3" t="s">
        <v>7682</v>
      </c>
      <c r="F932" s="3" t="s">
        <v>4305</v>
      </c>
      <c r="G932" s="3" t="s">
        <v>7683</v>
      </c>
      <c r="H932" t="str">
        <f t="shared" ref="H932:H995" si="275">PROPER(TRIM(B932))</f>
        <v xml:space="preserve">Лобачева Мария Павловна</v>
      </c>
      <c r="I932" s="5">
        <f>IFERROR(IF(ISNUMBER(FIND("-",C932)),DATE(VALUE(LEFT(C932,4)),VALUE(MID(C932,6,2)),VALUE(RIGHT(C932,2))),IF(ISNUMBER(FIND(".",C932)),DATE(VALUE(RIGHT(C932,4)),VALUE(MID(C932,4,2)),VALUE(LEFT(C932,2))),DATE(VALUE(RIGHT(C932,4)),VLOOKUP(TRIM(MID(C932,FIND(" ",C932)+1,LEN(C932)-FIND(" ",C932)-5)),Справочники!$M$3:$N$14,2,0),VALUE(LEFT(C932,FIND(" ",C932)-1))))),"")</f>
        <v>28405</v>
      </c>
      <c r="J932" s="6">
        <f t="shared" ref="J932:J995" si="276">IF(I932="","",DATEDIF(I932,TODAY(),"Y"))</f>
        <v>49</v>
      </c>
      <c r="K932" t="str">
        <f t="shared" ref="K932:K995" si="277">IF(OR(I932="",J932&lt;18,J932&gt;120),"Ошибка даты рождения","ОК")</f>
        <v>ОК</v>
      </c>
      <c r="L932" s="5">
        <f>IFERROR(IF(ISNUMBER(FIND("-",G932)),DATE(VALUE(LEFT(G932,4)),VALUE(MID(G932,6,2)),VALUE(RIGHT(G932,2))),IF(ISNUMBER(FIND(".",G932)),DATE(VALUE(RIGHT(G932,4)),VALUE(MID(G932,4,2)),VALUE(LEFT(G932,2))),DATE(VALUE(RIGHT(G932,4)),VLOOKUP(TRIM(MID(G932,FIND(" ",G932)+1,LEN(G932)-FIND(" ",G932)-5)),Справочники!$M$3:$N$14,2,0),VALUE(LEFT(G932,FIND(" ",G932)-1))))),"")</f>
        <v>53997</v>
      </c>
      <c r="M932" t="str">
        <f t="shared" ref="M932:M995" si="278">IF(LEN(SUBSTITUTE(SUBSTITUTE(SUBSTITUTE(SUBSTITUTE(SUBSTITUTE(D932,"+",""),"-","")," ",""),"(",""),")",""))&lt;10,"Ошибка телефона","+7 ("&amp;MID(RIGHT(SUBSTITUTE(SUBSTITUTE(SUBSTITUTE(SUBSTITUTE(SUBSTITUTE(D932,"+",""),"-","")," ",""),"(",""),")",""),10),1,3)&amp;") "&amp;MID(RIGHT(SUBSTITUTE(SUBSTITUTE(SUBSTITUTE(SUBSTITUTE(SUBSTITUTE(D932,"+",""),"-","")," ",""),"(",""),")",""),10),4,3)&amp;"-"&amp;MID(RIGHT(SUBSTITUTE(SUBSTITUTE(SUBSTITUTE(SUBSTITUTE(SUBSTITUTE(D932,"+",""),"-","")," ",""),"(",""),")",""),10),7,2)&amp;"-"&amp;RIGHT(SUBSTITUTE(SUBSTITUTE(SUBSTITUTE(SUBSTITUTE(SUBSTITUTE(D932,"+",""),"-","")," ",""),"(",""),")",""),2))</f>
        <v xml:space="preserve">+7 (903) 678-90-12</v>
      </c>
      <c r="N932" t="str">
        <f t="shared" ref="N932:N995" si="279">LOWER(SUBSTITUTE(TRIM(E932)," ",""))</f>
        <v>lobacheva@mail</v>
      </c>
      <c r="O932" t="str">
        <f t="shared" ref="O932:O995" si="280">IF(AND(ISNUMBER(FIND("@",N932)),ISNUMBER(FIND(".",N932,FIND("@",N932)+2))),"ОК","Ошибка Email")</f>
        <v xml:space="preserve">Ошибка Email</v>
      </c>
      <c r="P932" t="str">
        <f>IFERROR(VLOOKUP(TRIM(SUBSTITUTE(SUBSTITUTE(" "&amp;F932," г "," "),"г.","")),Справочники!$J$3:$K$102,2,0),TRIM(SUBSTITUTE(SUBSTITUTE(" "&amp;F932," г "," "),"г.","")))</f>
        <v>Благовещенск</v>
      </c>
    </row>
    <row r="933">
      <c r="A933" s="3" t="s">
        <v>3831</v>
      </c>
      <c r="B933" s="3" t="s">
        <v>7684</v>
      </c>
      <c r="C933" s="3" t="s">
        <v>7685</v>
      </c>
      <c r="D933" s="3" t="s">
        <v>1605</v>
      </c>
      <c r="E933" s="3" t="s">
        <v>7686</v>
      </c>
      <c r="F933" s="3" t="s">
        <v>4310</v>
      </c>
      <c r="G933" s="3" t="s">
        <v>7687</v>
      </c>
      <c r="H933" t="str">
        <f t="shared" si="275"/>
        <v xml:space="preserve">Ершов Денис Сергеевич</v>
      </c>
      <c r="I933" s="5">
        <f>IFERROR(IF(ISNUMBER(FIND("-",C933)),DATE(VALUE(LEFT(C933,4)),VALUE(MID(C933,6,2)),VALUE(RIGHT(C933,2))),IF(ISNUMBER(FIND(".",C933)),DATE(VALUE(RIGHT(C933,4)),VALUE(MID(C933,4,2)),VALUE(LEFT(C933,2))),DATE(VALUE(RIGHT(C933,4)),VLOOKUP(TRIM(MID(C933,FIND(" ",C933)+1,LEN(C933)-FIND(" ",C933)-5)),Справочники!$M$3:$N$14,2,0),VALUE(LEFT(C933,FIND(" ",C933)-1))))),"")</f>
        <v>33207</v>
      </c>
      <c r="J933" s="6">
        <f t="shared" si="276"/>
        <v>35</v>
      </c>
      <c r="K933" t="str">
        <f t="shared" si="277"/>
        <v>ОК</v>
      </c>
      <c r="L933" s="5">
        <f>IFERROR(IF(ISNUMBER(FIND("-",G933)),DATE(VALUE(LEFT(G933,4)),VALUE(MID(G933,6,2)),VALUE(RIGHT(G933,2))),IF(ISNUMBER(FIND(".",G933)),DATE(VALUE(RIGHT(G933,4)),VALUE(MID(G933,4,2)),VALUE(LEFT(G933,2))),DATE(VALUE(RIGHT(G933,4)),VLOOKUP(TRIM(MID(G933,FIND(" ",G933)+1,LEN(G933)-FIND(" ",G933)-5)),Справочники!$M$3:$N$14,2,0),VALUE(LEFT(G933,FIND(" ",G933)-1))))),"")</f>
        <v>54011</v>
      </c>
      <c r="M933" t="str">
        <f t="shared" si="278"/>
        <v xml:space="preserve">+7 (903) 678-90-12</v>
      </c>
      <c r="N933" t="str">
        <f t="shared" si="279"/>
        <v>ershov@yandex</v>
      </c>
      <c r="O933" t="str">
        <f t="shared" si="280"/>
        <v xml:space="preserve">Ошибка Email</v>
      </c>
      <c r="P933" t="str">
        <f>IFERROR(VLOOKUP(TRIM(SUBSTITUTE(SUBSTITUTE(" "&amp;F933," г "," "),"г.","")),Справочники!$J$3:$K$102,2,0),TRIM(SUBSTITUTE(SUBSTITUTE(" "&amp;F933," г "," "),"г.","")))</f>
        <v>Майкоп</v>
      </c>
    </row>
    <row r="934">
      <c r="A934" s="3" t="s">
        <v>3834</v>
      </c>
      <c r="B934" s="3" t="s">
        <v>7688</v>
      </c>
      <c r="C934" s="3" t="s">
        <v>7689</v>
      </c>
      <c r="D934" s="3" t="s">
        <v>4001</v>
      </c>
      <c r="E934" s="3" t="s">
        <v>7690</v>
      </c>
      <c r="F934" s="3" t="s">
        <v>4315</v>
      </c>
      <c r="G934" s="3" t="s">
        <v>7691</v>
      </c>
      <c r="H934" t="str">
        <f t="shared" si="275"/>
        <v xml:space="preserve">Петухова Ольга Сергеевна</v>
      </c>
      <c r="I934" s="5">
        <f>IFERROR(IF(ISNUMBER(FIND("-",C934)),DATE(VALUE(LEFT(C934,4)),VALUE(MID(C934,6,2)),VALUE(RIGHT(C934,2))),IF(ISNUMBER(FIND(".",C934)),DATE(VALUE(RIGHT(C934,4)),VALUE(MID(C934,4,2)),VALUE(LEFT(C934,2))),DATE(VALUE(RIGHT(C934,4)),VLOOKUP(TRIM(MID(C934,FIND(" ",C934)+1,LEN(C934)-FIND(" ",C934)-5)),Справочники!$M$3:$N$14,2,0),VALUE(LEFT(C934,FIND(" ",C934)-1))))),"")</f>
        <v>30452</v>
      </c>
      <c r="J934" s="6">
        <f t="shared" si="276"/>
        <v>43</v>
      </c>
      <c r="K934" t="str">
        <f t="shared" si="277"/>
        <v>ОК</v>
      </c>
      <c r="L934" s="5">
        <f>IFERROR(IF(ISNUMBER(FIND("-",G934)),DATE(VALUE(LEFT(G934,4)),VALUE(MID(G934,6,2)),VALUE(RIGHT(G934,2))),IF(ISNUMBER(FIND(".",G934)),DATE(VALUE(RIGHT(G934,4)),VALUE(MID(G934,4,2)),VALUE(LEFT(G934,2))),DATE(VALUE(RIGHT(G934,4)),VLOOKUP(TRIM(MID(G934,FIND(" ",G934)+1,LEN(G934)-FIND(" ",G934)-5)),Справочники!$M$3:$N$14,2,0),VALUE(LEFT(G934,FIND(" ",G934)-1))))),"")</f>
        <v>54011</v>
      </c>
      <c r="M934" t="str">
        <f t="shared" si="278"/>
        <v xml:space="preserve">+7 (903) 789-01-23</v>
      </c>
      <c r="N934" t="str">
        <f t="shared" si="279"/>
        <v>petuhova@gmail</v>
      </c>
      <c r="O934" t="str">
        <f t="shared" si="280"/>
        <v xml:space="preserve">Ошибка Email</v>
      </c>
      <c r="P934" t="str">
        <f>IFERROR(VLOOKUP(TRIM(SUBSTITUTE(SUBSTITUTE(" "&amp;F934," г "," "),"г.","")),Справочники!$J$3:$K$102,2,0),TRIM(SUBSTITUTE(SUBSTITUTE(" "&amp;F934," г "," "),"г.","")))</f>
        <v>Уссурийск</v>
      </c>
    </row>
    <row r="935">
      <c r="A935" s="3" t="s">
        <v>3835</v>
      </c>
      <c r="B935" s="3" t="s">
        <v>7692</v>
      </c>
      <c r="C935" s="3" t="s">
        <v>7693</v>
      </c>
      <c r="D935" s="3" t="s">
        <v>4138</v>
      </c>
      <c r="E935" s="3" t="s">
        <v>7694</v>
      </c>
      <c r="F935" s="3" t="s">
        <v>4320</v>
      </c>
      <c r="G935" s="3" t="s">
        <v>7695</v>
      </c>
      <c r="H935" t="str">
        <f t="shared" si="275"/>
        <v xml:space="preserve">Козлов Андрей Олегович</v>
      </c>
      <c r="I935" s="5">
        <f>IFERROR(IF(ISNUMBER(FIND("-",C935)),DATE(VALUE(LEFT(C935,4)),VALUE(MID(C935,6,2)),VALUE(RIGHT(C935,2))),IF(ISNUMBER(FIND(".",C935)),DATE(VALUE(RIGHT(C935,4)),VALUE(MID(C935,4,2)),VALUE(LEFT(C935,2))),DATE(VALUE(RIGHT(C935,4)),VLOOKUP(TRIM(MID(C935,FIND(" ",C935)+1,LEN(C935)-FIND(" ",C935)-5)),Справочники!$M$3:$N$14,2,0),VALUE(LEFT(C935,FIND(" ",C935)-1))))),"")</f>
        <v>28499</v>
      </c>
      <c r="J935" s="6">
        <f t="shared" si="276"/>
        <v>48</v>
      </c>
      <c r="K935" t="str">
        <f t="shared" si="277"/>
        <v>ОК</v>
      </c>
      <c r="L935" s="5">
        <f>IFERROR(IF(ISNUMBER(FIND("-",G935)),DATE(VALUE(LEFT(G935,4)),VALUE(MID(G935,6,2)),VALUE(RIGHT(G935,2))),IF(ISNUMBER(FIND(".",G935)),DATE(VALUE(RIGHT(G935,4)),VALUE(MID(G935,4,2)),VALUE(LEFT(G935,2))),DATE(VALUE(RIGHT(G935,4)),VLOOKUP(TRIM(MID(G935,FIND(" ",G935)+1,LEN(G935)-FIND(" ",G935)-5)),Справочники!$M$3:$N$14,2,0),VALUE(LEFT(G935,FIND(" ",G935)-1))))),"")</f>
        <v>54027</v>
      </c>
      <c r="M935" t="str">
        <f t="shared" si="278"/>
        <v xml:space="preserve">+7 (903) 789-01-23</v>
      </c>
      <c r="N935" t="str">
        <f t="shared" si="279"/>
        <v>kozlov@mail</v>
      </c>
      <c r="O935" t="str">
        <f t="shared" si="280"/>
        <v xml:space="preserve">Ошибка Email</v>
      </c>
      <c r="P935" t="str">
        <f>IFERROR(VLOOKUP(TRIM(SUBSTITUTE(SUBSTITUTE(" "&amp;F935," г "," "),"г.","")),Справочники!$J$3:$K$102,2,0),TRIM(SUBSTITUTE(SUBSTITUTE(" "&amp;F935," г "," "),"г.","")))</f>
        <v>Миасс</v>
      </c>
    </row>
    <row r="936">
      <c r="A936" s="3" t="s">
        <v>3837</v>
      </c>
      <c r="B936" s="3" t="s">
        <v>7696</v>
      </c>
      <c r="C936" s="3" t="s">
        <v>7697</v>
      </c>
      <c r="D936" s="3" t="s">
        <v>4144</v>
      </c>
      <c r="E936" s="3" t="s">
        <v>5602</v>
      </c>
      <c r="F936" s="3" t="s">
        <v>4325</v>
      </c>
      <c r="G936" s="3" t="s">
        <v>7698</v>
      </c>
      <c r="H936" t="str">
        <f t="shared" si="275"/>
        <v xml:space="preserve">Волкова Екатерина Владимировна</v>
      </c>
      <c r="I936" s="5">
        <f>IFERROR(IF(ISNUMBER(FIND("-",C936)),DATE(VALUE(LEFT(C936,4)),VALUE(MID(C936,6,2)),VALUE(RIGHT(C936,2))),IF(ISNUMBER(FIND(".",C936)),DATE(VALUE(RIGHT(C936,4)),VALUE(MID(C936,4,2)),VALUE(LEFT(C936,2))),DATE(VALUE(RIGHT(C936,4)),VLOOKUP(TRIM(MID(C936,FIND(" ",C936)+1,LEN(C936)-FIND(" ",C936)-5)),Справочники!$M$3:$N$14,2,0),VALUE(LEFT(C936,FIND(" ",C936)-1))))),"")</f>
        <v>31252</v>
      </c>
      <c r="J936" s="6">
        <f t="shared" si="276"/>
        <v>41</v>
      </c>
      <c r="K936" t="str">
        <f t="shared" si="277"/>
        <v>ОК</v>
      </c>
      <c r="L936" s="5">
        <f>IFERROR(IF(ISNUMBER(FIND("-",G936)),DATE(VALUE(LEFT(G936,4)),VALUE(MID(G936,6,2)),VALUE(RIGHT(G936,2))),IF(ISNUMBER(FIND(".",G936)),DATE(VALUE(RIGHT(G936,4)),VALUE(MID(G936,4,2)),VALUE(LEFT(G936,2))),DATE(VALUE(RIGHT(G936,4)),VLOOKUP(TRIM(MID(G936,FIND(" ",G936)+1,LEN(G936)-FIND(" ",G936)-5)),Справочники!$M$3:$N$14,2,0),VALUE(LEFT(G936,FIND(" ",G936)-1))))),"")</f>
        <v>54036</v>
      </c>
      <c r="M936" t="str">
        <f t="shared" si="278"/>
        <v xml:space="preserve">+7 (903) 789-01-23</v>
      </c>
      <c r="N936" t="str">
        <f t="shared" si="279"/>
        <v>volkova@yandex</v>
      </c>
      <c r="O936" t="str">
        <f t="shared" si="280"/>
        <v xml:space="preserve">Ошибка Email</v>
      </c>
      <c r="P936" t="str">
        <f>IFERROR(VLOOKUP(TRIM(SUBSTITUTE(SUBSTITUTE(" "&amp;F936," г "," "),"г.","")),Справочники!$J$3:$K$102,2,0),TRIM(SUBSTITUTE(SUBSTITUTE(" "&amp;F936," г "," "),"г.","")))</f>
        <v>Кызыл</v>
      </c>
    </row>
    <row r="937">
      <c r="A937" s="3" t="s">
        <v>3839</v>
      </c>
      <c r="B937" s="3" t="s">
        <v>7699</v>
      </c>
      <c r="C937" s="3" t="s">
        <v>7700</v>
      </c>
      <c r="D937" s="3" t="s">
        <v>4150</v>
      </c>
      <c r="E937" s="3" t="s">
        <v>7701</v>
      </c>
      <c r="F937" s="3" t="s">
        <v>4330</v>
      </c>
      <c r="G937" s="3" t="s">
        <v>7702</v>
      </c>
      <c r="H937" t="str">
        <f t="shared" si="275"/>
        <v xml:space="preserve">Коробков Илья Александрович</v>
      </c>
      <c r="I937" s="5">
        <f>IFERROR(IF(ISNUMBER(FIND("-",C937)),DATE(VALUE(LEFT(C937,4)),VALUE(MID(C937,6,2)),VALUE(RIGHT(C937,2))),IF(ISNUMBER(FIND(".",C937)),DATE(VALUE(RIGHT(C937,4)),VALUE(MID(C937,4,2)),VALUE(LEFT(C937,2))),DATE(VALUE(RIGHT(C937,4)),VLOOKUP(TRIM(MID(C937,FIND(" ",C937)+1,LEN(C937)-FIND(" ",C937)-5)),Справочники!$M$3:$N$14,2,0),VALUE(LEFT(C937,FIND(" ",C937)-1))))),"")</f>
        <v>33859</v>
      </c>
      <c r="J937" s="6">
        <f t="shared" si="276"/>
        <v>34</v>
      </c>
      <c r="K937" t="str">
        <f t="shared" si="277"/>
        <v>ОК</v>
      </c>
      <c r="L937" s="5">
        <f>IFERROR(IF(ISNUMBER(FIND("-",G937)),DATE(VALUE(LEFT(G937,4)),VALUE(MID(G937,6,2)),VALUE(RIGHT(G937,2))),IF(ISNUMBER(FIND(".",G937)),DATE(VALUE(RIGHT(G937,4)),VALUE(MID(G937,4,2)),VALUE(LEFT(G937,2))),DATE(VALUE(RIGHT(G937,4)),VLOOKUP(TRIM(MID(G937,FIND(" ",G937)+1,LEN(G937)-FIND(" ",G937)-5)),Справочники!$M$3:$N$14,2,0),VALUE(LEFT(G937,FIND(" ",G937)-1))))),"")</f>
        <v>54036</v>
      </c>
      <c r="M937" t="str">
        <f t="shared" si="278"/>
        <v xml:space="preserve">+7 (903) 890-12-34</v>
      </c>
      <c r="N937" t="str">
        <f t="shared" si="279"/>
        <v>korobkov@gmail</v>
      </c>
      <c r="O937" t="str">
        <f t="shared" si="280"/>
        <v xml:space="preserve">Ошибка Email</v>
      </c>
      <c r="P937" t="str">
        <f>IFERROR(VLOOKUP(TRIM(SUBSTITUTE(SUBSTITUTE(" "&amp;F937," г "," "),"г.","")),Справочники!$J$3:$K$102,2,0),TRIM(SUBSTITUTE(SUBSTITUTE(" "&amp;F937," г "," "),"г.","")))</f>
        <v>Калининград</v>
      </c>
    </row>
    <row r="938">
      <c r="A938" s="3" t="s">
        <v>3842</v>
      </c>
      <c r="B938" s="3" t="s">
        <v>7703</v>
      </c>
      <c r="C938" s="3" t="s">
        <v>7704</v>
      </c>
      <c r="D938" s="3" t="s">
        <v>4007</v>
      </c>
      <c r="E938" s="3" t="s">
        <v>7705</v>
      </c>
      <c r="F938" s="3" t="s">
        <v>4335</v>
      </c>
      <c r="G938" s="3" t="s">
        <v>7706</v>
      </c>
      <c r="H938" t="str">
        <f t="shared" si="275"/>
        <v xml:space="preserve">Родионова Мария Павловна</v>
      </c>
      <c r="I938" s="5">
        <f>IFERROR(IF(ISNUMBER(FIND("-",C938)),DATE(VALUE(LEFT(C938,4)),VALUE(MID(C938,6,2)),VALUE(RIGHT(C938,2))),IF(ISNUMBER(FIND(".",C938)),DATE(VALUE(RIGHT(C938,4)),VALUE(MID(C938,4,2)),VALUE(LEFT(C938,2))),DATE(VALUE(RIGHT(C938,4)),VLOOKUP(TRIM(MID(C938,FIND(" ",C938)+1,LEN(C938)-FIND(" ",C938)-5)),Справочники!$M$3:$N$14,2,0),VALUE(LEFT(C938,FIND(" ",C938)-1))))),"")</f>
        <v>28112</v>
      </c>
      <c r="J938" s="6">
        <f t="shared" si="276"/>
        <v>49</v>
      </c>
      <c r="K938" t="str">
        <f t="shared" si="277"/>
        <v>ОК</v>
      </c>
      <c r="L938" s="5">
        <f>IFERROR(IF(ISNUMBER(FIND("-",G938)),DATE(VALUE(LEFT(G938,4)),VALUE(MID(G938,6,2)),VALUE(RIGHT(G938,2))),IF(ISNUMBER(FIND(".",G938)),DATE(VALUE(RIGHT(G938,4)),VALUE(MID(G938,4,2)),VALUE(LEFT(G938,2))),DATE(VALUE(RIGHT(G938,4)),VLOOKUP(TRIM(MID(G938,FIND(" ",G938)+1,LEN(G938)-FIND(" ",G938)-5)),Справочники!$M$3:$N$14,2,0),VALUE(LEFT(G938,FIND(" ",G938)-1))))),"")</f>
        <v>54058</v>
      </c>
      <c r="M938" t="str">
        <f t="shared" si="278"/>
        <v xml:space="preserve">+7 (903) 890-12-34</v>
      </c>
      <c r="N938" t="str">
        <f t="shared" si="279"/>
        <v>rodionova@mail</v>
      </c>
      <c r="O938" t="str">
        <f t="shared" si="280"/>
        <v xml:space="preserve">Ошибка Email</v>
      </c>
      <c r="P938" t="str">
        <f>IFERROR(VLOOKUP(TRIM(SUBSTITUTE(SUBSTITUTE(" "&amp;F938," г "," "),"г.","")),Справочники!$J$3:$K$102,2,0),TRIM(SUBSTITUTE(SUBSTITUTE(" "&amp;F938," г "," "),"г.","")))</f>
        <v>Петрозаводск</v>
      </c>
    </row>
    <row r="939">
      <c r="A939" s="3" t="s">
        <v>3843</v>
      </c>
      <c r="B939" s="3" t="s">
        <v>7707</v>
      </c>
      <c r="C939" s="3" t="s">
        <v>7708</v>
      </c>
      <c r="D939" s="3" t="s">
        <v>1619</v>
      </c>
      <c r="E939" s="3" t="s">
        <v>7709</v>
      </c>
      <c r="F939" s="3" t="s">
        <v>4340</v>
      </c>
      <c r="G939" s="3" t="s">
        <v>7710</v>
      </c>
      <c r="H939" t="str">
        <f t="shared" si="275"/>
        <v xml:space="preserve">Кириллов Денис Викторович</v>
      </c>
      <c r="I939" s="5">
        <f>IFERROR(IF(ISNUMBER(FIND("-",C939)),DATE(VALUE(LEFT(C939,4)),VALUE(MID(C939,6,2)),VALUE(RIGHT(C939,2))),IF(ISNUMBER(FIND(".",C939)),DATE(VALUE(RIGHT(C939,4)),VALUE(MID(C939,4,2)),VALUE(LEFT(C939,2))),DATE(VALUE(RIGHT(C939,4)),VLOOKUP(TRIM(MID(C939,FIND(" ",C939)+1,LEN(C939)-FIND(" ",C939)-5)),Справочники!$M$3:$N$14,2,0),VALUE(LEFT(C939,FIND(" ",C939)-1))))),"")</f>
        <v>29893</v>
      </c>
      <c r="J939" s="6">
        <f t="shared" si="276"/>
        <v>44</v>
      </c>
      <c r="K939" t="str">
        <f t="shared" si="277"/>
        <v>ОК</v>
      </c>
      <c r="L939" s="5">
        <f>IFERROR(IF(ISNUMBER(FIND("-",G939)),DATE(VALUE(LEFT(G939,4)),VALUE(MID(G939,6,2)),VALUE(RIGHT(G939,2))),IF(ISNUMBER(FIND(".",G939)),DATE(VALUE(RIGHT(G939,4)),VALUE(MID(G939,4,2)),VALUE(LEFT(G939,2))),DATE(VALUE(RIGHT(G939,4)),VLOOKUP(TRIM(MID(G939,FIND(" ",G939)+1,LEN(G939)-FIND(" ",G939)-5)),Справочники!$M$3:$N$14,2,0),VALUE(LEFT(G939,FIND(" ",G939)-1))))),"")</f>
        <v>54072</v>
      </c>
      <c r="M939" t="str">
        <f t="shared" si="278"/>
        <v xml:space="preserve">+7 (903) 890-12-34</v>
      </c>
      <c r="N939" t="str">
        <f t="shared" si="279"/>
        <v>kirillov@yandex</v>
      </c>
      <c r="O939" t="str">
        <f t="shared" si="280"/>
        <v xml:space="preserve">Ошибка Email</v>
      </c>
      <c r="P939" t="str">
        <f>IFERROR(VLOOKUP(TRIM(SUBSTITUTE(SUBSTITUTE(" "&amp;F939," г "," "),"г.","")),Справочники!$J$3:$K$102,2,0),TRIM(SUBSTITUTE(SUBSTITUTE(" "&amp;F939," г "," "),"г.","")))</f>
        <v>Рубцовск</v>
      </c>
    </row>
    <row r="940">
      <c r="A940" s="3" t="s">
        <v>3845</v>
      </c>
      <c r="B940" s="3" t="s">
        <v>7711</v>
      </c>
      <c r="C940" s="3" t="s">
        <v>7712</v>
      </c>
      <c r="D940" s="3" t="s">
        <v>4018</v>
      </c>
      <c r="E940" s="3" t="s">
        <v>7713</v>
      </c>
      <c r="F940" s="3" t="s">
        <v>4345</v>
      </c>
      <c r="G940" s="3" t="s">
        <v>7714</v>
      </c>
      <c r="H940" t="str">
        <f t="shared" si="275"/>
        <v xml:space="preserve">Жукова Ольга Сергеевна</v>
      </c>
      <c r="I940" s="5">
        <f>IFERROR(IF(ISNUMBER(FIND("-",C940)),DATE(VALUE(LEFT(C940,4)),VALUE(MID(C940,6,2)),VALUE(RIGHT(C940,2))),IF(ISNUMBER(FIND(".",C940)),DATE(VALUE(RIGHT(C940,4)),VALUE(MID(C940,4,2)),VALUE(LEFT(C940,2))),DATE(VALUE(RIGHT(C940,4)),VLOOKUP(TRIM(MID(C940,FIND(" ",C940)+1,LEN(C940)-FIND(" ",C940)-5)),Справочники!$M$3:$N$14,2,0),VALUE(LEFT(C940,FIND(" ",C940)-1))))),"")</f>
        <v>32684</v>
      </c>
      <c r="J940" s="6">
        <f t="shared" si="276"/>
        <v>37</v>
      </c>
      <c r="K940" t="str">
        <f t="shared" si="277"/>
        <v>ОК</v>
      </c>
      <c r="L940" s="5">
        <f>IFERROR(IF(ISNUMBER(FIND("-",G940)),DATE(VALUE(LEFT(G940,4)),VALUE(MID(G940,6,2)),VALUE(RIGHT(G940,2))),IF(ISNUMBER(FIND(".",G940)),DATE(VALUE(RIGHT(G940,4)),VALUE(MID(G940,4,2)),VALUE(LEFT(G940,2))),DATE(VALUE(RIGHT(G940,4)),VLOOKUP(TRIM(MID(G940,FIND(" ",G940)+1,LEN(G940)-FIND(" ",G940)-5)),Справочники!$M$3:$N$14,2,0),VALUE(LEFT(G940,FIND(" ",G940)-1))))),"")</f>
        <v>54072</v>
      </c>
      <c r="M940" t="str">
        <f t="shared" si="278"/>
        <v xml:space="preserve">+7 (903) 901-23-45</v>
      </c>
      <c r="N940" t="str">
        <f t="shared" si="279"/>
        <v>zhukova@gmail</v>
      </c>
      <c r="O940" t="str">
        <f t="shared" si="280"/>
        <v xml:space="preserve">Ошибка Email</v>
      </c>
      <c r="P940" t="str">
        <f>IFERROR(VLOOKUP(TRIM(SUBSTITUTE(SUBSTITUTE(" "&amp;F940," г "," "),"г.","")),Справочники!$J$3:$K$102,2,0),TRIM(SUBSTITUTE(SUBSTITUTE(" "&amp;F940," г "," "),"г.","")))</f>
        <v>Элиста</v>
      </c>
    </row>
    <row r="941">
      <c r="A941" s="3" t="s">
        <v>3846</v>
      </c>
      <c r="B941" s="3" t="s">
        <v>7715</v>
      </c>
      <c r="C941" s="3" t="s">
        <v>7716</v>
      </c>
      <c r="D941" s="3" t="s">
        <v>1626</v>
      </c>
      <c r="E941" s="3" t="s">
        <v>7717</v>
      </c>
      <c r="F941" s="3" t="s">
        <v>4350</v>
      </c>
      <c r="G941" s="3" t="s">
        <v>7718</v>
      </c>
      <c r="H941" t="str">
        <f t="shared" si="275"/>
        <v xml:space="preserve">Чесноков Андрей Олегович</v>
      </c>
      <c r="I941" s="5">
        <f>IFERROR(IF(ISNUMBER(FIND("-",C941)),DATE(VALUE(LEFT(C941,4)),VALUE(MID(C941,6,2)),VALUE(RIGHT(C941,2))),IF(ISNUMBER(FIND(".",C941)),DATE(VALUE(RIGHT(C941,4)),VALUE(MID(C941,4,2)),VALUE(LEFT(C941,2))),DATE(VALUE(RIGHT(C941,4)),VLOOKUP(TRIM(MID(C941,FIND(" ",C941)+1,LEN(C941)-FIND(" ",C941)-5)),Справочники!$M$3:$N$14,2,0),VALUE(LEFT(C941,FIND(" ",C941)-1))))),"")</f>
        <v>27468</v>
      </c>
      <c r="J941" s="6">
        <f t="shared" si="276"/>
        <v>51</v>
      </c>
      <c r="K941" t="str">
        <f t="shared" si="277"/>
        <v>ОК</v>
      </c>
      <c r="L941" s="5">
        <f>IFERROR(IF(ISNUMBER(FIND("-",G941)),DATE(VALUE(LEFT(G941,4)),VALUE(MID(G941,6,2)),VALUE(RIGHT(G941,2))),IF(ISNUMBER(FIND(".",G941)),DATE(VALUE(RIGHT(G941,4)),VALUE(MID(G941,4,2)),VALUE(LEFT(G941,2))),DATE(VALUE(RIGHT(G941,4)),VLOOKUP(TRIM(MID(G941,FIND(" ",G941)+1,LEN(G941)-FIND(" ",G941)-5)),Справочники!$M$3:$N$14,2,0),VALUE(LEFT(G941,FIND(" ",G941)-1))))),"")</f>
        <v>54089</v>
      </c>
      <c r="M941" t="str">
        <f t="shared" si="278"/>
        <v xml:space="preserve">+7 (903) 901-23-45</v>
      </c>
      <c r="N941" t="str">
        <f t="shared" si="279"/>
        <v>chesnokov@mail</v>
      </c>
      <c r="O941" t="str">
        <f t="shared" si="280"/>
        <v xml:space="preserve">Ошибка Email</v>
      </c>
      <c r="P941" t="str">
        <f>IFERROR(VLOOKUP(TRIM(SUBSTITUTE(SUBSTITUTE(" "&amp;F941," г "," "),"г.","")),Справочники!$J$3:$K$102,2,0),TRIM(SUBSTITUTE(SUBSTITUTE(" "&amp;F941," г "," "),"г.","")))</f>
        <v>Орск</v>
      </c>
    </row>
    <row r="942">
      <c r="A942" s="3" t="s">
        <v>3848</v>
      </c>
      <c r="B942" s="3" t="s">
        <v>7719</v>
      </c>
      <c r="C942" s="3" t="s">
        <v>7720</v>
      </c>
      <c r="D942" s="3" t="s">
        <v>4176</v>
      </c>
      <c r="E942" s="3" t="s">
        <v>7721</v>
      </c>
      <c r="F942" s="3" t="s">
        <v>4355</v>
      </c>
      <c r="G942" s="3" t="s">
        <v>7722</v>
      </c>
      <c r="H942" t="str">
        <f t="shared" si="275"/>
        <v xml:space="preserve">Дьякова Екатерина Владимировна</v>
      </c>
      <c r="I942" s="5">
        <f>IFERROR(IF(ISNUMBER(FIND("-",C942)),DATE(VALUE(LEFT(C942,4)),VALUE(MID(C942,6,2)),VALUE(RIGHT(C942,2))),IF(ISNUMBER(FIND(".",C942)),DATE(VALUE(RIGHT(C942,4)),VALUE(MID(C942,4,2)),VALUE(LEFT(C942,2))),DATE(VALUE(RIGHT(C942,4)),VLOOKUP(TRIM(MID(C942,FIND(" ",C942)+1,LEN(C942)-FIND(" ",C942)-5)),Справочники!$M$3:$N$14,2,0),VALUE(LEFT(C942,FIND(" ",C942)-1))))),"")</f>
        <v>30137</v>
      </c>
      <c r="J942" s="6">
        <f t="shared" si="276"/>
        <v>44</v>
      </c>
      <c r="K942" t="str">
        <f t="shared" si="277"/>
        <v>ОК</v>
      </c>
      <c r="L942" s="5">
        <f>IFERROR(IF(ISNUMBER(FIND("-",G942)),DATE(VALUE(LEFT(G942,4)),VALUE(MID(G942,6,2)),VALUE(RIGHT(G942,2))),IF(ISNUMBER(FIND(".",G942)),DATE(VALUE(RIGHT(G942,4)),VALUE(MID(G942,4,2)),VALUE(LEFT(G942,2))),DATE(VALUE(RIGHT(G942,4)),VLOOKUP(TRIM(MID(G942,FIND(" ",G942)+1,LEN(G942)-FIND(" ",G942)-5)),Справочники!$M$3:$N$14,2,0),VALUE(LEFT(G942,FIND(" ",G942)-1))))),"")</f>
        <v>54098</v>
      </c>
      <c r="M942" t="str">
        <f t="shared" si="278"/>
        <v xml:space="preserve">+7 (903) 901-23-45</v>
      </c>
      <c r="N942" t="str">
        <f t="shared" si="279"/>
        <v>dyakova@yandex</v>
      </c>
      <c r="O942" t="str">
        <f t="shared" si="280"/>
        <v xml:space="preserve">Ошибка Email</v>
      </c>
      <c r="P942" t="str">
        <f>IFERROR(VLOOKUP(TRIM(SUBSTITUTE(SUBSTITUTE(" "&amp;F942," г "," "),"г.","")),Справочники!$J$3:$K$102,2,0),TRIM(SUBSTITUTE(SUBSTITUTE(" "&amp;F942," г "," "),"г.","")))</f>
        <v>Нижневартовск</v>
      </c>
    </row>
    <row r="943">
      <c r="A943" s="3" t="s">
        <v>3850</v>
      </c>
      <c r="B943" s="3" t="s">
        <v>7723</v>
      </c>
      <c r="C943" s="3" t="s">
        <v>7724</v>
      </c>
      <c r="D943" s="3" t="s">
        <v>4182</v>
      </c>
      <c r="E943" s="3" t="s">
        <v>7725</v>
      </c>
      <c r="F943" s="3" t="s">
        <v>4360</v>
      </c>
      <c r="G943" s="3" t="s">
        <v>7726</v>
      </c>
      <c r="H943" t="str">
        <f t="shared" si="275"/>
        <v xml:space="preserve">Лесин Илья Александрович</v>
      </c>
      <c r="I943" s="5">
        <f>IFERROR(IF(ISNUMBER(FIND("-",C943)),DATE(VALUE(LEFT(C943,4)),VALUE(MID(C943,6,2)),VALUE(RIGHT(C943,2))),IF(ISNUMBER(FIND(".",C943)),DATE(VALUE(RIGHT(C943,4)),VALUE(MID(C943,4,2)),VALUE(LEFT(C943,2))),DATE(VALUE(RIGHT(C943,4)),VLOOKUP(TRIM(MID(C943,FIND(" ",C943)+1,LEN(C943)-FIND(" ",C943)-5)),Справочники!$M$3:$N$14,2,0),VALUE(LEFT(C943,FIND(" ",C943)-1))))),"")</f>
        <v>33173</v>
      </c>
      <c r="J943" s="6">
        <f t="shared" si="276"/>
        <v>35</v>
      </c>
      <c r="K943" t="str">
        <f t="shared" si="277"/>
        <v>ОК</v>
      </c>
      <c r="L943" s="5">
        <f>IFERROR(IF(ISNUMBER(FIND("-",G943)),DATE(VALUE(LEFT(G943,4)),VALUE(MID(G943,6,2)),VALUE(RIGHT(G943,2))),IF(ISNUMBER(FIND(".",G943)),DATE(VALUE(RIGHT(G943,4)),VALUE(MID(G943,4,2)),VALUE(LEFT(G943,2))),DATE(VALUE(RIGHT(G943,4)),VLOOKUP(TRIM(MID(G943,FIND(" ",G943)+1,LEN(G943)-FIND(" ",G943)-5)),Справочники!$M$3:$N$14,2,0),VALUE(LEFT(G943,FIND(" ",G943)-1))))),"")</f>
        <v>54098</v>
      </c>
      <c r="M943" t="str">
        <f t="shared" si="278"/>
        <v xml:space="preserve">+7 (903) 012-34-56</v>
      </c>
      <c r="N943" t="str">
        <f t="shared" si="279"/>
        <v>lesin@gmail</v>
      </c>
      <c r="O943" t="str">
        <f t="shared" si="280"/>
        <v xml:space="preserve">Ошибка Email</v>
      </c>
      <c r="P943" t="str">
        <f>IFERROR(VLOOKUP(TRIM(SUBSTITUTE(SUBSTITUTE(" "&amp;F943," г "," "),"г.","")),Справочники!$J$3:$K$102,2,0),TRIM(SUBSTITUTE(SUBSTITUTE(" "&amp;F943," г "," "),"г.","")))</f>
        <v>Новороссийск</v>
      </c>
    </row>
    <row r="944">
      <c r="A944" s="3" t="s">
        <v>3852</v>
      </c>
      <c r="B944" s="3" t="s">
        <v>7727</v>
      </c>
      <c r="C944" s="3" t="s">
        <v>4388</v>
      </c>
      <c r="D944" s="3" t="s">
        <v>4188</v>
      </c>
      <c r="E944" s="3" t="s">
        <v>7728</v>
      </c>
      <c r="F944" s="3" t="s">
        <v>4365</v>
      </c>
      <c r="G944" s="3" t="s">
        <v>7729</v>
      </c>
      <c r="H944" t="str">
        <f t="shared" si="275"/>
        <v xml:space="preserve">Матвеева Мария Павловна</v>
      </c>
      <c r="I944" s="5">
        <f>IFERROR(IF(ISNUMBER(FIND("-",C944)),DATE(VALUE(LEFT(C944,4)),VALUE(MID(C944,6,2)),VALUE(RIGHT(C944,2))),IF(ISNUMBER(FIND(".",C944)),DATE(VALUE(RIGHT(C944,4)),VALUE(MID(C944,4,2)),VALUE(LEFT(C944,2))),DATE(VALUE(RIGHT(C944,4)),VLOOKUP(TRIM(MID(C944,FIND(" ",C944)+1,LEN(C944)-FIND(" ",C944)-5)),Справочники!$M$3:$N$14,2,0),VALUE(LEFT(C944,FIND(" ",C944)-1))))),"")</f>
        <v>31033</v>
      </c>
      <c r="J944" s="6">
        <f t="shared" si="276"/>
        <v>41</v>
      </c>
      <c r="K944" t="str">
        <f t="shared" si="277"/>
        <v>ОК</v>
      </c>
      <c r="L944" s="5">
        <f>IFERROR(IF(ISNUMBER(FIND("-",G944)),DATE(VALUE(LEFT(G944,4)),VALUE(MID(G944,6,2)),VALUE(RIGHT(G944,2))),IF(ISNUMBER(FIND(".",G944)),DATE(VALUE(RIGHT(G944,4)),VALUE(MID(G944,4,2)),VALUE(LEFT(G944,2))),DATE(VALUE(RIGHT(G944,4)),VLOOKUP(TRIM(MID(G944,FIND(" ",G944)+1,LEN(G944)-FIND(" ",G944)-5)),Справочники!$M$3:$N$14,2,0),VALUE(LEFT(G944,FIND(" ",G944)-1))))),"")</f>
        <v>54118</v>
      </c>
      <c r="M944" t="str">
        <f t="shared" si="278"/>
        <v xml:space="preserve">+7 (903) 012-34-56</v>
      </c>
      <c r="N944" t="str">
        <f t="shared" si="279"/>
        <v>matveeva@mail</v>
      </c>
      <c r="O944" t="str">
        <f t="shared" si="280"/>
        <v xml:space="preserve">Ошибка Email</v>
      </c>
      <c r="P944" t="str">
        <f>IFERROR(VLOOKUP(TRIM(SUBSTITUTE(SUBSTITUTE(" "&amp;F944," г "," "),"г.","")),Справочники!$J$3:$K$102,2,0),TRIM(SUBSTITUTE(SUBSTITUTE(" "&amp;F944," г "," "),"г.","")))</f>
        <v>Химки</v>
      </c>
    </row>
    <row r="945">
      <c r="A945" s="3" t="s">
        <v>3853</v>
      </c>
      <c r="B945" s="3" t="s">
        <v>7730</v>
      </c>
      <c r="C945" s="3" t="s">
        <v>7731</v>
      </c>
      <c r="D945" s="3" t="s">
        <v>1633</v>
      </c>
      <c r="E945" s="3" t="s">
        <v>7732</v>
      </c>
      <c r="F945" s="3" t="s">
        <v>4370</v>
      </c>
      <c r="G945" s="3" t="s">
        <v>7733</v>
      </c>
      <c r="H945" t="str">
        <f t="shared" si="275"/>
        <v xml:space="preserve">Смирнова Ольга Сергеевна</v>
      </c>
      <c r="I945" s="5">
        <f>IFERROR(IF(ISNUMBER(FIND("-",C945)),DATE(VALUE(LEFT(C945,4)),VALUE(MID(C945,6,2)),VALUE(RIGHT(C945,2))),IF(ISNUMBER(FIND(".",C945)),DATE(VALUE(RIGHT(C945,4)),VALUE(MID(C945,4,2)),VALUE(LEFT(C945,2))),DATE(VALUE(RIGHT(C945,4)),VLOOKUP(TRIM(MID(C945,FIND(" ",C945)+1,LEN(C945)-FIND(" ",C945)-5)),Справочники!$M$3:$N$14,2,0),VALUE(LEFT(C945,FIND(" ",C945)-1))))),"")</f>
        <v>26776</v>
      </c>
      <c r="J945" s="6">
        <f t="shared" si="276"/>
        <v>53</v>
      </c>
      <c r="K945" t="str">
        <f t="shared" si="277"/>
        <v>ОК</v>
      </c>
      <c r="L945" s="5">
        <f>IFERROR(IF(ISNUMBER(FIND("-",G945)),DATE(VALUE(LEFT(G945,4)),VALUE(MID(G945,6,2)),VALUE(RIGHT(G945,2))),IF(ISNUMBER(FIND(".",G945)),DATE(VALUE(RIGHT(G945,4)),VALUE(MID(G945,4,2)),VALUE(LEFT(G945,2))),DATE(VALUE(RIGHT(G945,4)),VLOOKUP(TRIM(MID(G945,FIND(" ",G945)+1,LEN(G945)-FIND(" ",G945)-5)),Справочники!$M$3:$N$14,2,0),VALUE(LEFT(G945,FIND(" ",G945)-1))))),"")</f>
        <v>54132</v>
      </c>
      <c r="M945" t="str">
        <f t="shared" si="278"/>
        <v xml:space="preserve">+7 (903) 012-34-56</v>
      </c>
      <c r="N945" t="str">
        <f t="shared" si="279"/>
        <v>smirnova@yandex</v>
      </c>
      <c r="O945" t="str">
        <f t="shared" si="280"/>
        <v xml:space="preserve">Ошибка Email</v>
      </c>
      <c r="P945" t="str">
        <f>IFERROR(VLOOKUP(TRIM(SUBSTITUTE(SUBSTITUTE(" "&amp;F945," г "," "),"г.","")),Справочники!$J$3:$K$102,2,0),TRIM(SUBSTITUTE(SUBSTITUTE(" "&amp;F945," г "," "),"г.","")))</f>
        <v>Подольск</v>
      </c>
    </row>
    <row r="946">
      <c r="A946" s="3" t="s">
        <v>3855</v>
      </c>
      <c r="B946" s="3" t="s">
        <v>7734</v>
      </c>
      <c r="C946" s="3" t="s">
        <v>5885</v>
      </c>
      <c r="D946" s="3" t="s">
        <v>4034</v>
      </c>
      <c r="E946" s="3" t="s">
        <v>7735</v>
      </c>
      <c r="F946" s="3" t="s">
        <v>4375</v>
      </c>
      <c r="G946" s="3" t="s">
        <v>7736</v>
      </c>
      <c r="H946" t="str">
        <f t="shared" si="275"/>
        <v xml:space="preserve">Букин Денис Викторович</v>
      </c>
      <c r="I946" s="5">
        <f>IFERROR(IF(ISNUMBER(FIND("-",C946)),DATE(VALUE(LEFT(C946,4)),VALUE(MID(C946,6,2)),VALUE(RIGHT(C946,2))),IF(ISNUMBER(FIND(".",C946)),DATE(VALUE(RIGHT(C946,4)),VALUE(MID(C946,4,2)),VALUE(LEFT(C946,2))),DATE(VALUE(RIGHT(C946,4)),VLOOKUP(TRIM(MID(C946,FIND(" ",C946)+1,LEN(C946)-FIND(" ",C946)-5)),Справочники!$M$3:$N$14,2,0),VALUE(LEFT(C946,FIND(" ",C946)-1))))),"")</f>
        <v>32400</v>
      </c>
      <c r="J946" s="6">
        <f t="shared" si="276"/>
        <v>38</v>
      </c>
      <c r="K946" t="str">
        <f t="shared" si="277"/>
        <v>ОК</v>
      </c>
      <c r="L946" s="5">
        <f>IFERROR(IF(ISNUMBER(FIND("-",G946)),DATE(VALUE(LEFT(G946,4)),VALUE(MID(G946,6,2)),VALUE(RIGHT(G946,2))),IF(ISNUMBER(FIND(".",G946)),DATE(VALUE(RIGHT(G946,4)),VALUE(MID(G946,4,2)),VALUE(LEFT(G946,2))),DATE(VALUE(RIGHT(G946,4)),VLOOKUP(TRIM(MID(G946,FIND(" ",G946)+1,LEN(G946)-FIND(" ",G946)-5)),Справочники!$M$3:$N$14,2,0),VALUE(LEFT(G946,FIND(" ",G946)-1))))),"")</f>
        <v>54132</v>
      </c>
      <c r="M946" t="str">
        <f t="shared" si="278"/>
        <v xml:space="preserve">+7 (903) 123-45-67</v>
      </c>
      <c r="N946" t="str">
        <f t="shared" si="279"/>
        <v>bukin@gmail</v>
      </c>
      <c r="O946" t="str">
        <f t="shared" si="280"/>
        <v xml:space="preserve">Ошибка Email</v>
      </c>
      <c r="P946" t="str">
        <f>IFERROR(VLOOKUP(TRIM(SUBSTITUTE(SUBSTITUTE(" "&amp;F946," г "," "),"г.","")),Справочники!$J$3:$K$102,2,0),TRIM(SUBSTITUTE(SUBSTITUTE(" "&amp;F946," г "," "),"г.","")))</f>
        <v>Балашиха</v>
      </c>
    </row>
    <row r="947">
      <c r="A947" s="3" t="s">
        <v>3857</v>
      </c>
      <c r="B947" s="3" t="s">
        <v>7737</v>
      </c>
      <c r="C947" s="3" t="s">
        <v>7738</v>
      </c>
      <c r="D947" s="3" t="s">
        <v>4040</v>
      </c>
      <c r="E947" s="3" t="s">
        <v>7739</v>
      </c>
      <c r="F947" s="3" t="s">
        <v>4380</v>
      </c>
      <c r="G947" s="3" t="s">
        <v>7740</v>
      </c>
      <c r="H947" t="str">
        <f t="shared" si="275"/>
        <v xml:space="preserve">Стрельцова Екатерина Владимировна</v>
      </c>
      <c r="I947" s="5">
        <f>IFERROR(IF(ISNUMBER(FIND("-",C947)),DATE(VALUE(LEFT(C947,4)),VALUE(MID(C947,6,2)),VALUE(RIGHT(C947,2))),IF(ISNUMBER(FIND(".",C947)),DATE(VALUE(RIGHT(C947,4)),VALUE(MID(C947,4,2)),VALUE(LEFT(C947,2))),DATE(VALUE(RIGHT(C947,4)),VLOOKUP(TRIM(MID(C947,FIND(" ",C947)+1,LEN(C947)-FIND(" ",C947)-5)),Справочники!$M$3:$N$14,2,0),VALUE(LEFT(C947,FIND(" ",C947)-1))))),"")</f>
        <v>33271</v>
      </c>
      <c r="J947" s="6">
        <f t="shared" si="276"/>
        <v>35</v>
      </c>
      <c r="K947" t="str">
        <f t="shared" si="277"/>
        <v>ОК</v>
      </c>
      <c r="L947" s="5">
        <f>IFERROR(IF(ISNUMBER(FIND("-",G947)),DATE(VALUE(LEFT(G947,4)),VALUE(MID(G947,6,2)),VALUE(RIGHT(G947,2))),IF(ISNUMBER(FIND(".",G947)),DATE(VALUE(RIGHT(G947,4)),VALUE(MID(G947,4,2)),VALUE(LEFT(G947,2))),DATE(VALUE(RIGHT(G947,4)),VLOOKUP(TRIM(MID(G947,FIND(" ",G947)+1,LEN(G947)-FIND(" ",G947)-5)),Справочники!$M$3:$N$14,2,0),VALUE(LEFT(G947,FIND(" ",G947)-1))))),"")</f>
        <v>54149</v>
      </c>
      <c r="M947" t="str">
        <f t="shared" si="278"/>
        <v xml:space="preserve">+7 (903) 123-45-67</v>
      </c>
      <c r="N947" t="str">
        <f t="shared" si="279"/>
        <v>streltsova@mail</v>
      </c>
      <c r="O947" t="str">
        <f t="shared" si="280"/>
        <v xml:space="preserve">Ошибка Email</v>
      </c>
      <c r="P947" t="str">
        <f>IFERROR(VLOOKUP(TRIM(SUBSTITUTE(SUBSTITUTE(" "&amp;F947," г "," "),"г.","")),Справочники!$J$3:$K$102,2,0),TRIM(SUBSTITUTE(SUBSTITUTE(" "&amp;F947," г "," "),"г.","")))</f>
        <v>Сургут</v>
      </c>
    </row>
    <row r="948">
      <c r="A948" s="3" t="s">
        <v>3859</v>
      </c>
      <c r="B948" s="3" t="s">
        <v>7741</v>
      </c>
      <c r="C948" s="3" t="s">
        <v>7742</v>
      </c>
      <c r="D948" s="3" t="s">
        <v>1570</v>
      </c>
      <c r="E948" s="3" t="s">
        <v>7743</v>
      </c>
      <c r="F948" s="3" t="s">
        <v>4385</v>
      </c>
      <c r="G948" s="3" t="s">
        <v>7744</v>
      </c>
      <c r="H948" t="str">
        <f t="shared" si="275"/>
        <v xml:space="preserve">Марков Андрей Олегович</v>
      </c>
      <c r="I948" s="5">
        <f>IFERROR(IF(ISNUMBER(FIND("-",C948)),DATE(VALUE(LEFT(C948,4)),VALUE(MID(C948,6,2)),VALUE(RIGHT(C948,2))),IF(ISNUMBER(FIND(".",C948)),DATE(VALUE(RIGHT(C948,4)),VALUE(MID(C948,4,2)),VALUE(LEFT(C948,2))),DATE(VALUE(RIGHT(C948,4)),VLOOKUP(TRIM(MID(C948,FIND(" ",C948)+1,LEN(C948)-FIND(" ",C948)-5)),Справочники!$M$3:$N$14,2,0),VALUE(LEFT(C948,FIND(" ",C948)-1))))),"")</f>
        <v>31925</v>
      </c>
      <c r="J948" s="6">
        <f t="shared" si="276"/>
        <v>39</v>
      </c>
      <c r="K948" t="str">
        <f t="shared" si="277"/>
        <v>ОК</v>
      </c>
      <c r="L948" s="5">
        <f>IFERROR(IF(ISNUMBER(FIND("-",G948)),DATE(VALUE(LEFT(G948,4)),VALUE(MID(G948,6,2)),VALUE(RIGHT(G948,2))),IF(ISNUMBER(FIND(".",G948)),DATE(VALUE(RIGHT(G948,4)),VALUE(MID(G948,4,2)),VALUE(LEFT(G948,2))),DATE(VALUE(RIGHT(G948,4)),VLOOKUP(TRIM(MID(G948,FIND(" ",G948)+1,LEN(G948)-FIND(" ",G948)-5)),Справочники!$M$3:$N$14,2,0),VALUE(LEFT(G948,FIND(" ",G948)-1))))),"")</f>
        <v>54158</v>
      </c>
      <c r="M948" t="str">
        <f t="shared" si="278"/>
        <v xml:space="preserve">+7 (903) 123-45-67</v>
      </c>
      <c r="N948" t="str">
        <f t="shared" si="279"/>
        <v>markov@yandex</v>
      </c>
      <c r="O948" t="str">
        <f t="shared" si="280"/>
        <v xml:space="preserve">Ошибка Email</v>
      </c>
      <c r="P948" t="str">
        <f>IFERROR(VLOOKUP(TRIM(SUBSTITUTE(SUBSTITUTE(" "&amp;F948," г "," "),"г.","")),Справочники!$J$3:$K$102,2,0),TRIM(SUBSTITUTE(SUBSTITUTE(" "&amp;F948," г "," "),"г.","")))</f>
        <v>Армавир</v>
      </c>
    </row>
    <row r="949">
      <c r="A949" s="3" t="s">
        <v>3861</v>
      </c>
      <c r="B949" s="3" t="s">
        <v>7745</v>
      </c>
      <c r="C949" s="3" t="s">
        <v>7746</v>
      </c>
      <c r="D949" s="3" t="s">
        <v>4051</v>
      </c>
      <c r="E949" s="3" t="s">
        <v>7747</v>
      </c>
      <c r="F949" s="3" t="s">
        <v>4390</v>
      </c>
      <c r="G949" s="3" t="s">
        <v>7748</v>
      </c>
      <c r="H949" t="str">
        <f t="shared" si="275"/>
        <v xml:space="preserve">Позднякова Мария Павловна</v>
      </c>
      <c r="I949" s="5">
        <f>IFERROR(IF(ISNUMBER(FIND("-",C949)),DATE(VALUE(LEFT(C949,4)),VALUE(MID(C949,6,2)),VALUE(RIGHT(C949,2))),IF(ISNUMBER(FIND(".",C949)),DATE(VALUE(RIGHT(C949,4)),VALUE(MID(C949,4,2)),VALUE(LEFT(C949,2))),DATE(VALUE(RIGHT(C949,4)),VLOOKUP(TRIM(MID(C949,FIND(" ",C949)+1,LEN(C949)-FIND(" ",C949)-5)),Справочники!$M$3:$N$14,2,0),VALUE(LEFT(C949,FIND(" ",C949)-1))))),"")</f>
        <v>27564</v>
      </c>
      <c r="J949" s="6">
        <f t="shared" si="276"/>
        <v>51</v>
      </c>
      <c r="K949" t="str">
        <f t="shared" si="277"/>
        <v>ОК</v>
      </c>
      <c r="L949" s="5">
        <f>IFERROR(IF(ISNUMBER(FIND("-",G949)),DATE(VALUE(LEFT(G949,4)),VALUE(MID(G949,6,2)),VALUE(RIGHT(G949,2))),IF(ISNUMBER(FIND(".",G949)),DATE(VALUE(RIGHT(G949,4)),VALUE(MID(G949,4,2)),VALUE(LEFT(G949,2))),DATE(VALUE(RIGHT(G949,4)),VLOOKUP(TRIM(MID(G949,FIND(" ",G949)+1,LEN(G949)-FIND(" ",G949)-5)),Справочники!$M$3:$N$14,2,0),VALUE(LEFT(G949,FIND(" ",G949)-1))))),"")</f>
        <v>54158</v>
      </c>
      <c r="M949" t="str">
        <f t="shared" si="278"/>
        <v xml:space="preserve">+7 (903) 234-56-78</v>
      </c>
      <c r="N949" t="str">
        <f t="shared" si="279"/>
        <v>pozdnyakova@gmail</v>
      </c>
      <c r="O949" t="str">
        <f t="shared" si="280"/>
        <v xml:space="preserve">Ошибка Email</v>
      </c>
      <c r="P949" t="str">
        <f>IFERROR(VLOOKUP(TRIM(SUBSTITUTE(SUBSTITUTE(" "&amp;F949," г "," "),"г.","")),Справочники!$J$3:$K$102,2,0),TRIM(SUBSTITUTE(SUBSTITUTE(" "&amp;F949," г "," "),"г.","")))</f>
        <v>Волжский</v>
      </c>
    </row>
    <row r="950">
      <c r="A950" s="3" t="s">
        <v>3863</v>
      </c>
      <c r="B950" s="3" t="s">
        <v>7749</v>
      </c>
      <c r="C950" s="3" t="s">
        <v>6544</v>
      </c>
      <c r="D950" s="3" t="s">
        <v>4057</v>
      </c>
      <c r="E950" s="3" t="s">
        <v>7750</v>
      </c>
      <c r="F950" s="3" t="s">
        <v>4395</v>
      </c>
      <c r="G950" s="3" t="s">
        <v>7751</v>
      </c>
      <c r="H950" t="str">
        <f t="shared" si="275"/>
        <v xml:space="preserve">Левченко Денис Сергеевич</v>
      </c>
      <c r="I950" s="5">
        <f>IFERROR(IF(ISNUMBER(FIND("-",C950)),DATE(VALUE(LEFT(C950,4)),VALUE(MID(C950,6,2)),VALUE(RIGHT(C950,2))),IF(ISNUMBER(FIND(".",C950)),DATE(VALUE(RIGHT(C950,4)),VALUE(MID(C950,4,2)),VALUE(LEFT(C950,2))),DATE(VALUE(RIGHT(C950,4)),VLOOKUP(TRIM(MID(C950,FIND(" ",C950)+1,LEN(C950)-FIND(" ",C950)-5)),Справочники!$M$3:$N$14,2,0),VALUE(LEFT(C950,FIND(" ",C950)-1))))),"")</f>
        <v>30170</v>
      </c>
      <c r="J950" s="6">
        <f t="shared" si="276"/>
        <v>44</v>
      </c>
      <c r="K950" t="str">
        <f t="shared" si="277"/>
        <v>ОК</v>
      </c>
      <c r="L950" s="5">
        <f>IFERROR(IF(ISNUMBER(FIND("-",G950)),DATE(VALUE(LEFT(G950,4)),VALUE(MID(G950,6,2)),VALUE(RIGHT(G950,2))),IF(ISNUMBER(FIND(".",G950)),DATE(VALUE(RIGHT(G950,4)),VALUE(MID(G950,4,2)),VALUE(LEFT(G950,2))),DATE(VALUE(RIGHT(G950,4)),VLOOKUP(TRIM(MID(G950,FIND(" ",G950)+1,LEN(G950)-FIND(" ",G950)-5)),Справочники!$M$3:$N$14,2,0),VALUE(LEFT(G950,FIND(" ",G950)-1))))),"")</f>
        <v>54179</v>
      </c>
      <c r="M950" t="str">
        <f t="shared" si="278"/>
        <v xml:space="preserve">+7 (903) 234-56-78</v>
      </c>
      <c r="N950" t="str">
        <f t="shared" si="279"/>
        <v>levchenko@mail</v>
      </c>
      <c r="O950" t="str">
        <f t="shared" si="280"/>
        <v xml:space="preserve">Ошибка Email</v>
      </c>
      <c r="P950" t="str">
        <f>IFERROR(VLOOKUP(TRIM(SUBSTITUTE(SUBSTITUTE(" "&amp;F950," г "," "),"г.","")),Справочники!$J$3:$K$102,2,0),TRIM(SUBSTITUTE(SUBSTITUTE(" "&amp;F950," г "," "),"г.","")))</f>
        <v>Шахты</v>
      </c>
    </row>
    <row r="951">
      <c r="A951" s="3" t="s">
        <v>3864</v>
      </c>
      <c r="B951" s="3" t="s">
        <v>6484</v>
      </c>
      <c r="C951" s="3" t="s">
        <v>7752</v>
      </c>
      <c r="D951" s="3" t="s">
        <v>1712</v>
      </c>
      <c r="E951" s="3" t="s">
        <v>6486</v>
      </c>
      <c r="F951" s="3" t="s">
        <v>4400</v>
      </c>
      <c r="G951" s="3" t="s">
        <v>7753</v>
      </c>
      <c r="H951" t="str">
        <f t="shared" si="275"/>
        <v xml:space="preserve">Андреева Ольга Владимировна</v>
      </c>
      <c r="I951" s="5">
        <f>IFERROR(IF(ISNUMBER(FIND("-",C951)),DATE(VALUE(LEFT(C951,4)),VALUE(MID(C951,6,2)),VALUE(RIGHT(C951,2))),IF(ISNUMBER(FIND(".",C951)),DATE(VALUE(RIGHT(C951,4)),VALUE(MID(C951,4,2)),VALUE(LEFT(C951,2))),DATE(VALUE(RIGHT(C951,4)),VLOOKUP(TRIM(MID(C951,FIND(" ",C951)+1,LEN(C951)-FIND(" ",C951)-5)),Справочники!$M$3:$N$14,2,0),VALUE(LEFT(C951,FIND(" ",C951)-1))))),"")</f>
        <v>32827</v>
      </c>
      <c r="J951" s="6">
        <f t="shared" si="276"/>
        <v>36</v>
      </c>
      <c r="K951" t="str">
        <f t="shared" si="277"/>
        <v>ОК</v>
      </c>
      <c r="L951" s="5">
        <f>IFERROR(IF(ISNUMBER(FIND("-",G951)),DATE(VALUE(LEFT(G951,4)),VALUE(MID(G951,6,2)),VALUE(RIGHT(G951,2))),IF(ISNUMBER(FIND(".",G951)),DATE(VALUE(RIGHT(G951,4)),VALUE(MID(G951,4,2)),VALUE(LEFT(G951,2))),DATE(VALUE(RIGHT(G951,4)),VLOOKUP(TRIM(MID(G951,FIND(" ",G951)+1,LEN(G951)-FIND(" ",G951)-5)),Справочники!$M$3:$N$14,2,0),VALUE(LEFT(G951,FIND(" ",G951)-1))))),"")</f>
        <v>54193</v>
      </c>
      <c r="M951" t="str">
        <f t="shared" si="278"/>
        <v xml:space="preserve">+7 (903) 234-56-78</v>
      </c>
      <c r="N951" t="str">
        <f t="shared" si="279"/>
        <v>andreeva@yandex</v>
      </c>
      <c r="O951" t="str">
        <f t="shared" si="280"/>
        <v xml:space="preserve">Ошибка Email</v>
      </c>
      <c r="P951" t="str">
        <f>IFERROR(VLOOKUP(TRIM(SUBSTITUTE(SUBSTITUTE(" "&amp;F951," г "," "),"г.","")),Справочники!$J$3:$K$102,2,0),TRIM(SUBSTITUTE(SUBSTITUTE(" "&amp;F951," г "," "),"г.","")))</f>
        <v>Златоуст</v>
      </c>
    </row>
    <row r="952">
      <c r="A952" s="3" t="s">
        <v>3866</v>
      </c>
      <c r="B952" s="3" t="s">
        <v>7754</v>
      </c>
      <c r="C952" s="3" t="s">
        <v>7755</v>
      </c>
      <c r="D952" s="3" t="s">
        <v>1584</v>
      </c>
      <c r="E952" s="3" t="s">
        <v>7756</v>
      </c>
      <c r="F952" s="3" t="s">
        <v>4405</v>
      </c>
      <c r="G952" s="3" t="s">
        <v>7757</v>
      </c>
      <c r="H952" t="str">
        <f t="shared" si="275"/>
        <v xml:space="preserve">Севастьянов Илья Александрович</v>
      </c>
      <c r="I952" s="5">
        <f>IFERROR(IF(ISNUMBER(FIND("-",C952)),DATE(VALUE(LEFT(C952,4)),VALUE(MID(C952,6,2)),VALUE(RIGHT(C952,2))),IF(ISNUMBER(FIND(".",C952)),DATE(VALUE(RIGHT(C952,4)),VALUE(MID(C952,4,2)),VALUE(LEFT(C952,2))),DATE(VALUE(RIGHT(C952,4)),VLOOKUP(TRIM(MID(C952,FIND(" ",C952)+1,LEN(C952)-FIND(" ",C952)-5)),Справочники!$M$3:$N$14,2,0),VALUE(LEFT(C952,FIND(" ",C952)-1))))),"")</f>
        <v>27841</v>
      </c>
      <c r="J952" s="6">
        <f t="shared" si="276"/>
        <v>50</v>
      </c>
      <c r="K952" t="str">
        <f t="shared" si="277"/>
        <v>ОК</v>
      </c>
      <c r="L952" s="5">
        <f>IFERROR(IF(ISNUMBER(FIND("-",G952)),DATE(VALUE(LEFT(G952,4)),VALUE(MID(G952,6,2)),VALUE(RIGHT(G952,2))),IF(ISNUMBER(FIND(".",G952)),DATE(VALUE(RIGHT(G952,4)),VALUE(MID(G952,4,2)),VALUE(LEFT(G952,2))),DATE(VALUE(RIGHT(G952,4)),VLOOKUP(TRIM(MID(G952,FIND(" ",G952)+1,LEN(G952)-FIND(" ",G952)-5)),Справочники!$M$3:$N$14,2,0),VALUE(LEFT(G952,FIND(" ",G952)-1))))),"")</f>
        <v>54193</v>
      </c>
      <c r="M952" t="str">
        <f t="shared" si="278"/>
        <v xml:space="preserve">+7 (903) 345-67-89</v>
      </c>
      <c r="N952" t="str">
        <f t="shared" si="279"/>
        <v>sevastyanov@gmail</v>
      </c>
      <c r="O952" t="str">
        <f t="shared" si="280"/>
        <v xml:space="preserve">Ошибка Email</v>
      </c>
      <c r="P952" t="str">
        <f>IFERROR(VLOOKUP(TRIM(SUBSTITUTE(SUBSTITUTE(" "&amp;F952," г "," "),"г.","")),Справочники!$J$3:$K$102,2,0),TRIM(SUBSTITUTE(SUBSTITUTE(" "&amp;F952," г "," "),"г.","")))</f>
        <v>Ангарск</v>
      </c>
    </row>
    <row r="953">
      <c r="A953" s="3" t="s">
        <v>3868</v>
      </c>
      <c r="B953" s="3" t="s">
        <v>7758</v>
      </c>
      <c r="C953" s="3" t="s">
        <v>7759</v>
      </c>
      <c r="D953" s="3" t="s">
        <v>4073</v>
      </c>
      <c r="E953" s="3" t="s">
        <v>7760</v>
      </c>
      <c r="F953" s="3" t="s">
        <v>4410</v>
      </c>
      <c r="G953" s="3" t="s">
        <v>7761</v>
      </c>
      <c r="H953" t="str">
        <f t="shared" si="275"/>
        <v xml:space="preserve">Кузьмина Екатерина Сергеевна</v>
      </c>
      <c r="I953" s="5">
        <f>IFERROR(IF(ISNUMBER(FIND("-",C953)),DATE(VALUE(LEFT(C953,4)),VALUE(MID(C953,6,2)),VALUE(RIGHT(C953,2))),IF(ISNUMBER(FIND(".",C953)),DATE(VALUE(RIGHT(C953,4)),VALUE(MID(C953,4,2)),VALUE(LEFT(C953,2))),DATE(VALUE(RIGHT(C953,4)),VLOOKUP(TRIM(MID(C953,FIND(" ",C953)+1,LEN(C953)-FIND(" ",C953)-5)),Справочники!$M$3:$N$14,2,0),VALUE(LEFT(C953,FIND(" ",C953)-1))))),"")</f>
        <v>30937</v>
      </c>
      <c r="J953" s="6">
        <f t="shared" si="276"/>
        <v>42</v>
      </c>
      <c r="K953" t="str">
        <f t="shared" si="277"/>
        <v>ОК</v>
      </c>
      <c r="L953" s="5">
        <f>IFERROR(IF(ISNUMBER(FIND("-",G953)),DATE(VALUE(LEFT(G953,4)),VALUE(MID(G953,6,2)),VALUE(RIGHT(G953,2))),IF(ISNUMBER(FIND(".",G953)),DATE(VALUE(RIGHT(G953,4)),VALUE(MID(G953,4,2)),VALUE(LEFT(G953,2))),DATE(VALUE(RIGHT(G953,4)),VLOOKUP(TRIM(MID(G953,FIND(" ",G953)+1,LEN(G953)-FIND(" ",G953)-5)),Справочники!$M$3:$N$14,2,0),VALUE(LEFT(G953,FIND(" ",G953)-1))))),"")</f>
        <v>54210</v>
      </c>
      <c r="M953" t="str">
        <f t="shared" si="278"/>
        <v xml:space="preserve">+7 (903) 345-67-89</v>
      </c>
      <c r="N953" t="str">
        <f t="shared" si="279"/>
        <v>kuzmina@mail</v>
      </c>
      <c r="O953" t="str">
        <f t="shared" si="280"/>
        <v xml:space="preserve">Ошибка Email</v>
      </c>
      <c r="P953" t="str">
        <f>IFERROR(VLOOKUP(TRIM(SUBSTITUTE(SUBSTITUTE(" "&amp;F953," г "," "),"г.","")),Справочники!$J$3:$K$102,2,0),TRIM(SUBSTITUTE(SUBSTITUTE(" "&amp;F953," г "," "),"г.","")))</f>
        <v>Озёрск</v>
      </c>
    </row>
    <row r="954">
      <c r="A954" s="3" t="s">
        <v>3870</v>
      </c>
      <c r="B954" s="3" t="s">
        <v>7762</v>
      </c>
      <c r="C954" s="3" t="s">
        <v>7763</v>
      </c>
      <c r="D954" s="3" t="s">
        <v>4079</v>
      </c>
      <c r="E954" s="3" t="s">
        <v>7764</v>
      </c>
      <c r="F954" s="3" t="s">
        <v>4415</v>
      </c>
      <c r="G954" s="3" t="s">
        <v>7765</v>
      </c>
      <c r="H954" t="str">
        <f t="shared" si="275"/>
        <v xml:space="preserve">Матвеев Андрей Олегович</v>
      </c>
      <c r="I954" s="5">
        <f>IFERROR(IF(ISNUMBER(FIND("-",C954)),DATE(VALUE(LEFT(C954,4)),VALUE(MID(C954,6,2)),VALUE(RIGHT(C954,2))),IF(ISNUMBER(FIND(".",C954)),DATE(VALUE(RIGHT(C954,4)),VALUE(MID(C954,4,2)),VALUE(LEFT(C954,2))),DATE(VALUE(RIGHT(C954,4)),VLOOKUP(TRIM(MID(C954,FIND(" ",C954)+1,LEN(C954)-FIND(" ",C954)-5)),Справочники!$M$3:$N$14,2,0),VALUE(LEFT(C954,FIND(" ",C954)-1))))),"")</f>
        <v>33416</v>
      </c>
      <c r="J954" s="6">
        <f t="shared" si="276"/>
        <v>35</v>
      </c>
      <c r="K954" t="str">
        <f t="shared" si="277"/>
        <v>ОК</v>
      </c>
      <c r="L954" s="5">
        <f>IFERROR(IF(ISNUMBER(FIND("-",G954)),DATE(VALUE(LEFT(G954,4)),VALUE(MID(G954,6,2)),VALUE(RIGHT(G954,2))),IF(ISNUMBER(FIND(".",G954)),DATE(VALUE(RIGHT(G954,4)),VALUE(MID(G954,4,2)),VALUE(LEFT(G954,2))),DATE(VALUE(RIGHT(G954,4)),VLOOKUP(TRIM(MID(G954,FIND(" ",G954)+1,LEN(G954)-FIND(" ",G954)-5)),Справочники!$M$3:$N$14,2,0),VALUE(LEFT(G954,FIND(" ",G954)-1))))),"")</f>
        <v>54219</v>
      </c>
      <c r="M954" t="str">
        <f t="shared" si="278"/>
        <v xml:space="preserve">+7 (903) 345-67-89</v>
      </c>
      <c r="N954" t="str">
        <f t="shared" si="279"/>
        <v>matveev@yandex</v>
      </c>
      <c r="O954" t="str">
        <f t="shared" si="280"/>
        <v xml:space="preserve">Ошибка Email</v>
      </c>
      <c r="P954" t="str">
        <f>IFERROR(VLOOKUP(TRIM(SUBSTITUTE(SUBSTITUTE(" "&amp;F954," г "," "),"г.","")),Справочники!$J$3:$K$102,2,0),TRIM(SUBSTITUTE(SUBSTITUTE(" "&amp;F954," г "," "),"г.","")))</f>
        <v>Орел</v>
      </c>
    </row>
    <row r="955">
      <c r="A955" s="3" t="s">
        <v>3871</v>
      </c>
      <c r="B955" s="3" t="s">
        <v>7766</v>
      </c>
      <c r="C955" s="3" t="s">
        <v>7767</v>
      </c>
      <c r="D955" s="3" t="s">
        <v>4085</v>
      </c>
      <c r="E955" s="3" t="s">
        <v>7768</v>
      </c>
      <c r="F955" s="3" t="s">
        <v>4184</v>
      </c>
      <c r="G955" s="3" t="s">
        <v>7769</v>
      </c>
      <c r="H955" t="str">
        <f t="shared" si="275"/>
        <v xml:space="preserve">Удальцова Мария Павловна</v>
      </c>
      <c r="I955" s="5">
        <f>IFERROR(IF(ISNUMBER(FIND("-",C955)),DATE(VALUE(LEFT(C955,4)),VALUE(MID(C955,6,2)),VALUE(RIGHT(C955,2))),IF(ISNUMBER(FIND(".",C955)),DATE(VALUE(RIGHT(C955,4)),VALUE(MID(C955,4,2)),VALUE(LEFT(C955,2))),DATE(VALUE(RIGHT(C955,4)),VLOOKUP(TRIM(MID(C955,FIND(" ",C955)+1,LEN(C955)-FIND(" ",C955)-5)),Справочники!$M$3:$N$14,2,0),VALUE(LEFT(C955,FIND(" ",C955)-1))))),"")</f>
        <v>28145</v>
      </c>
      <c r="J955" s="6">
        <f t="shared" si="276"/>
        <v>49</v>
      </c>
      <c r="K955" t="str">
        <f t="shared" si="277"/>
        <v>ОК</v>
      </c>
      <c r="L955" s="5">
        <f>IFERROR(IF(ISNUMBER(FIND("-",G955)),DATE(VALUE(LEFT(G955,4)),VALUE(MID(G955,6,2)),VALUE(RIGHT(G955,2))),IF(ISNUMBER(FIND(".",G955)),DATE(VALUE(RIGHT(G955,4)),VALUE(MID(G955,4,2)),VALUE(LEFT(G955,2))),DATE(VALUE(RIGHT(G955,4)),VLOOKUP(TRIM(MID(G955,FIND(" ",G955)+1,LEN(G955)-FIND(" ",G955)-5)),Справочники!$M$3:$N$14,2,0),VALUE(LEFT(G955,FIND(" ",G955)-1))))),"")</f>
        <v>54219</v>
      </c>
      <c r="M955" t="str">
        <f t="shared" si="278"/>
        <v xml:space="preserve">+7 (903) 456-78-90</v>
      </c>
      <c r="N955" t="str">
        <f t="shared" si="279"/>
        <v>udaltsova@gmail</v>
      </c>
      <c r="O955" t="str">
        <f t="shared" si="280"/>
        <v xml:space="preserve">Ошибка Email</v>
      </c>
      <c r="P955" t="str">
        <f>IFERROR(VLOOKUP(TRIM(SUBSTITUTE(SUBSTITUTE(" "&amp;F955," г "," "),"г.","")),Справочники!$J$3:$K$102,2,0),TRIM(SUBSTITUTE(SUBSTITUTE(" "&amp;F955," г "," "),"г.","")))</f>
        <v>Магнитогорск</v>
      </c>
    </row>
    <row r="956">
      <c r="A956" s="3" t="s">
        <v>3873</v>
      </c>
      <c r="B956" s="3" t="s">
        <v>7770</v>
      </c>
      <c r="C956" s="3" t="s">
        <v>7771</v>
      </c>
      <c r="D956" s="3" t="s">
        <v>1591</v>
      </c>
      <c r="E956" s="3" t="s">
        <v>5748</v>
      </c>
      <c r="F956" s="3" t="s">
        <v>4205</v>
      </c>
      <c r="G956" s="3" t="s">
        <v>7772</v>
      </c>
      <c r="H956" t="str">
        <f t="shared" si="275"/>
        <v xml:space="preserve">Хабаров Денис Викторович</v>
      </c>
      <c r="I956" s="5">
        <f>IFERROR(IF(ISNUMBER(FIND("-",C956)),DATE(VALUE(LEFT(C956,4)),VALUE(MID(C956,6,2)),VALUE(RIGHT(C956,2))),IF(ISNUMBER(FIND(".",C956)),DATE(VALUE(RIGHT(C956,4)),VALUE(MID(C956,4,2)),VALUE(LEFT(C956,2))),DATE(VALUE(RIGHT(C956,4)),VLOOKUP(TRIM(MID(C956,FIND(" ",C956)+1,LEN(C956)-FIND(" ",C956)-5)),Справочники!$M$3:$N$14,2,0),VALUE(LEFT(C956,FIND(" ",C956)-1))))),"")</f>
        <v>31397</v>
      </c>
      <c r="J956" s="6">
        <f t="shared" si="276"/>
        <v>40</v>
      </c>
      <c r="K956" t="str">
        <f t="shared" si="277"/>
        <v>ОК</v>
      </c>
      <c r="L956" s="5">
        <f>IFERROR(IF(ISNUMBER(FIND("-",G956)),DATE(VALUE(LEFT(G956,4)),VALUE(MID(G956,6,2)),VALUE(RIGHT(G956,2))),IF(ISNUMBER(FIND(".",G956)),DATE(VALUE(RIGHT(G956,4)),VALUE(MID(G956,4,2)),VALUE(LEFT(G956,2))),DATE(VALUE(RIGHT(G956,4)),VLOOKUP(TRIM(MID(G956,FIND(" ",G956)+1,LEN(G956)-FIND(" ",G956)-5)),Справочники!$M$3:$N$14,2,0),VALUE(LEFT(G956,FIND(" ",G956)-1))))),"")</f>
        <v>54240</v>
      </c>
      <c r="M956" t="str">
        <f t="shared" si="278"/>
        <v xml:space="preserve">+7 (903) 456-78-90</v>
      </c>
      <c r="N956" t="str">
        <f t="shared" si="279"/>
        <v>habarov@mail</v>
      </c>
      <c r="O956" t="str">
        <f t="shared" si="280"/>
        <v xml:space="preserve">Ошибка Email</v>
      </c>
      <c r="P956" t="str">
        <f>IFERROR(VLOOKUP(TRIM(SUBSTITUTE(SUBSTITUTE(" "&amp;F956," г "," "),"г.","")),Справочники!$J$3:$K$102,2,0),TRIM(SUBSTITUTE(SUBSTITUTE(" "&amp;F956," г "," "),"г.","")))</f>
        <v>Якутск</v>
      </c>
    </row>
    <row r="957">
      <c r="A957" s="3" t="s">
        <v>3875</v>
      </c>
      <c r="B957" s="3" t="s">
        <v>7773</v>
      </c>
      <c r="C957" s="3" t="s">
        <v>7774</v>
      </c>
      <c r="D957" s="3" t="s">
        <v>1660</v>
      </c>
      <c r="E957" s="3" t="s">
        <v>7775</v>
      </c>
      <c r="F957" s="3" t="s">
        <v>4152</v>
      </c>
      <c r="G957" s="3" t="s">
        <v>7776</v>
      </c>
      <c r="H957" t="str">
        <f t="shared" si="275"/>
        <v xml:space="preserve">Гуренкова Ольга Сергеевна</v>
      </c>
      <c r="I957" s="5">
        <f>IFERROR(IF(ISNUMBER(FIND("-",C957)),DATE(VALUE(LEFT(C957,4)),VALUE(MID(C957,6,2)),VALUE(RIGHT(C957,2))),IF(ISNUMBER(FIND(".",C957)),DATE(VALUE(RIGHT(C957,4)),VALUE(MID(C957,4,2)),VALUE(LEFT(C957,2))),DATE(VALUE(RIGHT(C957,4)),VLOOKUP(TRIM(MID(C957,FIND(" ",C957)+1,LEN(C957)-FIND(" ",C957)-5)),Справочники!$M$3:$N$14,2,0),VALUE(LEFT(C957,FIND(" ",C957)-1))))),"")</f>
        <v>29369</v>
      </c>
      <c r="J957" s="6">
        <f t="shared" si="276"/>
        <v>46</v>
      </c>
      <c r="K957" t="str">
        <f t="shared" si="277"/>
        <v>ОК</v>
      </c>
      <c r="L957" s="5">
        <f>IFERROR(IF(ISNUMBER(FIND("-",G957)),DATE(VALUE(LEFT(G957,4)),VALUE(MID(G957,6,2)),VALUE(RIGHT(G957,2))),IF(ISNUMBER(FIND(".",G957)),DATE(VALUE(RIGHT(G957,4)),VALUE(MID(G957,4,2)),VALUE(LEFT(G957,2))),DATE(VALUE(RIGHT(G957,4)),VLOOKUP(TRIM(MID(G957,FIND(" ",G957)+1,LEN(G957)-FIND(" ",G957)-5)),Справочники!$M$3:$N$14,2,0),VALUE(LEFT(G957,FIND(" ",G957)-1))))),"")</f>
        <v>54254</v>
      </c>
      <c r="M957" t="str">
        <f t="shared" si="278"/>
        <v xml:space="preserve">+7 (903) 456-78-90</v>
      </c>
      <c r="N957" t="str">
        <f t="shared" si="279"/>
        <v>gurenkova@yandex</v>
      </c>
      <c r="O957" t="str">
        <f t="shared" si="280"/>
        <v xml:space="preserve">Ошибка Email</v>
      </c>
      <c r="P957" t="str">
        <f>IFERROR(VLOOKUP(TRIM(SUBSTITUTE(SUBSTITUTE(" "&amp;F957," г "," "),"г.","")),Справочники!$J$3:$K$102,2,0),TRIM(SUBSTITUTE(SUBSTITUTE(" "&amp;F957," г "," "),"г.","")))</f>
        <v>Чебоксары</v>
      </c>
    </row>
    <row r="958">
      <c r="A958" s="3" t="s">
        <v>3877</v>
      </c>
      <c r="B958" s="3" t="s">
        <v>7777</v>
      </c>
      <c r="C958" s="3" t="s">
        <v>7778</v>
      </c>
      <c r="D958" s="3" t="s">
        <v>3984</v>
      </c>
      <c r="E958" s="3" t="s">
        <v>7779</v>
      </c>
      <c r="F958" s="3" t="s">
        <v>4245</v>
      </c>
      <c r="G958" s="3" t="s">
        <v>7780</v>
      </c>
      <c r="H958" t="str">
        <f t="shared" si="275"/>
        <v xml:space="preserve">Щепин Илья Александрович</v>
      </c>
      <c r="I958" s="5">
        <f>IFERROR(IF(ISNUMBER(FIND("-",C958)),DATE(VALUE(LEFT(C958,4)),VALUE(MID(C958,6,2)),VALUE(RIGHT(C958,2))),IF(ISNUMBER(FIND(".",C958)),DATE(VALUE(RIGHT(C958,4)),VALUE(MID(C958,4,2)),VALUE(LEFT(C958,2))),DATE(VALUE(RIGHT(C958,4)),VLOOKUP(TRIM(MID(C958,FIND(" ",C958)+1,LEN(C958)-FIND(" ",C958)-5)),Справочники!$M$3:$N$14,2,0),VALUE(LEFT(C958,FIND(" ",C958)-1))))),"")</f>
        <v>27304</v>
      </c>
      <c r="J958" s="6">
        <f t="shared" si="276"/>
        <v>52</v>
      </c>
      <c r="K958" t="str">
        <f t="shared" si="277"/>
        <v>ОК</v>
      </c>
      <c r="L958" s="5">
        <f>IFERROR(IF(ISNUMBER(FIND("-",G958)),DATE(VALUE(LEFT(G958,4)),VALUE(MID(G958,6,2)),VALUE(RIGHT(G958,2))),IF(ISNUMBER(FIND(".",G958)),DATE(VALUE(RIGHT(G958,4)),VALUE(MID(G958,4,2)),VALUE(LEFT(G958,2))),DATE(VALUE(RIGHT(G958,4)),VLOOKUP(TRIM(MID(G958,FIND(" ",G958)+1,LEN(G958)-FIND(" ",G958)-5)),Справочники!$M$3:$N$14,2,0),VALUE(LEFT(G958,FIND(" ",G958)-1))))),"")</f>
        <v>54254</v>
      </c>
      <c r="M958" t="str">
        <f t="shared" si="278"/>
        <v xml:space="preserve">+7 (903) 567-89-01</v>
      </c>
      <c r="N958" t="str">
        <f t="shared" si="279"/>
        <v>schepin@gmail</v>
      </c>
      <c r="O958" t="str">
        <f t="shared" si="280"/>
        <v xml:space="preserve">Ошибка Email</v>
      </c>
      <c r="P958" t="str">
        <f>IFERROR(VLOOKUP(TRIM(SUBSTITUTE(SUBSTITUTE(" "&amp;F958," г "," "),"г.","")),Справочники!$J$3:$K$102,2,0),TRIM(SUBSTITUTE(SUBSTITUTE(" "&amp;F958," г "," "),"г.","")))</f>
        <v>Мурманск</v>
      </c>
    </row>
    <row r="959">
      <c r="A959" s="3" t="s">
        <v>3878</v>
      </c>
      <c r="B959" s="3" t="s">
        <v>7781</v>
      </c>
      <c r="C959" s="3" t="s">
        <v>7782</v>
      </c>
      <c r="D959" s="3" t="s">
        <v>3990</v>
      </c>
      <c r="E959" s="3" t="s">
        <v>7783</v>
      </c>
      <c r="F959" s="3" t="s">
        <v>4235</v>
      </c>
      <c r="G959" s="3" t="s">
        <v>7784</v>
      </c>
      <c r="H959" t="str">
        <f t="shared" si="275"/>
        <v xml:space="preserve">Ахметова Екатерина Владимировна</v>
      </c>
      <c r="I959" s="5">
        <f>IFERROR(IF(ISNUMBER(FIND("-",C959)),DATE(VALUE(LEFT(C959,4)),VALUE(MID(C959,6,2)),VALUE(RIGHT(C959,2))),IF(ISNUMBER(FIND(".",C959)),DATE(VALUE(RIGHT(C959,4)),VALUE(MID(C959,4,2)),VALUE(LEFT(C959,2))),DATE(VALUE(RIGHT(C959,4)),VLOOKUP(TRIM(MID(C959,FIND(" ",C959)+1,LEN(C959)-FIND(" ",C959)-5)),Справочники!$M$3:$N$14,2,0),VALUE(LEFT(C959,FIND(" ",C959)-1))))),"")</f>
        <v>31604</v>
      </c>
      <c r="J959" s="6">
        <f t="shared" si="276"/>
        <v>40</v>
      </c>
      <c r="K959" t="str">
        <f t="shared" si="277"/>
        <v>ОК</v>
      </c>
      <c r="L959" s="5">
        <f>IFERROR(IF(ISNUMBER(FIND("-",G959)),DATE(VALUE(LEFT(G959,4)),VALUE(MID(G959,6,2)),VALUE(RIGHT(G959,2))),IF(ISNUMBER(FIND(".",G959)),DATE(VALUE(RIGHT(G959,4)),VALUE(MID(G959,4,2)),VALUE(LEFT(G959,2))),DATE(VALUE(RIGHT(G959,4)),VLOOKUP(TRIM(MID(G959,FIND(" ",G959)+1,LEN(G959)-FIND(" ",G959)-5)),Справочники!$M$3:$N$14,2,0),VALUE(LEFT(G959,FIND(" ",G959)-1))))),"")</f>
        <v>54271</v>
      </c>
      <c r="M959" t="str">
        <f t="shared" si="278"/>
        <v xml:space="preserve">+7 (903) 567-89-01</v>
      </c>
      <c r="N959" t="str">
        <f t="shared" si="279"/>
        <v>ahmetova@mail</v>
      </c>
      <c r="O959" t="str">
        <f t="shared" si="280"/>
        <v xml:space="preserve">Ошибка Email</v>
      </c>
      <c r="P959" t="str">
        <f>IFERROR(VLOOKUP(TRIM(SUBSTITUTE(SUBSTITUTE(" "&amp;F959," г "," "),"г.","")),Справочники!$J$3:$K$102,2,0),TRIM(SUBSTITUTE(SUBSTITUTE(" "&amp;F959," г "," "),"г.","")))</f>
        <v>Смоленск</v>
      </c>
    </row>
    <row r="960">
      <c r="A960" s="3" t="s">
        <v>3880</v>
      </c>
      <c r="B960" s="3" t="s">
        <v>7785</v>
      </c>
      <c r="C960" s="3" t="s">
        <v>7786</v>
      </c>
      <c r="D960" s="3" t="s">
        <v>1598</v>
      </c>
      <c r="E960" s="3" t="s">
        <v>7787</v>
      </c>
      <c r="F960" s="3" t="s">
        <v>4220</v>
      </c>
      <c r="G960" s="3" t="s">
        <v>7788</v>
      </c>
      <c r="H960" t="str">
        <f t="shared" si="275"/>
        <v xml:space="preserve">Кузьмин Денис Павлович</v>
      </c>
      <c r="I960" s="5">
        <f>IFERROR(IF(ISNUMBER(FIND("-",C960)),DATE(VALUE(LEFT(C960,4)),VALUE(MID(C960,6,2)),VALUE(RIGHT(C960,2))),IF(ISNUMBER(FIND(".",C960)),DATE(VALUE(RIGHT(C960,4)),VALUE(MID(C960,4,2)),VALUE(LEFT(C960,2))),DATE(VALUE(RIGHT(C960,4)),VLOOKUP(TRIM(MID(C960,FIND(" ",C960)+1,LEN(C960)-FIND(" ",C960)-5)),Справочники!$M$3:$N$14,2,0),VALUE(LEFT(C960,FIND(" ",C960)-1))))),"")</f>
        <v>33834</v>
      </c>
      <c r="J960" s="6">
        <f t="shared" si="276"/>
        <v>34</v>
      </c>
      <c r="K960" t="str">
        <f t="shared" si="277"/>
        <v>ОК</v>
      </c>
      <c r="L960" s="5">
        <f>IFERROR(IF(ISNUMBER(FIND("-",G960)),DATE(VALUE(LEFT(G960,4)),VALUE(MID(G960,6,2)),VALUE(RIGHT(G960,2))),IF(ISNUMBER(FIND(".",G960)),DATE(VALUE(RIGHT(G960,4)),VALUE(MID(G960,4,2)),VALUE(LEFT(G960,2))),DATE(VALUE(RIGHT(G960,4)),VLOOKUP(TRIM(MID(G960,FIND(" ",G960)+1,LEN(G960)-FIND(" ",G960)-5)),Справочники!$M$3:$N$14,2,0),VALUE(LEFT(G960,FIND(" ",G960)-1))))),"")</f>
        <v>54280</v>
      </c>
      <c r="M960" t="str">
        <f t="shared" si="278"/>
        <v xml:space="preserve">+7 (903) 567-89-01</v>
      </c>
      <c r="N960" t="str">
        <f t="shared" si="279"/>
        <v>kuzmin@yandex</v>
      </c>
      <c r="O960" t="str">
        <f t="shared" si="280"/>
        <v xml:space="preserve">Ошибка Email</v>
      </c>
      <c r="P960" t="str">
        <f>IFERROR(VLOOKUP(TRIM(SUBSTITUTE(SUBSTITUTE(" "&amp;F960," г "," "),"г.","")),Справочники!$J$3:$K$102,2,0),TRIM(SUBSTITUTE(SUBSTITUTE(" "&amp;F960," г "," "),"г.","")))</f>
        <v>Тула</v>
      </c>
    </row>
    <row r="961">
      <c r="A961" s="3" t="s">
        <v>3881</v>
      </c>
      <c r="B961" s="3" t="s">
        <v>7789</v>
      </c>
      <c r="C961" s="3" t="s">
        <v>7790</v>
      </c>
      <c r="D961" s="3" t="s">
        <v>4116</v>
      </c>
      <c r="E961" s="3" t="s">
        <v>7791</v>
      </c>
      <c r="F961" s="3" t="s">
        <v>4225</v>
      </c>
      <c r="G961" s="3" t="s">
        <v>7792</v>
      </c>
      <c r="H961" t="str">
        <f t="shared" si="275"/>
        <v xml:space="preserve">Кирпичева Ольга Сергеевна</v>
      </c>
      <c r="I961" s="5">
        <f>IFERROR(IF(ISNUMBER(FIND("-",C961)),DATE(VALUE(LEFT(C961,4)),VALUE(MID(C961,6,2)),VALUE(RIGHT(C961,2))),IF(ISNUMBER(FIND(".",C961)),DATE(VALUE(RIGHT(C961,4)),VALUE(MID(C961,4,2)),VALUE(LEFT(C961,2))),DATE(VALUE(RIGHT(C961,4)),VLOOKUP(TRIM(MID(C961,FIND(" ",C961)+1,LEN(C961)-FIND(" ",C961)-5)),Справочники!$M$3:$N$14,2,0),VALUE(LEFT(C961,FIND(" ",C961)-1))))),"")</f>
        <v>28553</v>
      </c>
      <c r="J961" s="6">
        <f t="shared" si="276"/>
        <v>48</v>
      </c>
      <c r="K961" t="str">
        <f t="shared" si="277"/>
        <v>ОК</v>
      </c>
      <c r="L961" s="5">
        <f>IFERROR(IF(ISNUMBER(FIND("-",G961)),DATE(VALUE(LEFT(G961,4)),VALUE(MID(G961,6,2)),VALUE(RIGHT(G961,2))),IF(ISNUMBER(FIND(".",G961)),DATE(VALUE(RIGHT(G961,4)),VALUE(MID(G961,4,2)),VALUE(LEFT(G961,2))),DATE(VALUE(RIGHT(G961,4)),VLOOKUP(TRIM(MID(G961,FIND(" ",G961)+1,LEN(G961)-FIND(" ",G961)-5)),Справочники!$M$3:$N$14,2,0),VALUE(LEFT(G961,FIND(" ",G961)-1))))),"")</f>
        <v>54280</v>
      </c>
      <c r="M961" t="str">
        <f t="shared" si="278"/>
        <v xml:space="preserve">+7 (903) 678-90-12</v>
      </c>
      <c r="N961" t="str">
        <f t="shared" si="279"/>
        <v>kirpicheva@gmail</v>
      </c>
      <c r="O961" t="str">
        <f t="shared" si="280"/>
        <v xml:space="preserve">Ошибка Email</v>
      </c>
      <c r="P961" t="str">
        <f>IFERROR(VLOOKUP(TRIM(SUBSTITUTE(SUBSTITUTE(" "&amp;F961," г "," "),"г.","")),Справочники!$J$3:$K$102,2,0),TRIM(SUBSTITUTE(SUBSTITUTE(" "&amp;F961," г "," "),"г.","")))</f>
        <v>Калуга</v>
      </c>
    </row>
    <row r="962">
      <c r="A962" s="3" t="s">
        <v>3883</v>
      </c>
      <c r="B962" s="3" t="s">
        <v>7793</v>
      </c>
      <c r="C962" s="3" t="s">
        <v>7794</v>
      </c>
      <c r="D962" s="3" t="s">
        <v>4122</v>
      </c>
      <c r="E962" s="3" t="s">
        <v>7795</v>
      </c>
      <c r="F962" s="3" t="s">
        <v>4230</v>
      </c>
      <c r="G962" s="3" t="s">
        <v>7796</v>
      </c>
      <c r="H962" t="str">
        <f t="shared" si="275"/>
        <v xml:space="preserve">Ефимов Андрей Олегович</v>
      </c>
      <c r="I962" s="5">
        <f>IFERROR(IF(ISNUMBER(FIND("-",C962)),DATE(VALUE(LEFT(C962,4)),VALUE(MID(C962,6,2)),VALUE(RIGHT(C962,2))),IF(ISNUMBER(FIND(".",C962)),DATE(VALUE(RIGHT(C962,4)),VALUE(MID(C962,4,2)),VALUE(LEFT(C962,2))),DATE(VALUE(RIGHT(C962,4)),VLOOKUP(TRIM(MID(C962,FIND(" ",C962)+1,LEN(C962)-FIND(" ",C962)-5)),Справочники!$M$3:$N$14,2,0),VALUE(LEFT(C962,FIND(" ",C962)-1))))),"")</f>
        <v>30644</v>
      </c>
      <c r="J962" s="6">
        <f t="shared" si="276"/>
        <v>42</v>
      </c>
      <c r="K962" t="str">
        <f t="shared" si="277"/>
        <v>ОК</v>
      </c>
      <c r="L962" s="5">
        <f>IFERROR(IF(ISNUMBER(FIND("-",G962)),DATE(VALUE(LEFT(G962,4)),VALUE(MID(G962,6,2)),VALUE(RIGHT(G962,2))),IF(ISNUMBER(FIND(".",G962)),DATE(VALUE(RIGHT(G962,4)),VALUE(MID(G962,4,2)),VALUE(LEFT(G962,2))),DATE(VALUE(RIGHT(G962,4)),VLOOKUP(TRIM(MID(G962,FIND(" ",G962)+1,LEN(G962)-FIND(" ",G962)-5)),Справочники!$M$3:$N$14,2,0),VALUE(LEFT(G962,FIND(" ",G962)-1))))),"")</f>
        <v>54302</v>
      </c>
      <c r="M962" t="str">
        <f t="shared" si="278"/>
        <v xml:space="preserve">+7 (903) 678-90-12</v>
      </c>
      <c r="N962" t="str">
        <f t="shared" si="279"/>
        <v>efimov@mail</v>
      </c>
      <c r="O962" t="str">
        <f t="shared" si="280"/>
        <v xml:space="preserve">Ошибка Email</v>
      </c>
      <c r="P962" t="str">
        <f>IFERROR(VLOOKUP(TRIM(SUBSTITUTE(SUBSTITUTE(" "&amp;F962," г "," "),"г.","")),Справочники!$J$3:$K$102,2,0),TRIM(SUBSTITUTE(SUBSTITUTE(" "&amp;F962," г "," "),"г.","")))</f>
        <v>Владикавказ</v>
      </c>
    </row>
    <row r="963">
      <c r="A963" s="3" t="s">
        <v>3884</v>
      </c>
      <c r="B963" s="3" t="s">
        <v>7797</v>
      </c>
      <c r="C963" s="3" t="s">
        <v>7798</v>
      </c>
      <c r="D963" s="3" t="s">
        <v>1605</v>
      </c>
      <c r="E963" s="3" t="s">
        <v>7799</v>
      </c>
      <c r="F963" s="3" t="s">
        <v>4235</v>
      </c>
      <c r="G963" s="3" t="s">
        <v>7800</v>
      </c>
      <c r="H963" t="str">
        <f t="shared" si="275"/>
        <v xml:space="preserve">Светлова Мария Павловна</v>
      </c>
      <c r="I963" s="5">
        <f>IFERROR(IF(ISNUMBER(FIND("-",C963)),DATE(VALUE(LEFT(C963,4)),VALUE(MID(C963,6,2)),VALUE(RIGHT(C963,2))),IF(ISNUMBER(FIND(".",C963)),DATE(VALUE(RIGHT(C963,4)),VALUE(MID(C963,4,2)),VALUE(LEFT(C963,2))),DATE(VALUE(RIGHT(C963,4)),VLOOKUP(TRIM(MID(C963,FIND(" ",C963)+1,LEN(C963)-FIND(" ",C963)-5)),Справочники!$M$3:$N$14,2,0),VALUE(LEFT(C963,FIND(" ",C963)-1))))),"")</f>
        <v>32850</v>
      </c>
      <c r="J963" s="6">
        <f t="shared" si="276"/>
        <v>36</v>
      </c>
      <c r="K963" t="str">
        <f t="shared" si="277"/>
        <v>ОК</v>
      </c>
      <c r="L963" s="5">
        <f>IFERROR(IF(ISNUMBER(FIND("-",G963)),DATE(VALUE(LEFT(G963,4)),VALUE(MID(G963,6,2)),VALUE(RIGHT(G963,2))),IF(ISNUMBER(FIND(".",G963)),DATE(VALUE(RIGHT(G963,4)),VALUE(MID(G963,4,2)),VALUE(LEFT(G963,2))),DATE(VALUE(RIGHT(G963,4)),VLOOKUP(TRIM(MID(G963,FIND(" ",G963)+1,LEN(G963)-FIND(" ",G963)-5)),Справочники!$M$3:$N$14,2,0),VALUE(LEFT(G963,FIND(" ",G963)-1))))),"")</f>
        <v>54316</v>
      </c>
      <c r="M963" t="str">
        <f t="shared" si="278"/>
        <v xml:space="preserve">+7 (903) 678-90-12</v>
      </c>
      <c r="N963" t="str">
        <f t="shared" si="279"/>
        <v>svetlova@yandex</v>
      </c>
      <c r="O963" t="str">
        <f t="shared" si="280"/>
        <v xml:space="preserve">Ошибка Email</v>
      </c>
      <c r="P963" t="str">
        <f>IFERROR(VLOOKUP(TRIM(SUBSTITUTE(SUBSTITUTE(" "&amp;F963," г "," "),"г.","")),Справочники!$J$3:$K$102,2,0),TRIM(SUBSTITUTE(SUBSTITUTE(" "&amp;F963," г "," "),"г.","")))</f>
        <v>Смоленск</v>
      </c>
    </row>
    <row r="964">
      <c r="A964" s="3" t="s">
        <v>3886</v>
      </c>
      <c r="B964" s="3" t="s">
        <v>7801</v>
      </c>
      <c r="C964" s="3" t="s">
        <v>7802</v>
      </c>
      <c r="D964" s="3" t="s">
        <v>4001</v>
      </c>
      <c r="E964" s="3" t="s">
        <v>7803</v>
      </c>
      <c r="F964" s="3" t="s">
        <v>4240</v>
      </c>
      <c r="G964" s="3" t="s">
        <v>7804</v>
      </c>
      <c r="H964" t="str">
        <f t="shared" si="275"/>
        <v xml:space="preserve">Тихомиров Денис Сергеевич</v>
      </c>
      <c r="I964" s="5">
        <f>IFERROR(IF(ISNUMBER(FIND("-",C964)),DATE(VALUE(LEFT(C964,4)),VALUE(MID(C964,6,2)),VALUE(RIGHT(C964,2))),IF(ISNUMBER(FIND(".",C964)),DATE(VALUE(RIGHT(C964,4)),VALUE(MID(C964,4,2)),VALUE(LEFT(C964,2))),DATE(VALUE(RIGHT(C964,4)),VLOOKUP(TRIM(MID(C964,FIND(" ",C964)+1,LEN(C964)-FIND(" ",C964)-5)),Справочники!$M$3:$N$14,2,0),VALUE(LEFT(C964,FIND(" ",C964)-1))))),"")</f>
        <v>27654</v>
      </c>
      <c r="J964" s="6">
        <f t="shared" si="276"/>
        <v>51</v>
      </c>
      <c r="K964" t="str">
        <f t="shared" si="277"/>
        <v>ОК</v>
      </c>
      <c r="L964" s="5">
        <f>IFERROR(IF(ISNUMBER(FIND("-",G964)),DATE(VALUE(LEFT(G964,4)),VALUE(MID(G964,6,2)),VALUE(RIGHT(G964,2))),IF(ISNUMBER(FIND(".",G964)),DATE(VALUE(RIGHT(G964,4)),VALUE(MID(G964,4,2)),VALUE(LEFT(G964,2))),DATE(VALUE(RIGHT(G964,4)),VLOOKUP(TRIM(MID(G964,FIND(" ",G964)+1,LEN(G964)-FIND(" ",G964)-5)),Справочники!$M$3:$N$14,2,0),VALUE(LEFT(G964,FIND(" ",G964)-1))))),"")</f>
        <v>54316</v>
      </c>
      <c r="M964" t="str">
        <f t="shared" si="278"/>
        <v xml:space="preserve">+7 (903) 789-01-23</v>
      </c>
      <c r="N964" t="str">
        <f t="shared" si="279"/>
        <v>tihomirov@gmail</v>
      </c>
      <c r="O964" t="str">
        <f t="shared" si="280"/>
        <v xml:space="preserve">Ошибка Email</v>
      </c>
      <c r="P964" t="str">
        <f>IFERROR(VLOOKUP(TRIM(SUBSTITUTE(SUBSTITUTE(" "&amp;F964," г "," "),"г.","")),Справочники!$J$3:$K$102,2,0),TRIM(SUBSTITUTE(SUBSTITUTE(" "&amp;F964," г "," "),"г.","")))</f>
        <v>Белгород</v>
      </c>
    </row>
    <row r="965">
      <c r="A965" s="3" t="s">
        <v>3887</v>
      </c>
      <c r="B965" s="3" t="s">
        <v>7805</v>
      </c>
      <c r="C965" s="3" t="s">
        <v>7806</v>
      </c>
      <c r="D965" s="3" t="s">
        <v>4138</v>
      </c>
      <c r="E965" s="3" t="s">
        <v>7807</v>
      </c>
      <c r="F965" s="3" t="s">
        <v>4245</v>
      </c>
      <c r="G965" s="3" t="s">
        <v>7808</v>
      </c>
      <c r="H965" t="str">
        <f t="shared" si="275"/>
        <v xml:space="preserve">Козыренко Ольга Владимировна</v>
      </c>
      <c r="I965" s="5">
        <f>IFERROR(IF(ISNUMBER(FIND("-",C965)),DATE(VALUE(LEFT(C965,4)),VALUE(MID(C965,6,2)),VALUE(RIGHT(C965,2))),IF(ISNUMBER(FIND(".",C965)),DATE(VALUE(RIGHT(C965,4)),VALUE(MID(C965,4,2)),VALUE(LEFT(C965,2))),DATE(VALUE(RIGHT(C965,4)),VLOOKUP(TRIM(MID(C965,FIND(" ",C965)+1,LEN(C965)-FIND(" ",C965)-5)),Справочники!$M$3:$N$14,2,0),VALUE(LEFT(C965,FIND(" ",C965)-1))))),"")</f>
        <v>30800</v>
      </c>
      <c r="J965" s="6">
        <f t="shared" si="276"/>
        <v>42</v>
      </c>
      <c r="K965" t="str">
        <f t="shared" si="277"/>
        <v>ОК</v>
      </c>
      <c r="L965" s="5">
        <f>IFERROR(IF(ISNUMBER(FIND("-",G965)),DATE(VALUE(LEFT(G965,4)),VALUE(MID(G965,6,2)),VALUE(RIGHT(G965,2))),IF(ISNUMBER(FIND(".",G965)),DATE(VALUE(RIGHT(G965,4)),VALUE(MID(G965,4,2)),VALUE(LEFT(G965,2))),DATE(VALUE(RIGHT(G965,4)),VLOOKUP(TRIM(MID(G965,FIND(" ",G965)+1,LEN(G965)-FIND(" ",G965)-5)),Справочники!$M$3:$N$14,2,0),VALUE(LEFT(G965,FIND(" ",G965)-1))))),"")</f>
        <v>54332</v>
      </c>
      <c r="M965" t="str">
        <f t="shared" si="278"/>
        <v xml:space="preserve">+7 (903) 789-01-23</v>
      </c>
      <c r="N965" t="str">
        <f t="shared" si="279"/>
        <v>kozyrenko@mail</v>
      </c>
      <c r="O965" t="str">
        <f t="shared" si="280"/>
        <v xml:space="preserve">Ошибка Email</v>
      </c>
      <c r="P965" t="str">
        <f>IFERROR(VLOOKUP(TRIM(SUBSTITUTE(SUBSTITUTE(" "&amp;F965," г "," "),"г.","")),Справочники!$J$3:$K$102,2,0),TRIM(SUBSTITUTE(SUBSTITUTE(" "&amp;F965," г "," "),"г.","")))</f>
        <v>Мурманск</v>
      </c>
    </row>
    <row r="966">
      <c r="A966" s="3" t="s">
        <v>3889</v>
      </c>
      <c r="B966" s="3" t="s">
        <v>7809</v>
      </c>
      <c r="C966" s="3" t="s">
        <v>7810</v>
      </c>
      <c r="D966" s="3" t="s">
        <v>4144</v>
      </c>
      <c r="E966" s="3" t="s">
        <v>7811</v>
      </c>
      <c r="F966" s="3" t="s">
        <v>4250</v>
      </c>
      <c r="G966" s="3" t="s">
        <v>7812</v>
      </c>
      <c r="H966" t="str">
        <f t="shared" si="275"/>
        <v xml:space="preserve">Чистякова Екатерина Сергеевна</v>
      </c>
      <c r="I966" s="5">
        <f>IFERROR(IF(ISNUMBER(FIND("-",C966)),DATE(VALUE(LEFT(C966,4)),VALUE(MID(C966,6,2)),VALUE(RIGHT(C966,2))),IF(ISNUMBER(FIND(".",C966)),DATE(VALUE(RIGHT(C966,4)),VALUE(MID(C966,4,2)),VALUE(LEFT(C966,2))),DATE(VALUE(RIGHT(C966,4)),VLOOKUP(TRIM(MID(C966,FIND(" ",C966)+1,LEN(C966)-FIND(" ",C966)-5)),Справочники!$M$3:$N$14,2,0),VALUE(LEFT(C966,FIND(" ",C966)-1))))),"")</f>
        <v>33525</v>
      </c>
      <c r="J966" s="6">
        <f t="shared" si="276"/>
        <v>35</v>
      </c>
      <c r="K966" t="str">
        <f t="shared" si="277"/>
        <v>ОК</v>
      </c>
      <c r="L966" s="5">
        <f>IFERROR(IF(ISNUMBER(FIND("-",G966)),DATE(VALUE(LEFT(G966,4)),VALUE(MID(G966,6,2)),VALUE(RIGHT(G966,2))),IF(ISNUMBER(FIND(".",G966)),DATE(VALUE(RIGHT(G966,4)),VALUE(MID(G966,4,2)),VALUE(LEFT(G966,2))),DATE(VALUE(RIGHT(G966,4)),VLOOKUP(TRIM(MID(G966,FIND(" ",G966)+1,LEN(G966)-FIND(" ",G966)-5)),Справочники!$M$3:$N$14,2,0),VALUE(LEFT(G966,FIND(" ",G966)-1))))),"")</f>
        <v>54341</v>
      </c>
      <c r="M966" t="str">
        <f t="shared" si="278"/>
        <v xml:space="preserve">+7 (903) 789-01-23</v>
      </c>
      <c r="N966" t="str">
        <f t="shared" si="279"/>
        <v>chistyakova@yandex</v>
      </c>
      <c r="O966" t="str">
        <f t="shared" si="280"/>
        <v xml:space="preserve">Ошибка Email</v>
      </c>
      <c r="P966" t="str">
        <f>IFERROR(VLOOKUP(TRIM(SUBSTITUTE(SUBSTITUTE(" "&amp;F966," г "," "),"г.","")),Справочники!$J$3:$K$102,2,0),TRIM(SUBSTITUTE(SUBSTITUTE(" "&amp;F966," г "," "),"г.","")))</f>
        <v>Ставрополь</v>
      </c>
    </row>
    <row r="967">
      <c r="A967" s="3" t="s">
        <v>3890</v>
      </c>
      <c r="B967" s="3" t="s">
        <v>7813</v>
      </c>
      <c r="C967" s="3" t="s">
        <v>7814</v>
      </c>
      <c r="D967" s="3" t="s">
        <v>4150</v>
      </c>
      <c r="E967" s="3" t="s">
        <v>7815</v>
      </c>
      <c r="F967" s="3" t="s">
        <v>4255</v>
      </c>
      <c r="G967" s="3" t="s">
        <v>7816</v>
      </c>
      <c r="H967" t="str">
        <f t="shared" si="275"/>
        <v xml:space="preserve">Караваев Илья Александрович</v>
      </c>
      <c r="I967" s="5">
        <f>IFERROR(IF(ISNUMBER(FIND("-",C967)),DATE(VALUE(LEFT(C967,4)),VALUE(MID(C967,6,2)),VALUE(RIGHT(C967,2))),IF(ISNUMBER(FIND(".",C967)),DATE(VALUE(RIGHT(C967,4)),VALUE(MID(C967,4,2)),VALUE(LEFT(C967,2))),DATE(VALUE(RIGHT(C967,4)),VLOOKUP(TRIM(MID(C967,FIND(" ",C967)+1,LEN(C967)-FIND(" ",C967)-5)),Справочники!$M$3:$N$14,2,0),VALUE(LEFT(C967,FIND(" ",C967)-1))))),"")</f>
        <v>27793</v>
      </c>
      <c r="J967" s="6">
        <f t="shared" si="276"/>
        <v>50</v>
      </c>
      <c r="K967" t="str">
        <f t="shared" si="277"/>
        <v>ОК</v>
      </c>
      <c r="L967" s="5">
        <f>IFERROR(IF(ISNUMBER(FIND("-",G967)),DATE(VALUE(LEFT(G967,4)),VALUE(MID(G967,6,2)),VALUE(RIGHT(G967,2))),IF(ISNUMBER(FIND(".",G967)),DATE(VALUE(RIGHT(G967,4)),VALUE(MID(G967,4,2)),VALUE(LEFT(G967,2))),DATE(VALUE(RIGHT(G967,4)),VLOOKUP(TRIM(MID(G967,FIND(" ",G967)+1,LEN(G967)-FIND(" ",G967)-5)),Справочники!$M$3:$N$14,2,0),VALUE(LEFT(G967,FIND(" ",G967)-1))))),"")</f>
        <v>54341</v>
      </c>
      <c r="M967" t="str">
        <f t="shared" si="278"/>
        <v xml:space="preserve">+7 (903) 890-12-34</v>
      </c>
      <c r="N967" t="str">
        <f t="shared" si="279"/>
        <v>karavaev@gmail</v>
      </c>
      <c r="O967" t="str">
        <f t="shared" si="280"/>
        <v xml:space="preserve">Ошибка Email</v>
      </c>
      <c r="P967" t="str">
        <f>IFERROR(VLOOKUP(TRIM(SUBSTITUTE(SUBSTITUTE(" "&amp;F967," г "," "),"г.","")),Справочники!$J$3:$K$102,2,0),TRIM(SUBSTITUTE(SUBSTITUTE(" "&amp;F967," г "," "),"г.","")))</f>
        <v>Севастополь</v>
      </c>
    </row>
    <row r="968">
      <c r="A968" s="3" t="s">
        <v>3892</v>
      </c>
      <c r="B968" s="3" t="s">
        <v>7817</v>
      </c>
      <c r="C968" s="3" t="s">
        <v>7818</v>
      </c>
      <c r="D968" s="3" t="s">
        <v>4007</v>
      </c>
      <c r="E968" s="3" t="s">
        <v>7819</v>
      </c>
      <c r="F968" s="3" t="s">
        <v>4260</v>
      </c>
      <c r="G968" s="3" t="s">
        <v>7820</v>
      </c>
      <c r="H968" t="str">
        <f t="shared" si="275"/>
        <v xml:space="preserve">Бородина Мария Павловна</v>
      </c>
      <c r="I968" s="5">
        <f>IFERROR(IF(ISNUMBER(FIND("-",C968)),DATE(VALUE(LEFT(C968,4)),VALUE(MID(C968,6,2)),VALUE(RIGHT(C968,2))),IF(ISNUMBER(FIND(".",C968)),DATE(VALUE(RIGHT(C968,4)),VALUE(MID(C968,4,2)),VALUE(LEFT(C968,2))),DATE(VALUE(RIGHT(C968,4)),VLOOKUP(TRIM(MID(C968,FIND(" ",C968)+1,LEN(C968)-FIND(" ",C968)-5)),Справочники!$M$3:$N$14,2,0),VALUE(LEFT(C968,FIND(" ",C968)-1))))),"")</f>
        <v>30157</v>
      </c>
      <c r="J968" s="6">
        <f t="shared" si="276"/>
        <v>44</v>
      </c>
      <c r="K968" t="str">
        <f t="shared" si="277"/>
        <v>ОК</v>
      </c>
      <c r="L968" s="5">
        <f>IFERROR(IF(ISNUMBER(FIND("-",G968)),DATE(VALUE(LEFT(G968,4)),VALUE(MID(G968,6,2)),VALUE(RIGHT(G968,2))),IF(ISNUMBER(FIND(".",G968)),DATE(VALUE(RIGHT(G968,4)),VALUE(MID(G968,4,2)),VALUE(LEFT(G968,2))),DATE(VALUE(RIGHT(G968,4)),VLOOKUP(TRIM(MID(G968,FIND(" ",G968)+1,LEN(G968)-FIND(" ",G968)-5)),Справочники!$M$3:$N$14,2,0),VALUE(LEFT(G968,FIND(" ",G968)-1))))),"")</f>
        <v>54363</v>
      </c>
      <c r="M968" t="str">
        <f t="shared" si="278"/>
        <v xml:space="preserve">+7 (903) 890-12-34</v>
      </c>
      <c r="N968" t="str">
        <f t="shared" si="279"/>
        <v>borodina@mail</v>
      </c>
      <c r="O968" t="str">
        <f t="shared" si="280"/>
        <v xml:space="preserve">Ошибка Email</v>
      </c>
      <c r="P968" t="str">
        <f>IFERROR(VLOOKUP(TRIM(SUBSTITUTE(SUBSTITUTE(" "&amp;F968," г "," "),"г.","")),Справочники!$J$3:$K$102,2,0),TRIM(SUBSTITUTE(SUBSTITUTE(" "&amp;F968," г "," "),"г.","")))</f>
        <v>Сочи</v>
      </c>
    </row>
    <row r="969">
      <c r="A969" s="3" t="s">
        <v>3893</v>
      </c>
      <c r="B969" s="3" t="s">
        <v>7821</v>
      </c>
      <c r="C969" s="3" t="s">
        <v>7822</v>
      </c>
      <c r="D969" s="3" t="s">
        <v>1619</v>
      </c>
      <c r="E969" s="3" t="s">
        <v>7823</v>
      </c>
      <c r="F969" s="3" t="s">
        <v>4265</v>
      </c>
      <c r="G969" s="3" t="s">
        <v>7824</v>
      </c>
      <c r="H969" t="str">
        <f t="shared" si="275"/>
        <v xml:space="preserve">Стрелков Денис Викторович</v>
      </c>
      <c r="I969" s="5">
        <f>IFERROR(IF(ISNUMBER(FIND("-",C969)),DATE(VALUE(LEFT(C969,4)),VALUE(MID(C969,6,2)),VALUE(RIGHT(C969,2))),IF(ISNUMBER(FIND(".",C969)),DATE(VALUE(RIGHT(C969,4)),VALUE(MID(C969,4,2)),VALUE(LEFT(C969,2))),DATE(VALUE(RIGHT(C969,4)),VLOOKUP(TRIM(MID(C969,FIND(" ",C969)+1,LEN(C969)-FIND(" ",C969)-5)),Справочники!$M$3:$N$14,2,0),VALUE(LEFT(C969,FIND(" ",C969)-1))))),"")</f>
        <v>31782</v>
      </c>
      <c r="J969" s="6">
        <f t="shared" si="276"/>
        <v>39</v>
      </c>
      <c r="K969" t="str">
        <f t="shared" si="277"/>
        <v>ОК</v>
      </c>
      <c r="L969" s="5">
        <f>IFERROR(IF(ISNUMBER(FIND("-",G969)),DATE(VALUE(LEFT(G969,4)),VALUE(MID(G969,6,2)),VALUE(RIGHT(G969,2))),IF(ISNUMBER(FIND(".",G969)),DATE(VALUE(RIGHT(G969,4)),VALUE(MID(G969,4,2)),VALUE(LEFT(G969,2))),DATE(VALUE(RIGHT(G969,4)),VLOOKUP(TRIM(MID(G969,FIND(" ",G969)+1,LEN(G969)-FIND(" ",G969)-5)),Справочники!$M$3:$N$14,2,0),VALUE(LEFT(G969,FIND(" ",G969)-1))))),"")</f>
        <v>54377</v>
      </c>
      <c r="M969" t="str">
        <f t="shared" si="278"/>
        <v xml:space="preserve">+7 (903) 890-12-34</v>
      </c>
      <c r="N969" t="str">
        <f t="shared" si="279"/>
        <v>strelkov@yandex</v>
      </c>
      <c r="O969" t="str">
        <f t="shared" si="280"/>
        <v xml:space="preserve">Ошибка Email</v>
      </c>
      <c r="P969" t="str">
        <f>IFERROR(VLOOKUP(TRIM(SUBSTITUTE(SUBSTITUTE(" "&amp;F969," г "," "),"г.","")),Справочники!$J$3:$K$102,2,0),TRIM(SUBSTITUTE(SUBSTITUTE(" "&amp;F969," г "," "),"г.","")))</f>
        <v>Симферополь</v>
      </c>
    </row>
    <row r="970">
      <c r="A970" s="3" t="s">
        <v>3895</v>
      </c>
      <c r="B970" s="3" t="s">
        <v>7825</v>
      </c>
      <c r="C970" s="3" t="s">
        <v>7826</v>
      </c>
      <c r="D970" s="3" t="s">
        <v>4018</v>
      </c>
      <c r="E970" s="3" t="s">
        <v>4199</v>
      </c>
      <c r="F970" s="3" t="s">
        <v>4270</v>
      </c>
      <c r="G970" s="3" t="s">
        <v>7827</v>
      </c>
      <c r="H970" t="str">
        <f t="shared" si="275"/>
        <v xml:space="preserve">Киселева Ольга Сергеевна</v>
      </c>
      <c r="I970" s="5">
        <f>IFERROR(IF(ISNUMBER(FIND("-",C970)),DATE(VALUE(LEFT(C970,4)),VALUE(MID(C970,6,2)),VALUE(RIGHT(C970,2))),IF(ISNUMBER(FIND(".",C970)),DATE(VALUE(RIGHT(C970,4)),VALUE(MID(C970,4,2)),VALUE(LEFT(C970,2))),DATE(VALUE(RIGHT(C970,4)),VLOOKUP(TRIM(MID(C970,FIND(" ",C970)+1,LEN(C970)-FIND(" ",C970)-5)),Справочники!$M$3:$N$14,2,0),VALUE(LEFT(C970,FIND(" ",C970)-1))))),"")</f>
        <v>26523</v>
      </c>
      <c r="J970" s="6">
        <f t="shared" si="276"/>
        <v>54</v>
      </c>
      <c r="K970" t="str">
        <f t="shared" si="277"/>
        <v>ОК</v>
      </c>
      <c r="L970" s="5">
        <f>IFERROR(IF(ISNUMBER(FIND("-",G970)),DATE(VALUE(LEFT(G970,4)),VALUE(MID(G970,6,2)),VALUE(RIGHT(G970,2))),IF(ISNUMBER(FIND(".",G970)),DATE(VALUE(RIGHT(G970,4)),VALUE(MID(G970,4,2)),VALUE(LEFT(G970,2))),DATE(VALUE(RIGHT(G970,4)),VLOOKUP(TRIM(MID(G970,FIND(" ",G970)+1,LEN(G970)-FIND(" ",G970)-5)),Справочники!$M$3:$N$14,2,0),VALUE(LEFT(G970,FIND(" ",G970)-1))))),"")</f>
        <v>54377</v>
      </c>
      <c r="M970" t="str">
        <f t="shared" si="278"/>
        <v xml:space="preserve">+7 (903) 901-23-45</v>
      </c>
      <c r="N970" t="str">
        <f t="shared" si="279"/>
        <v>kiseleva@gmail</v>
      </c>
      <c r="O970" t="str">
        <f t="shared" si="280"/>
        <v xml:space="preserve">Ошибка Email</v>
      </c>
      <c r="P970" t="str">
        <f>IFERROR(VLOOKUP(TRIM(SUBSTITUTE(SUBSTITUTE(" "&amp;F970," г "," "),"г.","")),Справочники!$J$3:$K$102,2,0),TRIM(SUBSTITUTE(SUBSTITUTE(" "&amp;F970," г "," "),"г.","")))</f>
        <v>Брянск</v>
      </c>
    </row>
    <row r="971">
      <c r="A971" s="3" t="s">
        <v>3896</v>
      </c>
      <c r="B971" s="3" t="s">
        <v>6677</v>
      </c>
      <c r="C971" s="3" t="s">
        <v>7828</v>
      </c>
      <c r="D971" s="3" t="s">
        <v>1626</v>
      </c>
      <c r="E971" s="3" t="s">
        <v>7829</v>
      </c>
      <c r="F971" s="3" t="s">
        <v>4275</v>
      </c>
      <c r="G971" s="3" t="s">
        <v>7830</v>
      </c>
      <c r="H971" t="str">
        <f t="shared" si="275"/>
        <v xml:space="preserve">Гусев Андрей Олегович</v>
      </c>
      <c r="I971" s="5">
        <f>IFERROR(IF(ISNUMBER(FIND("-",C971)),DATE(VALUE(LEFT(C971,4)),VALUE(MID(C971,6,2)),VALUE(RIGHT(C971,2))),IF(ISNUMBER(FIND(".",C971)),DATE(VALUE(RIGHT(C971,4)),VALUE(MID(C971,4,2)),VALUE(LEFT(C971,2))),DATE(VALUE(RIGHT(C971,4)),VLOOKUP(TRIM(MID(C971,FIND(" ",C971)+1,LEN(C971)-FIND(" ",C971)-5)),Справочники!$M$3:$N$14,2,0),VALUE(LEFT(C971,FIND(" ",C971)-1))))),"")</f>
        <v>31390</v>
      </c>
      <c r="J971" s="6">
        <f t="shared" si="276"/>
        <v>40</v>
      </c>
      <c r="K971" t="str">
        <f t="shared" si="277"/>
        <v>ОК</v>
      </c>
      <c r="L971" s="5">
        <f>IFERROR(IF(ISNUMBER(FIND("-",G971)),DATE(VALUE(LEFT(G971,4)),VALUE(MID(G971,6,2)),VALUE(RIGHT(G971,2))),IF(ISNUMBER(FIND(".",G971)),DATE(VALUE(RIGHT(G971,4)),VALUE(MID(G971,4,2)),VALUE(LEFT(G971,2))),DATE(VALUE(RIGHT(G971,4)),VLOOKUP(TRIM(MID(G971,FIND(" ",G971)+1,LEN(G971)-FIND(" ",G971)-5)),Справочники!$M$3:$N$14,2,0),VALUE(LEFT(G971,FIND(" ",G971)-1))))),"")</f>
        <v>54393</v>
      </c>
      <c r="M971" t="str">
        <f t="shared" si="278"/>
        <v xml:space="preserve">+7 (903) 901-23-45</v>
      </c>
      <c r="N971" t="str">
        <f t="shared" si="279"/>
        <v>gusev@mail</v>
      </c>
      <c r="O971" t="str">
        <f t="shared" si="280"/>
        <v xml:space="preserve">Ошибка Email</v>
      </c>
      <c r="P971" t="str">
        <f>IFERROR(VLOOKUP(TRIM(SUBSTITUTE(SUBSTITUTE(" "&amp;F971," г "," "),"г.","")),Справочники!$J$3:$K$102,2,0),TRIM(SUBSTITUTE(SUBSTITUTE(" "&amp;F971," г "," "),"г.","")))</f>
        <v>Абакан</v>
      </c>
    </row>
    <row r="972">
      <c r="A972" s="3" t="s">
        <v>3898</v>
      </c>
      <c r="B972" s="3" t="s">
        <v>7831</v>
      </c>
      <c r="C972" s="3" t="s">
        <v>7832</v>
      </c>
      <c r="D972" s="3" t="s">
        <v>4176</v>
      </c>
      <c r="E972" s="3" t="s">
        <v>7833</v>
      </c>
      <c r="F972" s="3" t="s">
        <v>4280</v>
      </c>
      <c r="G972" s="3" t="s">
        <v>7834</v>
      </c>
      <c r="H972" t="str">
        <f t="shared" si="275"/>
        <v xml:space="preserve">Федосеева Екатерина Владимировна</v>
      </c>
      <c r="I972" s="5">
        <f>IFERROR(IF(ISNUMBER(FIND("-",C972)),DATE(VALUE(LEFT(C972,4)),VALUE(MID(C972,6,2)),VALUE(RIGHT(C972,2))),IF(ISNUMBER(FIND(".",C972)),DATE(VALUE(RIGHT(C972,4)),VALUE(MID(C972,4,2)),VALUE(LEFT(C972,2))),DATE(VALUE(RIGHT(C972,4)),VLOOKUP(TRIM(MID(C972,FIND(" ",C972)+1,LEN(C972)-FIND(" ",C972)-5)),Справочники!$M$3:$N$14,2,0),VALUE(LEFT(C972,FIND(" ",C972)-1))))),"")</f>
        <v>32979</v>
      </c>
      <c r="J972" s="6">
        <f t="shared" si="276"/>
        <v>36</v>
      </c>
      <c r="K972" t="str">
        <f t="shared" si="277"/>
        <v>ОК</v>
      </c>
      <c r="L972" s="5">
        <f>IFERROR(IF(ISNUMBER(FIND("-",G972)),DATE(VALUE(LEFT(G972,4)),VALUE(MID(G972,6,2)),VALUE(RIGHT(G972,2))),IF(ISNUMBER(FIND(".",G972)),DATE(VALUE(RIGHT(G972,4)),VALUE(MID(G972,4,2)),VALUE(LEFT(G972,2))),DATE(VALUE(RIGHT(G972,4)),VLOOKUP(TRIM(MID(G972,FIND(" ",G972)+1,LEN(G972)-FIND(" ",G972)-5)),Справочники!$M$3:$N$14,2,0),VALUE(LEFT(G972,FIND(" ",G972)-1))))),"")</f>
        <v>54402</v>
      </c>
      <c r="M972" t="str">
        <f t="shared" si="278"/>
        <v xml:space="preserve">+7 (903) 901-23-45</v>
      </c>
      <c r="N972" t="str">
        <f t="shared" si="279"/>
        <v>fedoseeva@yandex</v>
      </c>
      <c r="O972" t="str">
        <f t="shared" si="280"/>
        <v xml:space="preserve">Ошибка Email</v>
      </c>
      <c r="P972" t="str">
        <f>IFERROR(VLOOKUP(TRIM(SUBSTITUTE(SUBSTITUTE(" "&amp;F972," г "," "),"г.","")),Справочники!$J$3:$K$102,2,0),TRIM(SUBSTITUTE(SUBSTITUTE(" "&amp;F972," г "," "),"г.","")))</f>
        <v>Грозный</v>
      </c>
    </row>
    <row r="973">
      <c r="A973" s="3" t="s">
        <v>3900</v>
      </c>
      <c r="B973" s="3" t="s">
        <v>7835</v>
      </c>
      <c r="C973" s="3" t="s">
        <v>7836</v>
      </c>
      <c r="D973" s="3" t="s">
        <v>4182</v>
      </c>
      <c r="E973" s="3" t="s">
        <v>7837</v>
      </c>
      <c r="F973" s="3" t="s">
        <v>4285</v>
      </c>
      <c r="G973" s="3" t="s">
        <v>7838</v>
      </c>
      <c r="H973" t="str">
        <f t="shared" si="275"/>
        <v xml:space="preserve">Балашов Илья Александрович</v>
      </c>
      <c r="I973" s="5">
        <f>IFERROR(IF(ISNUMBER(FIND("-",C973)),DATE(VALUE(LEFT(C973,4)),VALUE(MID(C973,6,2)),VALUE(RIGHT(C973,2))),IF(ISNUMBER(FIND(".",C973)),DATE(VALUE(RIGHT(C973,4)),VALUE(MID(C973,4,2)),VALUE(LEFT(C973,2))),DATE(VALUE(RIGHT(C973,4)),VLOOKUP(TRIM(MID(C973,FIND(" ",C973)+1,LEN(C973)-FIND(" ",C973)-5)),Справочники!$M$3:$N$14,2,0),VALUE(LEFT(C973,FIND(" ",C973)-1))))),"")</f>
        <v>27186</v>
      </c>
      <c r="J973" s="6">
        <f t="shared" si="276"/>
        <v>52</v>
      </c>
      <c r="K973" t="str">
        <f t="shared" si="277"/>
        <v>ОК</v>
      </c>
      <c r="L973" s="5">
        <f>IFERROR(IF(ISNUMBER(FIND("-",G973)),DATE(VALUE(LEFT(G973,4)),VALUE(MID(G973,6,2)),VALUE(RIGHT(G973,2))),IF(ISNUMBER(FIND(".",G973)),DATE(VALUE(RIGHT(G973,4)),VALUE(MID(G973,4,2)),VALUE(LEFT(G973,2))),DATE(VALUE(RIGHT(G973,4)),VLOOKUP(TRIM(MID(G973,FIND(" ",G973)+1,LEN(G973)-FIND(" ",G973)-5)),Справочники!$M$3:$N$14,2,0),VALUE(LEFT(G973,FIND(" ",G973)-1))))),"")</f>
        <v>54402</v>
      </c>
      <c r="M973" t="str">
        <f t="shared" si="278"/>
        <v xml:space="preserve">+7 (903) 012-34-56</v>
      </c>
      <c r="N973" t="str">
        <f t="shared" si="279"/>
        <v>balashov@gmail</v>
      </c>
      <c r="O973" t="str">
        <f t="shared" si="280"/>
        <v xml:space="preserve">Ошибка Email</v>
      </c>
      <c r="P973" t="str">
        <f>IFERROR(VLOOKUP(TRIM(SUBSTITUTE(SUBSTITUTE(" "&amp;F973," г "," "),"г.","")),Справочники!$J$3:$K$102,2,0),TRIM(SUBSTITUTE(SUBSTITUTE(" "&amp;F973," г "," "),"г.","")))</f>
        <v>Бийск</v>
      </c>
    </row>
    <row r="974">
      <c r="A974" s="3" t="s">
        <v>3902</v>
      </c>
      <c r="B974" s="3" t="s">
        <v>7839</v>
      </c>
      <c r="C974" s="3" t="s">
        <v>7840</v>
      </c>
      <c r="D974" s="3" t="s">
        <v>4188</v>
      </c>
      <c r="E974" s="3" t="s">
        <v>7841</v>
      </c>
      <c r="F974" s="3" t="s">
        <v>4290</v>
      </c>
      <c r="G974" s="3" t="s">
        <v>7842</v>
      </c>
      <c r="H974" t="str">
        <f t="shared" si="275"/>
        <v xml:space="preserve">Панова Мария Павловна</v>
      </c>
      <c r="I974" s="5">
        <f>IFERROR(IF(ISNUMBER(FIND("-",C974)),DATE(VALUE(LEFT(C974,4)),VALUE(MID(C974,6,2)),VALUE(RIGHT(C974,2))),IF(ISNUMBER(FIND(".",C974)),DATE(VALUE(RIGHT(C974,4)),VALUE(MID(C974,4,2)),VALUE(LEFT(C974,2))),DATE(VALUE(RIGHT(C974,4)),VLOOKUP(TRIM(MID(C974,FIND(" ",C974)+1,LEN(C974)-FIND(" ",C974)-5)),Справочники!$M$3:$N$14,2,0),VALUE(LEFT(C974,FIND(" ",C974)-1))))),"")</f>
        <v>29889</v>
      </c>
      <c r="J974" s="6">
        <f t="shared" si="276"/>
        <v>44</v>
      </c>
      <c r="K974" t="str">
        <f t="shared" si="277"/>
        <v>ОК</v>
      </c>
      <c r="L974" s="5">
        <f>IFERROR(IF(ISNUMBER(FIND("-",G974)),DATE(VALUE(LEFT(G974,4)),VALUE(MID(G974,6,2)),VALUE(RIGHT(G974,2))),IF(ISNUMBER(FIND(".",G974)),DATE(VALUE(RIGHT(G974,4)),VALUE(MID(G974,4,2)),VALUE(LEFT(G974,2))),DATE(VALUE(RIGHT(G974,4)),VLOOKUP(TRIM(MID(G974,FIND(" ",G974)+1,LEN(G974)-FIND(" ",G974)-5)),Справочники!$M$3:$N$14,2,0),VALUE(LEFT(G974,FIND(" ",G974)-1))))),"")</f>
        <v>54424</v>
      </c>
      <c r="M974" t="str">
        <f t="shared" si="278"/>
        <v xml:space="preserve">+7 (903) 012-34-56</v>
      </c>
      <c r="N974" t="str">
        <f t="shared" si="279"/>
        <v>panova@mail</v>
      </c>
      <c r="O974" t="str">
        <f t="shared" si="280"/>
        <v xml:space="preserve">Ошибка Email</v>
      </c>
      <c r="P974" t="str">
        <f>IFERROR(VLOOKUP(TRIM(SUBSTITUTE(SUBSTITUTE(" "&amp;F974," г "," "),"г.","")),Справочники!$J$3:$K$102,2,0),TRIM(SUBSTITUTE(SUBSTITUTE(" "&amp;F974," г "," "),"г.","")))</f>
        <v>Йошкар-Ола</v>
      </c>
    </row>
    <row r="975">
      <c r="A975" s="3" t="s">
        <v>3903</v>
      </c>
      <c r="B975" s="3" t="s">
        <v>7843</v>
      </c>
      <c r="C975" s="3" t="s">
        <v>7844</v>
      </c>
      <c r="D975" s="3" t="s">
        <v>1633</v>
      </c>
      <c r="E975" s="3" t="s">
        <v>7845</v>
      </c>
      <c r="F975" s="3" t="s">
        <v>4295</v>
      </c>
      <c r="G975" s="3" t="s">
        <v>7846</v>
      </c>
      <c r="H975" t="str">
        <f t="shared" si="275"/>
        <v xml:space="preserve">Сафонов Денис Сергеевич</v>
      </c>
      <c r="I975" s="5">
        <f>IFERROR(IF(ISNUMBER(FIND("-",C975)),DATE(VALUE(LEFT(C975,4)),VALUE(MID(C975,6,2)),VALUE(RIGHT(C975,2))),IF(ISNUMBER(FIND(".",C975)),DATE(VALUE(RIGHT(C975,4)),VALUE(MID(C975,4,2)),VALUE(LEFT(C975,2))),DATE(VALUE(RIGHT(C975,4)),VLOOKUP(TRIM(MID(C975,FIND(" ",C975)+1,LEN(C975)-FIND(" ",C975)-5)),Справочники!$M$3:$N$14,2,0),VALUE(LEFT(C975,FIND(" ",C975)-1))))),"")</f>
        <v>32407</v>
      </c>
      <c r="J975" s="6">
        <f t="shared" si="276"/>
        <v>38</v>
      </c>
      <c r="K975" t="str">
        <f t="shared" si="277"/>
        <v>ОК</v>
      </c>
      <c r="L975" s="5">
        <f>IFERROR(IF(ISNUMBER(FIND("-",G975)),DATE(VALUE(LEFT(G975,4)),VALUE(MID(G975,6,2)),VALUE(RIGHT(G975,2))),IF(ISNUMBER(FIND(".",G975)),DATE(VALUE(RIGHT(G975,4)),VALUE(MID(G975,4,2)),VALUE(LEFT(G975,2))),DATE(VALUE(RIGHT(G975,4)),VLOOKUP(TRIM(MID(G975,FIND(" ",G975)+1,LEN(G975)-FIND(" ",G975)-5)),Справочники!$M$3:$N$14,2,0),VALUE(LEFT(G975,FIND(" ",G975)-1))))),"")</f>
        <v>54438</v>
      </c>
      <c r="M975" t="str">
        <f t="shared" si="278"/>
        <v xml:space="preserve">+7 (903) 012-34-56</v>
      </c>
      <c r="N975" t="str">
        <f t="shared" si="279"/>
        <v>safonov@yandex</v>
      </c>
      <c r="O975" t="str">
        <f t="shared" si="280"/>
        <v xml:space="preserve">Ошибка Email</v>
      </c>
      <c r="P975" t="str">
        <f>IFERROR(VLOOKUP(TRIM(SUBSTITUTE(SUBSTITUTE(" "&amp;F975," г "," "),"г.","")),Справочники!$J$3:$K$102,2,0),TRIM(SUBSTITUTE(SUBSTITUTE(" "&amp;F975," г "," "),"г.","")))</f>
        <v>Курган</v>
      </c>
    </row>
    <row r="976">
      <c r="A976" s="3" t="s">
        <v>3905</v>
      </c>
      <c r="B976" s="3" t="s">
        <v>7847</v>
      </c>
      <c r="C976" s="3" t="s">
        <v>5185</v>
      </c>
      <c r="D976" s="3" t="s">
        <v>4034</v>
      </c>
      <c r="E976" s="3" t="s">
        <v>4459</v>
      </c>
      <c r="F976" s="3" t="s">
        <v>4300</v>
      </c>
      <c r="G976" s="3" t="s">
        <v>7848</v>
      </c>
      <c r="H976" t="str">
        <f t="shared" si="275"/>
        <v xml:space="preserve">Кузьмина Ольга Владимировна</v>
      </c>
      <c r="I976" s="5">
        <f>IFERROR(IF(ISNUMBER(FIND("-",C976)),DATE(VALUE(LEFT(C976,4)),VALUE(MID(C976,6,2)),VALUE(RIGHT(C976,2))),IF(ISNUMBER(FIND(".",C976)),DATE(VALUE(RIGHT(C976,4)),VALUE(MID(C976,4,2)),VALUE(LEFT(C976,2))),DATE(VALUE(RIGHT(C976,4)),VLOOKUP(TRIM(MID(C976,FIND(" ",C976)+1,LEN(C976)-FIND(" ",C976)-5)),Справочники!$M$3:$N$14,2,0),VALUE(LEFT(C976,FIND(" ",C976)-1))))),"")</f>
        <v>28320</v>
      </c>
      <c r="J976" s="6">
        <f t="shared" si="276"/>
        <v>49</v>
      </c>
      <c r="K976" t="str">
        <f t="shared" si="277"/>
        <v>ОК</v>
      </c>
      <c r="L976" s="5">
        <f>IFERROR(IF(ISNUMBER(FIND("-",G976)),DATE(VALUE(LEFT(G976,4)),VALUE(MID(G976,6,2)),VALUE(RIGHT(G976,2))),IF(ISNUMBER(FIND(".",G976)),DATE(VALUE(RIGHT(G976,4)),VALUE(MID(G976,4,2)),VALUE(LEFT(G976,2))),DATE(VALUE(RIGHT(G976,4)),VLOOKUP(TRIM(MID(G976,FIND(" ",G976)+1,LEN(G976)-FIND(" ",G976)-5)),Справочники!$M$3:$N$14,2,0),VALUE(LEFT(G976,FIND(" ",G976)-1))))),"")</f>
        <v>54438</v>
      </c>
      <c r="M976" t="str">
        <f t="shared" si="278"/>
        <v xml:space="preserve">+7 (903) 123-45-67</v>
      </c>
      <c r="N976" t="str">
        <f t="shared" si="279"/>
        <v>kuzmina@gmail</v>
      </c>
      <c r="O976" t="str">
        <f t="shared" si="280"/>
        <v xml:space="preserve">Ошибка Email</v>
      </c>
      <c r="P976" t="str">
        <f>IFERROR(VLOOKUP(TRIM(SUBSTITUTE(SUBSTITUTE(" "&amp;F976," г "," "),"г.","")),Справочники!$J$3:$K$102,2,0),TRIM(SUBSTITUTE(SUBSTITUTE(" "&amp;F976," г "," "),"г.","")))</f>
        <v>Архангельск</v>
      </c>
    </row>
    <row r="977">
      <c r="A977" s="3" t="s">
        <v>3906</v>
      </c>
      <c r="B977" s="3" t="s">
        <v>7849</v>
      </c>
      <c r="C977" s="3" t="s">
        <v>7850</v>
      </c>
      <c r="D977" s="3" t="s">
        <v>4040</v>
      </c>
      <c r="E977" s="3" t="s">
        <v>7851</v>
      </c>
      <c r="F977" s="3" t="s">
        <v>4305</v>
      </c>
      <c r="G977" s="3" t="s">
        <v>7852</v>
      </c>
      <c r="H977" t="str">
        <f t="shared" si="275"/>
        <v xml:space="preserve">Мандрыка Андрей Олегович</v>
      </c>
      <c r="I977" s="5">
        <f>IFERROR(IF(ISNUMBER(FIND("-",C977)),DATE(VALUE(LEFT(C977,4)),VALUE(MID(C977,6,2)),VALUE(RIGHT(C977,2))),IF(ISNUMBER(FIND(".",C977)),DATE(VALUE(RIGHT(C977,4)),VALUE(MID(C977,4,2)),VALUE(LEFT(C977,2))),DATE(VALUE(RIGHT(C977,4)),VLOOKUP(TRIM(MID(C977,FIND(" ",C977)+1,LEN(C977)-FIND(" ",C977)-5)),Справочники!$M$3:$N$14,2,0),VALUE(LEFT(C977,FIND(" ",C977)-1))))),"")</f>
        <v>31087</v>
      </c>
      <c r="J977" s="6">
        <f t="shared" si="276"/>
        <v>41</v>
      </c>
      <c r="K977" t="str">
        <f t="shared" si="277"/>
        <v>ОК</v>
      </c>
      <c r="L977" s="5">
        <f>IFERROR(IF(ISNUMBER(FIND("-",G977)),DATE(VALUE(LEFT(G977,4)),VALUE(MID(G977,6,2)),VALUE(RIGHT(G977,2))),IF(ISNUMBER(FIND(".",G977)),DATE(VALUE(RIGHT(G977,4)),VALUE(MID(G977,4,2)),VALUE(LEFT(G977,2))),DATE(VALUE(RIGHT(G977,4)),VLOOKUP(TRIM(MID(G977,FIND(" ",G977)+1,LEN(G977)-FIND(" ",G977)-5)),Справочники!$M$3:$N$14,2,0),VALUE(LEFT(G977,FIND(" ",G977)-1))))),"")</f>
        <v>54455</v>
      </c>
      <c r="M977" t="str">
        <f t="shared" si="278"/>
        <v xml:space="preserve">+7 (903) 123-45-67</v>
      </c>
      <c r="N977" t="str">
        <f t="shared" si="279"/>
        <v>mandryka@mail</v>
      </c>
      <c r="O977" t="str">
        <f t="shared" si="280"/>
        <v xml:space="preserve">Ошибка Email</v>
      </c>
      <c r="P977" t="str">
        <f>IFERROR(VLOOKUP(TRIM(SUBSTITUTE(SUBSTITUTE(" "&amp;F977," г "," "),"г.","")),Справочники!$J$3:$K$102,2,0),TRIM(SUBSTITUTE(SUBSTITUTE(" "&amp;F977," г "," "),"г.","")))</f>
        <v>Благовещенск</v>
      </c>
    </row>
    <row r="978">
      <c r="A978" s="3" t="s">
        <v>3908</v>
      </c>
      <c r="B978" s="3" t="s">
        <v>7853</v>
      </c>
      <c r="C978" s="3" t="s">
        <v>7854</v>
      </c>
      <c r="D978" s="3" t="s">
        <v>1570</v>
      </c>
      <c r="E978" s="3" t="s">
        <v>7855</v>
      </c>
      <c r="F978" s="3" t="s">
        <v>4310</v>
      </c>
      <c r="G978" s="3" t="s">
        <v>7856</v>
      </c>
      <c r="H978" t="str">
        <f t="shared" si="275"/>
        <v xml:space="preserve">Варламова Екатерина Сергеевна</v>
      </c>
      <c r="I978" s="5">
        <f>IFERROR(IF(ISNUMBER(FIND("-",C978)),DATE(VALUE(LEFT(C978,4)),VALUE(MID(C978,6,2)),VALUE(RIGHT(C978,2))),IF(ISNUMBER(FIND(".",C978)),DATE(VALUE(RIGHT(C978,4)),VALUE(MID(C978,4,2)),VALUE(LEFT(C978,2))),DATE(VALUE(RIGHT(C978,4)),VLOOKUP(TRIM(MID(C978,FIND(" ",C978)+1,LEN(C978)-FIND(" ",C978)-5)),Справочники!$M$3:$N$14,2,0),VALUE(LEFT(C978,FIND(" ",C978)-1))))),"")</f>
        <v>33725</v>
      </c>
      <c r="J978" s="6">
        <f t="shared" si="276"/>
        <v>34</v>
      </c>
      <c r="K978" t="str">
        <f t="shared" si="277"/>
        <v>ОК</v>
      </c>
      <c r="L978" s="5">
        <f>IFERROR(IF(ISNUMBER(FIND("-",G978)),DATE(VALUE(LEFT(G978,4)),VALUE(MID(G978,6,2)),VALUE(RIGHT(G978,2))),IF(ISNUMBER(FIND(".",G978)),DATE(VALUE(RIGHT(G978,4)),VALUE(MID(G978,4,2)),VALUE(LEFT(G978,2))),DATE(VALUE(RIGHT(G978,4)),VLOOKUP(TRIM(MID(G978,FIND(" ",G978)+1,LEN(G978)-FIND(" ",G978)-5)),Справочники!$M$3:$N$14,2,0),VALUE(LEFT(G978,FIND(" ",G978)-1))))),"")</f>
        <v>54464</v>
      </c>
      <c r="M978" t="str">
        <f t="shared" si="278"/>
        <v xml:space="preserve">+7 (903) 123-45-67</v>
      </c>
      <c r="N978" t="str">
        <f t="shared" si="279"/>
        <v>varlamova@yandex</v>
      </c>
      <c r="O978" t="str">
        <f t="shared" si="280"/>
        <v xml:space="preserve">Ошибка Email</v>
      </c>
      <c r="P978" t="str">
        <f>IFERROR(VLOOKUP(TRIM(SUBSTITUTE(SUBSTITUTE(" "&amp;F978," г "," "),"г.","")),Справочники!$J$3:$K$102,2,0),TRIM(SUBSTITUTE(SUBSTITUTE(" "&amp;F978," г "," "),"г.","")))</f>
        <v>Майкоп</v>
      </c>
    </row>
    <row r="979">
      <c r="A979" s="3" t="s">
        <v>3909</v>
      </c>
      <c r="B979" s="3" t="s">
        <v>7857</v>
      </c>
      <c r="C979" s="3" t="s">
        <v>7858</v>
      </c>
      <c r="D979" s="3" t="s">
        <v>4051</v>
      </c>
      <c r="E979" s="3" t="s">
        <v>7859</v>
      </c>
      <c r="F979" s="3" t="s">
        <v>4315</v>
      </c>
      <c r="G979" s="3" t="s">
        <v>7860</v>
      </c>
      <c r="H979" t="str">
        <f t="shared" si="275"/>
        <v xml:space="preserve">Просвирнин Илья Александрович</v>
      </c>
      <c r="I979" s="5">
        <f>IFERROR(IF(ISNUMBER(FIND("-",C979)),DATE(VALUE(LEFT(C979,4)),VALUE(MID(C979,6,2)),VALUE(RIGHT(C979,2))),IF(ISNUMBER(FIND(".",C979)),DATE(VALUE(RIGHT(C979,4)),VALUE(MID(C979,4,2)),VALUE(LEFT(C979,2))),DATE(VALUE(RIGHT(C979,4)),VLOOKUP(TRIM(MID(C979,FIND(" ",C979)+1,LEN(C979)-FIND(" ",C979)-5)),Справочники!$M$3:$N$14,2,0),VALUE(LEFT(C979,FIND(" ",C979)-1))))),"")</f>
        <v>26987</v>
      </c>
      <c r="J979" s="6">
        <f t="shared" si="276"/>
        <v>52</v>
      </c>
      <c r="K979" t="str">
        <f t="shared" si="277"/>
        <v>ОК</v>
      </c>
      <c r="L979" s="5">
        <f>IFERROR(IF(ISNUMBER(FIND("-",G979)),DATE(VALUE(LEFT(G979,4)),VALUE(MID(G979,6,2)),VALUE(RIGHT(G979,2))),IF(ISNUMBER(FIND(".",G979)),DATE(VALUE(RIGHT(G979,4)),VALUE(MID(G979,4,2)),VALUE(LEFT(G979,2))),DATE(VALUE(RIGHT(G979,4)),VLOOKUP(TRIM(MID(G979,FIND(" ",G979)+1,LEN(G979)-FIND(" ",G979)-5)),Справочники!$M$3:$N$14,2,0),VALUE(LEFT(G979,FIND(" ",G979)-1))))),"")</f>
        <v>54464</v>
      </c>
      <c r="M979" t="str">
        <f t="shared" si="278"/>
        <v xml:space="preserve">+7 (903) 234-56-78</v>
      </c>
      <c r="N979" t="str">
        <f t="shared" si="279"/>
        <v>prosvirnin@gmail</v>
      </c>
      <c r="O979" t="str">
        <f t="shared" si="280"/>
        <v xml:space="preserve">Ошибка Email</v>
      </c>
      <c r="P979" t="str">
        <f>IFERROR(VLOOKUP(TRIM(SUBSTITUTE(SUBSTITUTE(" "&amp;F979," г "," "),"г.","")),Справочники!$J$3:$K$102,2,0),TRIM(SUBSTITUTE(SUBSTITUTE(" "&amp;F979," г "," "),"г.","")))</f>
        <v>Уссурийск</v>
      </c>
    </row>
    <row r="980">
      <c r="A980" s="3" t="s">
        <v>3911</v>
      </c>
      <c r="B980" s="3" t="s">
        <v>7861</v>
      </c>
      <c r="C980" s="3" t="s">
        <v>6171</v>
      </c>
      <c r="D980" s="3" t="s">
        <v>4057</v>
      </c>
      <c r="E980" s="3" t="s">
        <v>5364</v>
      </c>
      <c r="F980" s="3" t="s">
        <v>4320</v>
      </c>
      <c r="G980" s="3" t="s">
        <v>7862</v>
      </c>
      <c r="H980" t="str">
        <f t="shared" si="275"/>
        <v xml:space="preserve">Анищенко Мария Павловна</v>
      </c>
      <c r="I980" s="5">
        <f>IFERROR(IF(ISNUMBER(FIND("-",C980)),DATE(VALUE(LEFT(C980,4)),VALUE(MID(C980,6,2)),VALUE(RIGHT(C980,2))),IF(ISNUMBER(FIND(".",C980)),DATE(VALUE(RIGHT(C980,4)),VALUE(MID(C980,4,2)),VALUE(LEFT(C980,2))),DATE(VALUE(RIGHT(C980,4)),VLOOKUP(TRIM(MID(C980,FIND(" ",C980)+1,LEN(C980)-FIND(" ",C980)-5)),Справочники!$M$3:$N$14,2,0),VALUE(LEFT(C980,FIND(" ",C980)-1))))),"")</f>
        <v>31649</v>
      </c>
      <c r="J980" s="6">
        <f t="shared" si="276"/>
        <v>40</v>
      </c>
      <c r="K980" t="str">
        <f t="shared" si="277"/>
        <v>ОК</v>
      </c>
      <c r="L980" s="5">
        <f>IFERROR(IF(ISNUMBER(FIND("-",G980)),DATE(VALUE(LEFT(G980,4)),VALUE(MID(G980,6,2)),VALUE(RIGHT(G980,2))),IF(ISNUMBER(FIND(".",G980)),DATE(VALUE(RIGHT(G980,4)),VALUE(MID(G980,4,2)),VALUE(LEFT(G980,2))),DATE(VALUE(RIGHT(G980,4)),VLOOKUP(TRIM(MID(G980,FIND(" ",G980)+1,LEN(G980)-FIND(" ",G980)-5)),Справочники!$M$3:$N$14,2,0),VALUE(LEFT(G980,FIND(" ",G980)-1))))),"")</f>
        <v>54483</v>
      </c>
      <c r="M980" t="str">
        <f t="shared" si="278"/>
        <v xml:space="preserve">+7 (903) 234-56-78</v>
      </c>
      <c r="N980" t="str">
        <f t="shared" si="279"/>
        <v>anischenko@mail</v>
      </c>
      <c r="O980" t="str">
        <f t="shared" si="280"/>
        <v xml:space="preserve">Ошибка Email</v>
      </c>
      <c r="P980" t="str">
        <f>IFERROR(VLOOKUP(TRIM(SUBSTITUTE(SUBSTITUTE(" "&amp;F980," г "," "),"г.","")),Справочники!$J$3:$K$102,2,0),TRIM(SUBSTITUTE(SUBSTITUTE(" "&amp;F980," г "," "),"г.","")))</f>
        <v>Миасс</v>
      </c>
    </row>
    <row r="981">
      <c r="A981" s="3" t="s">
        <v>3912</v>
      </c>
      <c r="B981" s="3" t="s">
        <v>7863</v>
      </c>
      <c r="C981" s="3" t="s">
        <v>7864</v>
      </c>
      <c r="D981" s="3" t="s">
        <v>1712</v>
      </c>
      <c r="E981" s="3" t="s">
        <v>7865</v>
      </c>
      <c r="F981" s="3" t="s">
        <v>4325</v>
      </c>
      <c r="G981" s="3" t="s">
        <v>7866</v>
      </c>
      <c r="H981" t="str">
        <f t="shared" si="275"/>
        <v xml:space="preserve">Романенко Денис Викторович</v>
      </c>
      <c r="I981" s="5">
        <f>IFERROR(IF(ISNUMBER(FIND("-",C981)),DATE(VALUE(LEFT(C981,4)),VALUE(MID(C981,6,2)),VALUE(RIGHT(C981,2))),IF(ISNUMBER(FIND(".",C981)),DATE(VALUE(RIGHT(C981,4)),VALUE(MID(C981,4,2)),VALUE(LEFT(C981,2))),DATE(VALUE(RIGHT(C981,4)),VLOOKUP(TRIM(MID(C981,FIND(" ",C981)+1,LEN(C981)-FIND(" ",C981)-5)),Справочники!$M$3:$N$14,2,0),VALUE(LEFT(C981,FIND(" ",C981)-1))))),"")</f>
        <v>30382</v>
      </c>
      <c r="J981" s="6">
        <f t="shared" si="276"/>
        <v>43</v>
      </c>
      <c r="K981" t="str">
        <f t="shared" si="277"/>
        <v>ОК</v>
      </c>
      <c r="L981" s="5">
        <f>IFERROR(IF(ISNUMBER(FIND("-",G981)),DATE(VALUE(LEFT(G981,4)),VALUE(MID(G981,6,2)),VALUE(RIGHT(G981,2))),IF(ISNUMBER(FIND(".",G981)),DATE(VALUE(RIGHT(G981,4)),VALUE(MID(G981,4,2)),VALUE(LEFT(G981,2))),DATE(VALUE(RIGHT(G981,4)),VLOOKUP(TRIM(MID(G981,FIND(" ",G981)+1,LEN(G981)-FIND(" ",G981)-5)),Справочники!$M$3:$N$14,2,0),VALUE(LEFT(G981,FIND(" ",G981)-1))))),"")</f>
        <v>54497</v>
      </c>
      <c r="M981" t="str">
        <f t="shared" si="278"/>
        <v xml:space="preserve">+7 (903) 234-56-78</v>
      </c>
      <c r="N981" t="str">
        <f t="shared" si="279"/>
        <v>romanenko@yandex</v>
      </c>
      <c r="O981" t="str">
        <f t="shared" si="280"/>
        <v xml:space="preserve">Ошибка Email</v>
      </c>
      <c r="P981" t="str">
        <f>IFERROR(VLOOKUP(TRIM(SUBSTITUTE(SUBSTITUTE(" "&amp;F981," г "," "),"г.","")),Справочники!$J$3:$K$102,2,0),TRIM(SUBSTITUTE(SUBSTITUTE(" "&amp;F981," г "," "),"г.","")))</f>
        <v>Кызыл</v>
      </c>
    </row>
    <row r="982">
      <c r="A982" s="3" t="s">
        <v>3914</v>
      </c>
      <c r="B982" s="3" t="s">
        <v>7867</v>
      </c>
      <c r="C982" s="3" t="s">
        <v>7868</v>
      </c>
      <c r="D982" s="3" t="s">
        <v>1584</v>
      </c>
      <c r="E982" s="3" t="s">
        <v>7869</v>
      </c>
      <c r="F982" s="3" t="s">
        <v>4330</v>
      </c>
      <c r="G982" s="3" t="s">
        <v>7870</v>
      </c>
      <c r="H982" t="str">
        <f t="shared" si="275"/>
        <v xml:space="preserve">Сергеева Ольга Сергеевна</v>
      </c>
      <c r="I982" s="5">
        <f>IFERROR(IF(ISNUMBER(FIND("-",C982)),DATE(VALUE(LEFT(C982,4)),VALUE(MID(C982,6,2)),VALUE(RIGHT(C982,2))),IF(ISNUMBER(FIND(".",C982)),DATE(VALUE(RIGHT(C982,4)),VALUE(MID(C982,4,2)),VALUE(LEFT(C982,2))),DATE(VALUE(RIGHT(C982,4)),VLOOKUP(TRIM(MID(C982,FIND(" ",C982)+1,LEN(C982)-FIND(" ",C982)-5)),Справочники!$M$3:$N$14,2,0),VALUE(LEFT(C982,FIND(" ",C982)-1))))),"")</f>
        <v>33583</v>
      </c>
      <c r="J982" s="6">
        <f t="shared" si="276"/>
        <v>34</v>
      </c>
      <c r="K982" t="str">
        <f t="shared" si="277"/>
        <v>ОК</v>
      </c>
      <c r="L982" s="5">
        <f>IFERROR(IF(ISNUMBER(FIND("-",G982)),DATE(VALUE(LEFT(G982,4)),VALUE(MID(G982,6,2)),VALUE(RIGHT(G982,2))),IF(ISNUMBER(FIND(".",G982)),DATE(VALUE(RIGHT(G982,4)),VALUE(MID(G982,4,2)),VALUE(LEFT(G982,2))),DATE(VALUE(RIGHT(G982,4)),VLOOKUP(TRIM(MID(G982,FIND(" ",G982)+1,LEN(G982)-FIND(" ",G982)-5)),Справочники!$M$3:$N$14,2,0),VALUE(LEFT(G982,FIND(" ",G982)-1))))),"")</f>
        <v>54497</v>
      </c>
      <c r="M982" t="str">
        <f t="shared" si="278"/>
        <v xml:space="preserve">+7 (903) 345-67-89</v>
      </c>
      <c r="N982" t="str">
        <f t="shared" si="279"/>
        <v>sergeeva@gmail</v>
      </c>
      <c r="O982" t="str">
        <f t="shared" si="280"/>
        <v xml:space="preserve">Ошибка Email</v>
      </c>
      <c r="P982" t="str">
        <f>IFERROR(VLOOKUP(TRIM(SUBSTITUTE(SUBSTITUTE(" "&amp;F982," г "," "),"г.","")),Справочники!$J$3:$K$102,2,0),TRIM(SUBSTITUTE(SUBSTITUTE(" "&amp;F982," г "," "),"г.","")))</f>
        <v>Калининград</v>
      </c>
    </row>
    <row r="983">
      <c r="A983" s="3" t="s">
        <v>3915</v>
      </c>
      <c r="B983" s="3" t="s">
        <v>7871</v>
      </c>
      <c r="C983" s="3" t="s">
        <v>7872</v>
      </c>
      <c r="D983" s="3" t="s">
        <v>4073</v>
      </c>
      <c r="E983" s="3" t="s">
        <v>7873</v>
      </c>
      <c r="F983" s="3" t="s">
        <v>4335</v>
      </c>
      <c r="G983" s="3" t="s">
        <v>7874</v>
      </c>
      <c r="H983" t="str">
        <f t="shared" si="275"/>
        <v xml:space="preserve">Долгов Андрей Олегович</v>
      </c>
      <c r="I983" s="5">
        <f>IFERROR(IF(ISNUMBER(FIND("-",C983)),DATE(VALUE(LEFT(C983,4)),VALUE(MID(C983,6,2)),VALUE(RIGHT(C983,2))),IF(ISNUMBER(FIND(".",C983)),DATE(VALUE(RIGHT(C983,4)),VALUE(MID(C983,4,2)),VALUE(LEFT(C983,2))),DATE(VALUE(RIGHT(C983,4)),VLOOKUP(TRIM(MID(C983,FIND(" ",C983)+1,LEN(C983)-FIND(" ",C983)-5)),Справочники!$M$3:$N$14,2,0),VALUE(LEFT(C983,FIND(" ",C983)-1))))),"")</f>
        <v>27879</v>
      </c>
      <c r="J983" s="6">
        <f t="shared" si="276"/>
        <v>50</v>
      </c>
      <c r="K983" t="str">
        <f t="shared" si="277"/>
        <v>ОК</v>
      </c>
      <c r="L983" s="5">
        <f>IFERROR(IF(ISNUMBER(FIND("-",G983)),DATE(VALUE(LEFT(G983,4)),VALUE(MID(G983,6,2)),VALUE(RIGHT(G983,2))),IF(ISNUMBER(FIND(".",G983)),DATE(VALUE(RIGHT(G983,4)),VALUE(MID(G983,4,2)),VALUE(LEFT(G983,2))),DATE(VALUE(RIGHT(G983,4)),VLOOKUP(TRIM(MID(G983,FIND(" ",G983)+1,LEN(G983)-FIND(" ",G983)-5)),Справочники!$M$3:$N$14,2,0),VALUE(LEFT(G983,FIND(" ",G983)-1))))),"")</f>
        <v>54514</v>
      </c>
      <c r="M983" t="str">
        <f t="shared" si="278"/>
        <v xml:space="preserve">+7 (903) 345-67-89</v>
      </c>
      <c r="N983" t="str">
        <f t="shared" si="279"/>
        <v>dolgov@mail</v>
      </c>
      <c r="O983" t="str">
        <f t="shared" si="280"/>
        <v xml:space="preserve">Ошибка Email</v>
      </c>
      <c r="P983" t="str">
        <f>IFERROR(VLOOKUP(TRIM(SUBSTITUTE(SUBSTITUTE(" "&amp;F983," г "," "),"г.","")),Справочники!$J$3:$K$102,2,0),TRIM(SUBSTITUTE(SUBSTITUTE(" "&amp;F983," г "," "),"г.","")))</f>
        <v>Петрозаводск</v>
      </c>
    </row>
    <row r="984">
      <c r="A984" s="3" t="s">
        <v>3917</v>
      </c>
      <c r="B984" s="3" t="s">
        <v>7875</v>
      </c>
      <c r="C984" s="3" t="s">
        <v>5940</v>
      </c>
      <c r="D984" s="3" t="s">
        <v>4079</v>
      </c>
      <c r="E984" s="3" t="s">
        <v>4704</v>
      </c>
      <c r="F984" s="3" t="s">
        <v>4340</v>
      </c>
      <c r="G984" s="3" t="s">
        <v>7876</v>
      </c>
      <c r="H984" t="str">
        <f t="shared" si="275"/>
        <v xml:space="preserve">Костина Екатерина Владимировна</v>
      </c>
      <c r="I984" s="5">
        <f>IFERROR(IF(ISNUMBER(FIND("-",C984)),DATE(VALUE(LEFT(C984,4)),VALUE(MID(C984,6,2)),VALUE(RIGHT(C984,2))),IF(ISNUMBER(FIND(".",C984)),DATE(VALUE(RIGHT(C984,4)),VALUE(MID(C984,4,2)),VALUE(LEFT(C984,2))),DATE(VALUE(RIGHT(C984,4)),VLOOKUP(TRIM(MID(C984,FIND(" ",C984)+1,LEN(C984)-FIND(" ",C984)-5)),Справочники!$M$3:$N$14,2,0),VALUE(LEFT(C984,FIND(" ",C984)-1))))),"")</f>
        <v>30240</v>
      </c>
      <c r="J984" s="6">
        <f t="shared" si="276"/>
        <v>44</v>
      </c>
      <c r="K984" t="str">
        <f t="shared" si="277"/>
        <v>ОК</v>
      </c>
      <c r="L984" s="5">
        <f>IFERROR(IF(ISNUMBER(FIND("-",G984)),DATE(VALUE(LEFT(G984,4)),VALUE(MID(G984,6,2)),VALUE(RIGHT(G984,2))),IF(ISNUMBER(FIND(".",G984)),DATE(VALUE(RIGHT(G984,4)),VALUE(MID(G984,4,2)),VALUE(LEFT(G984,2))),DATE(VALUE(RIGHT(G984,4)),VLOOKUP(TRIM(MID(G984,FIND(" ",G984)+1,LEN(G984)-FIND(" ",G984)-5)),Справочники!$M$3:$N$14,2,0),VALUE(LEFT(G984,FIND(" ",G984)-1))))),"")</f>
        <v>54523</v>
      </c>
      <c r="M984" t="str">
        <f t="shared" si="278"/>
        <v xml:space="preserve">+7 (903) 345-67-89</v>
      </c>
      <c r="N984" t="str">
        <f t="shared" si="279"/>
        <v>kostina@yandex</v>
      </c>
      <c r="O984" t="str">
        <f t="shared" si="280"/>
        <v xml:space="preserve">Ошибка Email</v>
      </c>
      <c r="P984" t="str">
        <f>IFERROR(VLOOKUP(TRIM(SUBSTITUTE(SUBSTITUTE(" "&amp;F984," г "," "),"г.","")),Справочники!$J$3:$K$102,2,0),TRIM(SUBSTITUTE(SUBSTITUTE(" "&amp;F984," г "," "),"г.","")))</f>
        <v>Рубцовск</v>
      </c>
    </row>
    <row r="985">
      <c r="A985" s="3" t="s">
        <v>3918</v>
      </c>
      <c r="B985" s="3" t="s">
        <v>7877</v>
      </c>
      <c r="C985" s="3" t="s">
        <v>7878</v>
      </c>
      <c r="D985" s="3" t="s">
        <v>4085</v>
      </c>
      <c r="E985" s="3" t="s">
        <v>7879</v>
      </c>
      <c r="F985" s="3" t="s">
        <v>4345</v>
      </c>
      <c r="G985" s="3" t="s">
        <v>7880</v>
      </c>
      <c r="H985" t="str">
        <f t="shared" si="275"/>
        <v xml:space="preserve">Скворцов Илья Александрович</v>
      </c>
      <c r="I985" s="5">
        <f>IFERROR(IF(ISNUMBER(FIND("-",C985)),DATE(VALUE(LEFT(C985,4)),VALUE(MID(C985,6,2)),VALUE(RIGHT(C985,2))),IF(ISNUMBER(FIND(".",C985)),DATE(VALUE(RIGHT(C985,4)),VALUE(MID(C985,4,2)),VALUE(LEFT(C985,2))),DATE(VALUE(RIGHT(C985,4)),VLOOKUP(TRIM(MID(C985,FIND(" ",C985)+1,LEN(C985)-FIND(" ",C985)-5)),Справочники!$M$3:$N$14,2,0),VALUE(LEFT(C985,FIND(" ",C985)-1))))),"")</f>
        <v>32728</v>
      </c>
      <c r="J985" s="6">
        <f t="shared" si="276"/>
        <v>37</v>
      </c>
      <c r="K985" t="str">
        <f t="shared" si="277"/>
        <v>ОК</v>
      </c>
      <c r="L985" s="5">
        <f>IFERROR(IF(ISNUMBER(FIND("-",G985)),DATE(VALUE(LEFT(G985,4)),VALUE(MID(G985,6,2)),VALUE(RIGHT(G985,2))),IF(ISNUMBER(FIND(".",G985)),DATE(VALUE(RIGHT(G985,4)),VALUE(MID(G985,4,2)),VALUE(LEFT(G985,2))),DATE(VALUE(RIGHT(G985,4)),VLOOKUP(TRIM(MID(G985,FIND(" ",G985)+1,LEN(G985)-FIND(" ",G985)-5)),Справочники!$M$3:$N$14,2,0),VALUE(LEFT(G985,FIND(" ",G985)-1))))),"")</f>
        <v>54523</v>
      </c>
      <c r="M985" t="str">
        <f t="shared" si="278"/>
        <v xml:space="preserve">+7 (903) 456-78-90</v>
      </c>
      <c r="N985" t="str">
        <f t="shared" si="279"/>
        <v>skvortsov@gmail</v>
      </c>
      <c r="O985" t="str">
        <f t="shared" si="280"/>
        <v xml:space="preserve">Ошибка Email</v>
      </c>
      <c r="P985" t="str">
        <f>IFERROR(VLOOKUP(TRIM(SUBSTITUTE(SUBSTITUTE(" "&amp;F985," г "," "),"г.","")),Справочники!$J$3:$K$102,2,0),TRIM(SUBSTITUTE(SUBSTITUTE(" "&amp;F985," г "," "),"г.","")))</f>
        <v>Элиста</v>
      </c>
    </row>
    <row r="986">
      <c r="A986" s="3" t="s">
        <v>3920</v>
      </c>
      <c r="B986" s="3" t="s">
        <v>7881</v>
      </c>
      <c r="C986" s="3" t="s">
        <v>7882</v>
      </c>
      <c r="D986" s="3" t="s">
        <v>1591</v>
      </c>
      <c r="E986" s="3" t="s">
        <v>7883</v>
      </c>
      <c r="F986" s="3" t="s">
        <v>4350</v>
      </c>
      <c r="G986" s="3" t="s">
        <v>7884</v>
      </c>
      <c r="H986" t="str">
        <f t="shared" si="275"/>
        <v xml:space="preserve">Копылова Мария Павловна</v>
      </c>
      <c r="I986" s="5">
        <f>IFERROR(IF(ISNUMBER(FIND("-",C986)),DATE(VALUE(LEFT(C986,4)),VALUE(MID(C986,6,2)),VALUE(RIGHT(C986,2))),IF(ISNUMBER(FIND(".",C986)),DATE(VALUE(RIGHT(C986,4)),VALUE(MID(C986,4,2)),VALUE(LEFT(C986,2))),DATE(VALUE(RIGHT(C986,4)),VLOOKUP(TRIM(MID(C986,FIND(" ",C986)+1,LEN(C986)-FIND(" ",C986)-5)),Справочники!$M$3:$N$14,2,0),VALUE(LEFT(C986,FIND(" ",C986)-1))))),"")</f>
        <v>27569</v>
      </c>
      <c r="J986" s="6">
        <f t="shared" si="276"/>
        <v>51</v>
      </c>
      <c r="K986" t="str">
        <f t="shared" si="277"/>
        <v>ОК</v>
      </c>
      <c r="L986" s="5">
        <f>IFERROR(IF(ISNUMBER(FIND("-",G986)),DATE(VALUE(LEFT(G986,4)),VALUE(MID(G986,6,2)),VALUE(RIGHT(G986,2))),IF(ISNUMBER(FIND(".",G986)),DATE(VALUE(RIGHT(G986,4)),VALUE(MID(G986,4,2)),VALUE(LEFT(G986,2))),DATE(VALUE(RIGHT(G986,4)),VLOOKUP(TRIM(MID(G986,FIND(" ",G986)+1,LEN(G986)-FIND(" ",G986)-5)),Справочники!$M$3:$N$14,2,0),VALUE(LEFT(G986,FIND(" ",G986)-1))))),"")</f>
        <v>54544</v>
      </c>
      <c r="M986" t="str">
        <f t="shared" si="278"/>
        <v xml:space="preserve">+7 (903) 456-78-90</v>
      </c>
      <c r="N986" t="str">
        <f t="shared" si="279"/>
        <v>kopylova@mail</v>
      </c>
      <c r="O986" t="str">
        <f t="shared" si="280"/>
        <v xml:space="preserve">Ошибка Email</v>
      </c>
      <c r="P986" t="str">
        <f>IFERROR(VLOOKUP(TRIM(SUBSTITUTE(SUBSTITUTE(" "&amp;F986," г "," "),"г.","")),Справочники!$J$3:$K$102,2,0),TRIM(SUBSTITUTE(SUBSTITUTE(" "&amp;F986," г "," "),"г.","")))</f>
        <v>Орск</v>
      </c>
    </row>
    <row r="987">
      <c r="A987" s="3" t="s">
        <v>3921</v>
      </c>
      <c r="B987" s="3" t="s">
        <v>7885</v>
      </c>
      <c r="C987" s="3" t="s">
        <v>7886</v>
      </c>
      <c r="D987" s="3" t="s">
        <v>1660</v>
      </c>
      <c r="E987" s="3" t="s">
        <v>7887</v>
      </c>
      <c r="F987" s="3" t="s">
        <v>4355</v>
      </c>
      <c r="G987" s="3" t="s">
        <v>7888</v>
      </c>
      <c r="H987" t="str">
        <f t="shared" si="275"/>
        <v xml:space="preserve">Харитонов Денис Сергеевич</v>
      </c>
      <c r="I987" s="5">
        <f>IFERROR(IF(ISNUMBER(FIND("-",C987)),DATE(VALUE(LEFT(C987,4)),VALUE(MID(C987,6,2)),VALUE(RIGHT(C987,2))),IF(ISNUMBER(FIND(".",C987)),DATE(VALUE(RIGHT(C987,4)),VALUE(MID(C987,4,2)),VALUE(LEFT(C987,2))),DATE(VALUE(RIGHT(C987,4)),VLOOKUP(TRIM(MID(C987,FIND(" ",C987)+1,LEN(C987)-FIND(" ",C987)-5)),Справочники!$M$3:$N$14,2,0),VALUE(LEFT(C987,FIND(" ",C987)-1))))),"")</f>
        <v>31425</v>
      </c>
      <c r="J987" s="6">
        <f t="shared" si="276"/>
        <v>40</v>
      </c>
      <c r="K987" t="str">
        <f t="shared" si="277"/>
        <v>ОК</v>
      </c>
      <c r="L987" s="5">
        <f>IFERROR(IF(ISNUMBER(FIND("-",G987)),DATE(VALUE(LEFT(G987,4)),VALUE(MID(G987,6,2)),VALUE(RIGHT(G987,2))),IF(ISNUMBER(FIND(".",G987)),DATE(VALUE(RIGHT(G987,4)),VALUE(MID(G987,4,2)),VALUE(LEFT(G987,2))),DATE(VALUE(RIGHT(G987,4)),VLOOKUP(TRIM(MID(G987,FIND(" ",G987)+1,LEN(G987)-FIND(" ",G987)-5)),Справочники!$M$3:$N$14,2,0),VALUE(LEFT(G987,FIND(" ",G987)-1))))),"")</f>
        <v>54558</v>
      </c>
      <c r="M987" t="str">
        <f t="shared" si="278"/>
        <v xml:space="preserve">+7 (903) 456-78-90</v>
      </c>
      <c r="N987" t="str">
        <f t="shared" si="279"/>
        <v>haritonov@yandex</v>
      </c>
      <c r="O987" t="str">
        <f t="shared" si="280"/>
        <v xml:space="preserve">Ошибка Email</v>
      </c>
      <c r="P987" t="str">
        <f>IFERROR(VLOOKUP(TRIM(SUBSTITUTE(SUBSTITUTE(" "&amp;F987," г "," "),"г.","")),Справочники!$J$3:$K$102,2,0),TRIM(SUBSTITUTE(SUBSTITUTE(" "&amp;F987," г "," "),"г.","")))</f>
        <v>Нижневартовск</v>
      </c>
    </row>
    <row r="988">
      <c r="A988" s="3" t="s">
        <v>3923</v>
      </c>
      <c r="B988" s="3" t="s">
        <v>7889</v>
      </c>
      <c r="C988" s="3" t="s">
        <v>7890</v>
      </c>
      <c r="D988" s="3" t="s">
        <v>3984</v>
      </c>
      <c r="E988" s="3" t="s">
        <v>4379</v>
      </c>
      <c r="F988" s="3" t="s">
        <v>4360</v>
      </c>
      <c r="G988" s="3" t="s">
        <v>7891</v>
      </c>
      <c r="H988" t="str">
        <f t="shared" si="275"/>
        <v xml:space="preserve">Александрова Ольга Владимировна</v>
      </c>
      <c r="I988" s="5">
        <f>IFERROR(IF(ISNUMBER(FIND("-",C988)),DATE(VALUE(LEFT(C988,4)),VALUE(MID(C988,6,2)),VALUE(RIGHT(C988,2))),IF(ISNUMBER(FIND(".",C988)),DATE(VALUE(RIGHT(C988,4)),VALUE(MID(C988,4,2)),VALUE(LEFT(C988,2))),DATE(VALUE(RIGHT(C988,4)),VLOOKUP(TRIM(MID(C988,FIND(" ",C988)+1,LEN(C988)-FIND(" ",C988)-5)),Справочники!$M$3:$N$14,2,0),VALUE(LEFT(C988,FIND(" ",C988)-1))))),"")</f>
        <v>33020</v>
      </c>
      <c r="J988" s="6">
        <f t="shared" si="276"/>
        <v>36</v>
      </c>
      <c r="K988" t="str">
        <f t="shared" si="277"/>
        <v>ОК</v>
      </c>
      <c r="L988" s="5">
        <f>IFERROR(IF(ISNUMBER(FIND("-",G988)),DATE(VALUE(LEFT(G988,4)),VALUE(MID(G988,6,2)),VALUE(RIGHT(G988,2))),IF(ISNUMBER(FIND(".",G988)),DATE(VALUE(RIGHT(G988,4)),VALUE(MID(G988,4,2)),VALUE(LEFT(G988,2))),DATE(VALUE(RIGHT(G988,4)),VLOOKUP(TRIM(MID(G988,FIND(" ",G988)+1,LEN(G988)-FIND(" ",G988)-5)),Справочники!$M$3:$N$14,2,0),VALUE(LEFT(G988,FIND(" ",G988)-1))))),"")</f>
        <v>54558</v>
      </c>
      <c r="M988" t="str">
        <f t="shared" si="278"/>
        <v xml:space="preserve">+7 (903) 567-89-01</v>
      </c>
      <c r="N988" t="str">
        <f t="shared" si="279"/>
        <v>aleksandrova@gmail</v>
      </c>
      <c r="O988" t="str">
        <f t="shared" si="280"/>
        <v xml:space="preserve">Ошибка Email</v>
      </c>
      <c r="P988" t="str">
        <f>IFERROR(VLOOKUP(TRIM(SUBSTITUTE(SUBSTITUTE(" "&amp;F988," г "," "),"г.","")),Справочники!$J$3:$K$102,2,0),TRIM(SUBSTITUTE(SUBSTITUTE(" "&amp;F988," г "," "),"г.","")))</f>
        <v>Новороссийск</v>
      </c>
    </row>
    <row r="989">
      <c r="A989" s="3" t="s">
        <v>3925</v>
      </c>
      <c r="B989" s="3" t="s">
        <v>7892</v>
      </c>
      <c r="C989" s="3" t="s">
        <v>7893</v>
      </c>
      <c r="D989" s="3" t="s">
        <v>3990</v>
      </c>
      <c r="E989" s="3" t="s">
        <v>7894</v>
      </c>
      <c r="F989" s="3" t="s">
        <v>4365</v>
      </c>
      <c r="G989" s="3" t="s">
        <v>7895</v>
      </c>
      <c r="H989" t="str">
        <f t="shared" si="275"/>
        <v xml:space="preserve">Стрельцов Андрей Олегович</v>
      </c>
      <c r="I989" s="5">
        <f>IFERROR(IF(ISNUMBER(FIND("-",C989)),DATE(VALUE(LEFT(C989,4)),VALUE(MID(C989,6,2)),VALUE(RIGHT(C989,2))),IF(ISNUMBER(FIND(".",C989)),DATE(VALUE(RIGHT(C989,4)),VALUE(MID(C989,4,2)),VALUE(LEFT(C989,2))),DATE(VALUE(RIGHT(C989,4)),VLOOKUP(TRIM(MID(C989,FIND(" ",C989)+1,LEN(C989)-FIND(" ",C989)-5)),Справочники!$M$3:$N$14,2,0),VALUE(LEFT(C989,FIND(" ",C989)-1))))),"")</f>
        <v>29848</v>
      </c>
      <c r="J989" s="6">
        <f t="shared" si="276"/>
        <v>45</v>
      </c>
      <c r="K989" t="str">
        <f t="shared" si="277"/>
        <v>ОК</v>
      </c>
      <c r="L989" s="5">
        <f>IFERROR(IF(ISNUMBER(FIND("-",G989)),DATE(VALUE(LEFT(G989,4)),VALUE(MID(G989,6,2)),VALUE(RIGHT(G989,2))),IF(ISNUMBER(FIND(".",G989)),DATE(VALUE(RIGHT(G989,4)),VALUE(MID(G989,4,2)),VALUE(LEFT(G989,2))),DATE(VALUE(RIGHT(G989,4)),VLOOKUP(TRIM(MID(G989,FIND(" ",G989)+1,LEN(G989)-FIND(" ",G989)-5)),Справочники!$M$3:$N$14,2,0),VALUE(LEFT(G989,FIND(" ",G989)-1))))),"")</f>
        <v>54575</v>
      </c>
      <c r="M989" t="str">
        <f t="shared" si="278"/>
        <v xml:space="preserve">+7 (903) 567-89-01</v>
      </c>
      <c r="N989" t="str">
        <f t="shared" si="279"/>
        <v>streltsov@mail</v>
      </c>
      <c r="O989" t="str">
        <f t="shared" si="280"/>
        <v xml:space="preserve">Ошибка Email</v>
      </c>
      <c r="P989" t="str">
        <f>IFERROR(VLOOKUP(TRIM(SUBSTITUTE(SUBSTITUTE(" "&amp;F989," г "," "),"г.","")),Справочники!$J$3:$K$102,2,0),TRIM(SUBSTITUTE(SUBSTITUTE(" "&amp;F989," г "," "),"г.","")))</f>
        <v>Химки</v>
      </c>
    </row>
    <row r="990">
      <c r="A990" s="3" t="s">
        <v>3928</v>
      </c>
      <c r="B990" s="3" t="s">
        <v>7896</v>
      </c>
      <c r="C990" s="3" t="s">
        <v>7897</v>
      </c>
      <c r="D990" s="3" t="s">
        <v>1598</v>
      </c>
      <c r="E990" s="3" t="s">
        <v>7898</v>
      </c>
      <c r="F990" s="3" t="s">
        <v>4370</v>
      </c>
      <c r="G990" s="3" t="s">
        <v>7899</v>
      </c>
      <c r="H990" t="str">
        <f t="shared" si="275"/>
        <v xml:space="preserve">Бугрова Екатерина Сергеевна</v>
      </c>
      <c r="I990" s="5">
        <f>IFERROR(IF(ISNUMBER(FIND("-",C990)),DATE(VALUE(LEFT(C990,4)),VALUE(MID(C990,6,2)),VALUE(RIGHT(C990,2))),IF(ISNUMBER(FIND(".",C990)),DATE(VALUE(RIGHT(C990,4)),VALUE(MID(C990,4,2)),VALUE(LEFT(C990,2))),DATE(VALUE(RIGHT(C990,4)),VLOOKUP(TRIM(MID(C990,FIND(" ",C990)+1,LEN(C990)-FIND(" ",C990)-5)),Справочники!$M$3:$N$14,2,0),VALUE(LEFT(C990,FIND(" ",C990)-1))))),"")</f>
        <v>31962</v>
      </c>
      <c r="J990" s="6">
        <f t="shared" si="276"/>
        <v>39</v>
      </c>
      <c r="K990" t="str">
        <f t="shared" si="277"/>
        <v>ОК</v>
      </c>
      <c r="L990" s="5">
        <f>IFERROR(IF(ISNUMBER(FIND("-",G990)),DATE(VALUE(LEFT(G990,4)),VALUE(MID(G990,6,2)),VALUE(RIGHT(G990,2))),IF(ISNUMBER(FIND(".",G990)),DATE(VALUE(RIGHT(G990,4)),VALUE(MID(G990,4,2)),VALUE(LEFT(G990,2))),DATE(VALUE(RIGHT(G990,4)),VLOOKUP(TRIM(MID(G990,FIND(" ",G990)+1,LEN(G990)-FIND(" ",G990)-5)),Справочники!$M$3:$N$14,2,0),VALUE(LEFT(G990,FIND(" ",G990)-1))))),"")</f>
        <v>54584</v>
      </c>
      <c r="M990" t="str">
        <f t="shared" si="278"/>
        <v xml:space="preserve">+7 (903) 567-89-01</v>
      </c>
      <c r="N990" t="str">
        <f t="shared" si="279"/>
        <v>bugrova@yandex</v>
      </c>
      <c r="O990" t="str">
        <f t="shared" si="280"/>
        <v xml:space="preserve">Ошибка Email</v>
      </c>
      <c r="P990" t="str">
        <f>IFERROR(VLOOKUP(TRIM(SUBSTITUTE(SUBSTITUTE(" "&amp;F990," г "," "),"г.","")),Справочники!$J$3:$K$102,2,0),TRIM(SUBSTITUTE(SUBSTITUTE(" "&amp;F990," г "," "),"г.","")))</f>
        <v>Подольск</v>
      </c>
    </row>
    <row r="991">
      <c r="A991" s="3" t="s">
        <v>3929</v>
      </c>
      <c r="B991" s="3" t="s">
        <v>7900</v>
      </c>
      <c r="C991" s="3" t="s">
        <v>7901</v>
      </c>
      <c r="D991" s="3" t="s">
        <v>4116</v>
      </c>
      <c r="E991" s="3" t="s">
        <v>7902</v>
      </c>
      <c r="F991" s="3" t="s">
        <v>4375</v>
      </c>
      <c r="G991" s="3" t="s">
        <v>7903</v>
      </c>
      <c r="H991" t="str">
        <f t="shared" si="275"/>
        <v xml:space="preserve">Чумак Илья Александрович</v>
      </c>
      <c r="I991" s="5">
        <f>IFERROR(IF(ISNUMBER(FIND("-",C991)),DATE(VALUE(LEFT(C991,4)),VALUE(MID(C991,6,2)),VALUE(RIGHT(C991,2))),IF(ISNUMBER(FIND(".",C991)),DATE(VALUE(RIGHT(C991,4)),VALUE(MID(C991,4,2)),VALUE(LEFT(C991,2))),DATE(VALUE(RIGHT(C991,4)),VLOOKUP(TRIM(MID(C991,FIND(" ",C991)+1,LEN(C991)-FIND(" ",C991)-5)),Справочники!$M$3:$N$14,2,0),VALUE(LEFT(C991,FIND(" ",C991)-1))))),"")</f>
        <v>26615</v>
      </c>
      <c r="J991" s="6">
        <f t="shared" si="276"/>
        <v>53</v>
      </c>
      <c r="K991" t="str">
        <f t="shared" si="277"/>
        <v>ОК</v>
      </c>
      <c r="L991" s="5">
        <f>IFERROR(IF(ISNUMBER(FIND("-",G991)),DATE(VALUE(LEFT(G991,4)),VALUE(MID(G991,6,2)),VALUE(RIGHT(G991,2))),IF(ISNUMBER(FIND(".",G991)),DATE(VALUE(RIGHT(G991,4)),VALUE(MID(G991,4,2)),VALUE(LEFT(G991,2))),DATE(VALUE(RIGHT(G991,4)),VLOOKUP(TRIM(MID(G991,FIND(" ",G991)+1,LEN(G991)-FIND(" ",G991)-5)),Справочники!$M$3:$N$14,2,0),VALUE(LEFT(G991,FIND(" ",G991)-1))))),"")</f>
        <v>54584</v>
      </c>
      <c r="M991" t="str">
        <f t="shared" si="278"/>
        <v xml:space="preserve">+7 (903) 678-90-12</v>
      </c>
      <c r="N991" t="str">
        <f t="shared" si="279"/>
        <v>chumak@gmail</v>
      </c>
      <c r="O991" t="str">
        <f t="shared" si="280"/>
        <v xml:space="preserve">Ошибка Email</v>
      </c>
      <c r="P991" t="str">
        <f>IFERROR(VLOOKUP(TRIM(SUBSTITUTE(SUBSTITUTE(" "&amp;F991," г "," "),"г.","")),Справочники!$J$3:$K$102,2,0),TRIM(SUBSTITUTE(SUBSTITUTE(" "&amp;F991," г "," "),"г.","")))</f>
        <v>Балашиха</v>
      </c>
    </row>
    <row r="992">
      <c r="A992" s="3" t="s">
        <v>3931</v>
      </c>
      <c r="B992" s="3" t="s">
        <v>5260</v>
      </c>
      <c r="C992" s="3" t="s">
        <v>7904</v>
      </c>
      <c r="D992" s="3" t="s">
        <v>4122</v>
      </c>
      <c r="E992" s="3" t="s">
        <v>7905</v>
      </c>
      <c r="F992" s="3" t="s">
        <v>4380</v>
      </c>
      <c r="G992" s="3" t="s">
        <v>7906</v>
      </c>
      <c r="H992" t="str">
        <f t="shared" si="275"/>
        <v xml:space="preserve">Майорова Мария Павловна</v>
      </c>
      <c r="I992" s="5">
        <f>IFERROR(IF(ISNUMBER(FIND("-",C992)),DATE(VALUE(LEFT(C992,4)),VALUE(MID(C992,6,2)),VALUE(RIGHT(C992,2))),IF(ISNUMBER(FIND(".",C992)),DATE(VALUE(RIGHT(C992,4)),VALUE(MID(C992,4,2)),VALUE(LEFT(C992,2))),DATE(VALUE(RIGHT(C992,4)),VLOOKUP(TRIM(MID(C992,FIND(" ",C992)+1,LEN(C992)-FIND(" ",C992)-5)),Справочники!$M$3:$N$14,2,0),VALUE(LEFT(C992,FIND(" ",C992)-1))))),"")</f>
        <v>30762</v>
      </c>
      <c r="J992" s="6">
        <f t="shared" si="276"/>
        <v>42</v>
      </c>
      <c r="K992" t="str">
        <f t="shared" si="277"/>
        <v>ОК</v>
      </c>
      <c r="L992" s="5">
        <f>IFERROR(IF(ISNUMBER(FIND("-",G992)),DATE(VALUE(LEFT(G992,4)),VALUE(MID(G992,6,2)),VALUE(RIGHT(G992,2))),IF(ISNUMBER(FIND(".",G992)),DATE(VALUE(RIGHT(G992,4)),VALUE(MID(G992,4,2)),VALUE(LEFT(G992,2))),DATE(VALUE(RIGHT(G992,4)),VLOOKUP(TRIM(MID(G992,FIND(" ",G992)+1,LEN(G992)-FIND(" ",G992)-5)),Справочники!$M$3:$N$14,2,0),VALUE(LEFT(G992,FIND(" ",G992)-1))))),"")</f>
        <v>54605</v>
      </c>
      <c r="M992" t="str">
        <f t="shared" si="278"/>
        <v xml:space="preserve">+7 (903) 678-90-12</v>
      </c>
      <c r="N992" t="str">
        <f t="shared" si="279"/>
        <v>mayorova@mail</v>
      </c>
      <c r="O992" t="str">
        <f t="shared" si="280"/>
        <v xml:space="preserve">Ошибка Email</v>
      </c>
      <c r="P992" t="str">
        <f>IFERROR(VLOOKUP(TRIM(SUBSTITUTE(SUBSTITUTE(" "&amp;F992," г "," "),"г.","")),Справочники!$J$3:$K$102,2,0),TRIM(SUBSTITUTE(SUBSTITUTE(" "&amp;F992," г "," "),"г.","")))</f>
        <v>Сургут</v>
      </c>
    </row>
    <row r="993">
      <c r="A993" s="3" t="s">
        <v>3932</v>
      </c>
      <c r="B993" s="3" t="s">
        <v>7907</v>
      </c>
      <c r="C993" s="3" t="s">
        <v>7908</v>
      </c>
      <c r="D993" s="3" t="s">
        <v>1605</v>
      </c>
      <c r="E993" s="3" t="s">
        <v>7909</v>
      </c>
      <c r="F993" s="3" t="s">
        <v>4385</v>
      </c>
      <c r="G993" s="3" t="s">
        <v>7910</v>
      </c>
      <c r="H993" t="str">
        <f t="shared" si="275"/>
        <v xml:space="preserve">Крылов Денис Викторович</v>
      </c>
      <c r="I993" s="5">
        <f>IFERROR(IF(ISNUMBER(FIND("-",C993)),DATE(VALUE(LEFT(C993,4)),VALUE(MID(C993,6,2)),VALUE(RIGHT(C993,2))),IF(ISNUMBER(FIND(".",C993)),DATE(VALUE(RIGHT(C993,4)),VALUE(MID(C993,4,2)),VALUE(LEFT(C993,2))),DATE(VALUE(RIGHT(C993,4)),VLOOKUP(TRIM(MID(C993,FIND(" ",C993)+1,LEN(C993)-FIND(" ",C993)-5)),Справочники!$M$3:$N$14,2,0),VALUE(LEFT(C993,FIND(" ",C993)-1))))),"")</f>
        <v>33958</v>
      </c>
      <c r="J993" s="6">
        <f t="shared" si="276"/>
        <v>33</v>
      </c>
      <c r="K993" t="str">
        <f t="shared" si="277"/>
        <v>ОК</v>
      </c>
      <c r="L993" s="5">
        <f>IFERROR(IF(ISNUMBER(FIND("-",G993)),DATE(VALUE(LEFT(G993,4)),VALUE(MID(G993,6,2)),VALUE(RIGHT(G993,2))),IF(ISNUMBER(FIND(".",G993)),DATE(VALUE(RIGHT(G993,4)),VALUE(MID(G993,4,2)),VALUE(LEFT(G993,2))),DATE(VALUE(RIGHT(G993,4)),VLOOKUP(TRIM(MID(G993,FIND(" ",G993)+1,LEN(G993)-FIND(" ",G993)-5)),Справочники!$M$3:$N$14,2,0),VALUE(LEFT(G993,FIND(" ",G993)-1))))),"")</f>
        <v>54619</v>
      </c>
      <c r="M993" t="str">
        <f t="shared" si="278"/>
        <v xml:space="preserve">+7 (903) 678-90-12</v>
      </c>
      <c r="N993" t="str">
        <f t="shared" si="279"/>
        <v>krylov@yandex</v>
      </c>
      <c r="O993" t="str">
        <f t="shared" si="280"/>
        <v xml:space="preserve">Ошибка Email</v>
      </c>
      <c r="P993" t="str">
        <f>IFERROR(VLOOKUP(TRIM(SUBSTITUTE(SUBSTITUTE(" "&amp;F993," г "," "),"г.","")),Справочники!$J$3:$K$102,2,0),TRIM(SUBSTITUTE(SUBSTITUTE(" "&amp;F993," г "," "),"г.","")))</f>
        <v>Армавир</v>
      </c>
    </row>
    <row r="994">
      <c r="A994" s="3" t="s">
        <v>3934</v>
      </c>
      <c r="B994" s="3" t="s">
        <v>7911</v>
      </c>
      <c r="C994" s="3" t="s">
        <v>7912</v>
      </c>
      <c r="D994" s="3" t="s">
        <v>4001</v>
      </c>
      <c r="E994" s="3" t="s">
        <v>7913</v>
      </c>
      <c r="F994" s="3" t="s">
        <v>4390</v>
      </c>
      <c r="G994" s="3" t="s">
        <v>7914</v>
      </c>
      <c r="H994" t="str">
        <f t="shared" si="275"/>
        <v xml:space="preserve">Королева Ольга Сергеевна</v>
      </c>
      <c r="I994" s="5">
        <f>IFERROR(IF(ISNUMBER(FIND("-",C994)),DATE(VALUE(LEFT(C994,4)),VALUE(MID(C994,6,2)),VALUE(RIGHT(C994,2))),IF(ISNUMBER(FIND(".",C994)),DATE(VALUE(RIGHT(C994,4)),VALUE(MID(C994,4,2)),VALUE(LEFT(C994,2))),DATE(VALUE(RIGHT(C994,4)),VLOOKUP(TRIM(MID(C994,FIND(" ",C994)+1,LEN(C994)-FIND(" ",C994)-5)),Справочники!$M$3:$N$14,2,0),VALUE(LEFT(C994,FIND(" ",C994)-1))))),"")</f>
        <v>28730</v>
      </c>
      <c r="J994" s="6">
        <f t="shared" si="276"/>
        <v>48</v>
      </c>
      <c r="K994" t="str">
        <f t="shared" si="277"/>
        <v>ОК</v>
      </c>
      <c r="L994" s="5">
        <f>IFERROR(IF(ISNUMBER(FIND("-",G994)),DATE(VALUE(LEFT(G994,4)),VALUE(MID(G994,6,2)),VALUE(RIGHT(G994,2))),IF(ISNUMBER(FIND(".",G994)),DATE(VALUE(RIGHT(G994,4)),VALUE(MID(G994,4,2)),VALUE(LEFT(G994,2))),DATE(VALUE(RIGHT(G994,4)),VLOOKUP(TRIM(MID(G994,FIND(" ",G994)+1,LEN(G994)-FIND(" ",G994)-5)),Справочники!$M$3:$N$14,2,0),VALUE(LEFT(G994,FIND(" ",G994)-1))))),"")</f>
        <v>54619</v>
      </c>
      <c r="M994" t="str">
        <f t="shared" si="278"/>
        <v xml:space="preserve">+7 (903) 789-01-23</v>
      </c>
      <c r="N994" t="str">
        <f t="shared" si="279"/>
        <v>koroleva@gmail</v>
      </c>
      <c r="O994" t="str">
        <f t="shared" si="280"/>
        <v xml:space="preserve">Ошибка Email</v>
      </c>
      <c r="P994" t="str">
        <f>IFERROR(VLOOKUP(TRIM(SUBSTITUTE(SUBSTITUTE(" "&amp;F994," г "," "),"г.","")),Справочники!$J$3:$K$102,2,0),TRIM(SUBSTITUTE(SUBSTITUTE(" "&amp;F994," г "," "),"г.","")))</f>
        <v>Волжский</v>
      </c>
    </row>
    <row r="995">
      <c r="A995" s="3" t="s">
        <v>3936</v>
      </c>
      <c r="B995" s="3" t="s">
        <v>7915</v>
      </c>
      <c r="C995" s="3" t="s">
        <v>7916</v>
      </c>
      <c r="D995" s="3" t="s">
        <v>4138</v>
      </c>
      <c r="E995" s="3" t="s">
        <v>6298</v>
      </c>
      <c r="F995" s="3" t="s">
        <v>4395</v>
      </c>
      <c r="G995" s="3" t="s">
        <v>7917</v>
      </c>
      <c r="H995" t="str">
        <f t="shared" si="275"/>
        <v xml:space="preserve">Кузьмин Андрей Олегович</v>
      </c>
      <c r="I995" s="5">
        <f>IFERROR(IF(ISNUMBER(FIND("-",C995)),DATE(VALUE(LEFT(C995,4)),VALUE(MID(C995,6,2)),VALUE(RIGHT(C995,2))),IF(ISNUMBER(FIND(".",C995)),DATE(VALUE(RIGHT(C995,4)),VALUE(MID(C995,4,2)),VALUE(LEFT(C995,2))),DATE(VALUE(RIGHT(C995,4)),VLOOKUP(TRIM(MID(C995,FIND(" ",C995)+1,LEN(C995)-FIND(" ",C995)-5)),Справочники!$M$3:$N$14,2,0),VALUE(LEFT(C995,FIND(" ",C995)-1))))),"")</f>
        <v>31337</v>
      </c>
      <c r="J995" s="6">
        <f t="shared" si="276"/>
        <v>41</v>
      </c>
      <c r="K995" t="str">
        <f t="shared" si="277"/>
        <v>ОК</v>
      </c>
      <c r="L995" s="5">
        <f>IFERROR(IF(ISNUMBER(FIND("-",G995)),DATE(VALUE(LEFT(G995,4)),VALUE(MID(G995,6,2)),VALUE(RIGHT(G995,2))),IF(ISNUMBER(FIND(".",G995)),DATE(VALUE(RIGHT(G995,4)),VALUE(MID(G995,4,2)),VALUE(LEFT(G995,2))),DATE(VALUE(RIGHT(G995,4)),VLOOKUP(TRIM(MID(G995,FIND(" ",G995)+1,LEN(G995)-FIND(" ",G995)-5)),Справочники!$M$3:$N$14,2,0),VALUE(LEFT(G995,FIND(" ",G995)-1))))),"")</f>
        <v>54636</v>
      </c>
      <c r="M995" t="str">
        <f t="shared" si="278"/>
        <v xml:space="preserve">+7 (903) 789-01-23</v>
      </c>
      <c r="N995" t="str">
        <f t="shared" si="279"/>
        <v>kuzmin@mail</v>
      </c>
      <c r="O995" t="str">
        <f t="shared" si="280"/>
        <v xml:space="preserve">Ошибка Email</v>
      </c>
      <c r="P995" t="str">
        <f>IFERROR(VLOOKUP(TRIM(SUBSTITUTE(SUBSTITUTE(" "&amp;F995," г "," "),"г.","")),Справочники!$J$3:$K$102,2,0),TRIM(SUBSTITUTE(SUBSTITUTE(" "&amp;F995," г "," "),"г.","")))</f>
        <v>Шахты</v>
      </c>
    </row>
    <row r="996">
      <c r="A996" s="3" t="s">
        <v>3938</v>
      </c>
      <c r="B996" s="3" t="s">
        <v>7918</v>
      </c>
      <c r="C996" s="3" t="s">
        <v>7919</v>
      </c>
      <c r="D996" s="3" t="s">
        <v>4144</v>
      </c>
      <c r="E996" s="3" t="s">
        <v>7920</v>
      </c>
      <c r="F996" s="3" t="s">
        <v>4400</v>
      </c>
      <c r="G996" s="3" t="s">
        <v>7921</v>
      </c>
      <c r="H996" t="str">
        <f t="shared" ref="H996:H999" si="281">PROPER(TRIM(B996))</f>
        <v xml:space="preserve">Егорова Екатерина Владимировна</v>
      </c>
      <c r="I996" s="5">
        <f>IFERROR(IF(ISNUMBER(FIND("-",C996)),DATE(VALUE(LEFT(C996,4)),VALUE(MID(C996,6,2)),VALUE(RIGHT(C996,2))),IF(ISNUMBER(FIND(".",C996)),DATE(VALUE(RIGHT(C996,4)),VALUE(MID(C996,4,2)),VALUE(LEFT(C996,2))),DATE(VALUE(RIGHT(C996,4)),VLOOKUP(TRIM(MID(C996,FIND(" ",C996)+1,LEN(C996)-FIND(" ",C996)-5)),Справочники!$M$3:$N$14,2,0),VALUE(LEFT(C996,FIND(" ",C996)-1))))),"")</f>
        <v>33578</v>
      </c>
      <c r="J996" s="6">
        <f t="shared" ref="J996:J999" si="282">IF(I996="","",DATEDIF(I996,TODAY(),"Y"))</f>
        <v>34</v>
      </c>
      <c r="K996" t="str">
        <f t="shared" ref="K996:K999" si="283">IF(OR(I996="",J996&lt;18,J996&gt;120),"Ошибка даты рождения","ОК")</f>
        <v>ОК</v>
      </c>
      <c r="L996" s="5">
        <f>IFERROR(IF(ISNUMBER(FIND("-",G996)),DATE(VALUE(LEFT(G996,4)),VALUE(MID(G996,6,2)),VALUE(RIGHT(G996,2))),IF(ISNUMBER(FIND(".",G996)),DATE(VALUE(RIGHT(G996,4)),VALUE(MID(G996,4,2)),VALUE(LEFT(G996,2))),DATE(VALUE(RIGHT(G996,4)),VLOOKUP(TRIM(MID(G996,FIND(" ",G996)+1,LEN(G996)-FIND(" ",G996)-5)),Справочники!$M$3:$N$14,2,0),VALUE(LEFT(G996,FIND(" ",G996)-1))))),"")</f>
        <v>54645</v>
      </c>
      <c r="M996" t="str">
        <f t="shared" ref="M996:M999" si="284">IF(LEN(SUBSTITUTE(SUBSTITUTE(SUBSTITUTE(SUBSTITUTE(SUBSTITUTE(D996,"+",""),"-","")," ",""),"(",""),")",""))&lt;10,"Ошибка телефона","+7 ("&amp;MID(RIGHT(SUBSTITUTE(SUBSTITUTE(SUBSTITUTE(SUBSTITUTE(SUBSTITUTE(D996,"+",""),"-","")," ",""),"(",""),")",""),10),1,3)&amp;") "&amp;MID(RIGHT(SUBSTITUTE(SUBSTITUTE(SUBSTITUTE(SUBSTITUTE(SUBSTITUTE(D996,"+",""),"-","")," ",""),"(",""),")",""),10),4,3)&amp;"-"&amp;MID(RIGHT(SUBSTITUTE(SUBSTITUTE(SUBSTITUTE(SUBSTITUTE(SUBSTITUTE(D996,"+",""),"-","")," ",""),"(",""),")",""),10),7,2)&amp;"-"&amp;RIGHT(SUBSTITUTE(SUBSTITUTE(SUBSTITUTE(SUBSTITUTE(SUBSTITUTE(D996,"+",""),"-","")," ",""),"(",""),")",""),2))</f>
        <v xml:space="preserve">+7 (903) 789-01-23</v>
      </c>
      <c r="N996" t="str">
        <f t="shared" ref="N996:N999" si="285">LOWER(SUBSTITUTE(TRIM(E996)," ",""))</f>
        <v>egorova@yandex</v>
      </c>
      <c r="O996" t="str">
        <f t="shared" ref="O996:O999" si="286">IF(AND(ISNUMBER(FIND("@",N996)),ISNUMBER(FIND(".",N996,FIND("@",N996)+2))),"ОК","Ошибка Email")</f>
        <v xml:space="preserve">Ошибка Email</v>
      </c>
      <c r="P996" t="str">
        <f>IFERROR(VLOOKUP(TRIM(SUBSTITUTE(SUBSTITUTE(" "&amp;F996," г "," "),"г.","")),Справочники!$J$3:$K$102,2,0),TRIM(SUBSTITUTE(SUBSTITUTE(" "&amp;F996," г "," "),"г.","")))</f>
        <v>Златоуст</v>
      </c>
    </row>
    <row r="997">
      <c r="A997" s="3" t="s">
        <v>3939</v>
      </c>
      <c r="B997" s="3" t="s">
        <v>7922</v>
      </c>
      <c r="C997" s="3" t="s">
        <v>7923</v>
      </c>
      <c r="D997" s="3" t="s">
        <v>4150</v>
      </c>
      <c r="E997" s="3" t="s">
        <v>7924</v>
      </c>
      <c r="F997" s="3" t="s">
        <v>4405</v>
      </c>
      <c r="G997" s="3" t="s">
        <v>7925</v>
      </c>
      <c r="H997" t="str">
        <f t="shared" si="281"/>
        <v xml:space="preserve">Пешехонов Илья Александрович</v>
      </c>
      <c r="I997" s="5">
        <f>IFERROR(IF(ISNUMBER(FIND("-",C997)),DATE(VALUE(LEFT(C997,4)),VALUE(MID(C997,6,2)),VALUE(RIGHT(C997,2))),IF(ISNUMBER(FIND(".",C997)),DATE(VALUE(RIGHT(C997,4)),VALUE(MID(C997,4,2)),VALUE(LEFT(C997,2))),DATE(VALUE(RIGHT(C997,4)),VLOOKUP(TRIM(MID(C997,FIND(" ",C997)+1,LEN(C997)-FIND(" ",C997)-5)),Справочники!$M$3:$N$14,2,0),VALUE(LEFT(C997,FIND(" ",C997)-1))))),"")</f>
        <v>26860</v>
      </c>
      <c r="J997" s="6">
        <f t="shared" si="282"/>
        <v>53</v>
      </c>
      <c r="K997" t="str">
        <f t="shared" si="283"/>
        <v>ОК</v>
      </c>
      <c r="L997" s="5">
        <f>IFERROR(IF(ISNUMBER(FIND("-",G997)),DATE(VALUE(LEFT(G997,4)),VALUE(MID(G997,6,2)),VALUE(RIGHT(G997,2))),IF(ISNUMBER(FIND(".",G997)),DATE(VALUE(RIGHT(G997,4)),VALUE(MID(G997,4,2)),VALUE(LEFT(G997,2))),DATE(VALUE(RIGHT(G997,4)),VLOOKUP(TRIM(MID(G997,FIND(" ",G997)+1,LEN(G997)-FIND(" ",G997)-5)),Справочники!$M$3:$N$14,2,0),VALUE(LEFT(G997,FIND(" ",G997)-1))))),"")</f>
        <v>54645</v>
      </c>
      <c r="M997" t="str">
        <f t="shared" si="284"/>
        <v xml:space="preserve">+7 (903) 890-12-34</v>
      </c>
      <c r="N997" t="str">
        <f t="shared" si="285"/>
        <v>peshehonov@gmail</v>
      </c>
      <c r="O997" t="str">
        <f t="shared" si="286"/>
        <v xml:space="preserve">Ошибка Email</v>
      </c>
      <c r="P997" t="str">
        <f>IFERROR(VLOOKUP(TRIM(SUBSTITUTE(SUBSTITUTE(" "&amp;F997," г "," "),"г.","")),Справочники!$J$3:$K$102,2,0),TRIM(SUBSTITUTE(SUBSTITUTE(" "&amp;F997," г "," "),"г.","")))</f>
        <v>Ангарск</v>
      </c>
    </row>
    <row r="998">
      <c r="A998" s="3" t="s">
        <v>3941</v>
      </c>
      <c r="B998" s="3" t="s">
        <v>7926</v>
      </c>
      <c r="C998" s="3" t="s">
        <v>7927</v>
      </c>
      <c r="D998" s="3" t="s">
        <v>4007</v>
      </c>
      <c r="E998" s="3" t="s">
        <v>7928</v>
      </c>
      <c r="F998" s="3" t="s">
        <v>4410</v>
      </c>
      <c r="G998" s="3" t="s">
        <v>7929</v>
      </c>
      <c r="H998" t="str">
        <f t="shared" si="281"/>
        <v xml:space="preserve">Терёхина Мария Павловна</v>
      </c>
      <c r="I998" s="5">
        <f>IFERROR(IF(ISNUMBER(FIND("-",C998)),DATE(VALUE(LEFT(C998,4)),VALUE(MID(C998,6,2)),VALUE(RIGHT(C998,2))),IF(ISNUMBER(FIND(".",C998)),DATE(VALUE(RIGHT(C998,4)),VALUE(MID(C998,4,2)),VALUE(LEFT(C998,2))),DATE(VALUE(RIGHT(C998,4)),VLOOKUP(TRIM(MID(C998,FIND(" ",C998)+1,LEN(C998)-FIND(" ",C998)-5)),Справочники!$M$3:$N$14,2,0),VALUE(LEFT(C998,FIND(" ",C998)-1))))),"")</f>
        <v>29334</v>
      </c>
      <c r="J998" s="6">
        <f t="shared" si="282"/>
        <v>46</v>
      </c>
      <c r="K998" t="str">
        <f t="shared" si="283"/>
        <v>ОК</v>
      </c>
      <c r="L998" s="5">
        <f>IFERROR(IF(ISNUMBER(FIND("-",G998)),DATE(VALUE(LEFT(G998,4)),VALUE(MID(G998,6,2)),VALUE(RIGHT(G998,2))),IF(ISNUMBER(FIND(".",G998)),DATE(VALUE(RIGHT(G998,4)),VALUE(MID(G998,4,2)),VALUE(LEFT(G998,2))),DATE(VALUE(RIGHT(G998,4)),VLOOKUP(TRIM(MID(G998,FIND(" ",G998)+1,LEN(G998)-FIND(" ",G998)-5)),Справочники!$M$3:$N$14,2,0),VALUE(LEFT(G998,FIND(" ",G998)-1))))),"")</f>
        <v>54667</v>
      </c>
      <c r="M998" t="str">
        <f t="shared" si="284"/>
        <v xml:space="preserve">+7 (903) 890-12-34</v>
      </c>
      <c r="N998" t="str">
        <f t="shared" si="285"/>
        <v>teryohina@mail</v>
      </c>
      <c r="O998" t="str">
        <f t="shared" si="286"/>
        <v xml:space="preserve">Ошибка Email</v>
      </c>
      <c r="P998" t="str">
        <f>IFERROR(VLOOKUP(TRIM(SUBSTITUTE(SUBSTITUTE(" "&amp;F998," г "," "),"г.","")),Справочники!$J$3:$K$102,2,0),TRIM(SUBSTITUTE(SUBSTITUTE(" "&amp;F998," г "," "),"г.","")))</f>
        <v>Озёрск</v>
      </c>
    </row>
    <row r="999">
      <c r="A999" s="3" t="s">
        <v>3942</v>
      </c>
      <c r="B999" s="3" t="s">
        <v>7930</v>
      </c>
      <c r="C999" s="3" t="s">
        <v>7931</v>
      </c>
      <c r="D999" s="3" t="s">
        <v>1619</v>
      </c>
      <c r="E999" s="3" t="s">
        <v>7932</v>
      </c>
      <c r="F999" s="3" t="s">
        <v>4415</v>
      </c>
      <c r="G999" s="3" t="s">
        <v>7933</v>
      </c>
      <c r="H999" t="str">
        <f t="shared" si="281"/>
        <v xml:space="preserve">Белоусов Денис Сергеевич</v>
      </c>
      <c r="I999" s="5">
        <f>IFERROR(IF(ISNUMBER(FIND("-",C999)),DATE(VALUE(LEFT(C999,4)),VALUE(MID(C999,6,2)),VALUE(RIGHT(C999,2))),IF(ISNUMBER(FIND(".",C999)),DATE(VALUE(RIGHT(C999,4)),VALUE(MID(C999,4,2)),VALUE(LEFT(C999,2))),DATE(VALUE(RIGHT(C999,4)),VLOOKUP(TRIM(MID(C999,FIND(" ",C999)+1,LEN(C999)-FIND(" ",C999)-5)),Справочники!$M$3:$N$14,2,0),VALUE(LEFT(C999,FIND(" ",C999)-1))))),"")</f>
        <v>32765</v>
      </c>
      <c r="J999" s="6">
        <f t="shared" si="282"/>
        <v>37</v>
      </c>
      <c r="K999" t="str">
        <f t="shared" si="283"/>
        <v>ОК</v>
      </c>
      <c r="L999" s="5">
        <f>IFERROR(IF(ISNUMBER(FIND("-",G999)),DATE(VALUE(LEFT(G999,4)),VALUE(MID(G999,6,2)),VALUE(RIGHT(G999,2))),IF(ISNUMBER(FIND(".",G999)),DATE(VALUE(RIGHT(G999,4)),VALUE(MID(G999,4,2)),VALUE(LEFT(G999,2))),DATE(VALUE(RIGHT(G999,4)),VLOOKUP(TRIM(MID(G999,FIND(" ",G999)+1,LEN(G999)-FIND(" ",G999)-5)),Справочники!$M$3:$N$14,2,0),VALUE(LEFT(G999,FIND(" ",G999)-1))))),"")</f>
        <v>54681</v>
      </c>
      <c r="M999" t="str">
        <f t="shared" si="284"/>
        <v xml:space="preserve">+7 (903) 890-12-34</v>
      </c>
      <c r="N999" t="str">
        <f t="shared" si="285"/>
        <v>belousov@yandex</v>
      </c>
      <c r="O999" t="str">
        <f t="shared" si="286"/>
        <v xml:space="preserve">Ошибка Email</v>
      </c>
      <c r="P999" t="str">
        <f>IFERROR(VLOOKUP(TRIM(SUBSTITUTE(SUBSTITUTE(" "&amp;F999," г "," "),"г.","")),Справочники!$J$3:$K$102,2,0),TRIM(SUBSTITUTE(SUBSTITUTE(" "&amp;F999," г "," "),"г.","")))</f>
        <v>Орел</v>
      </c>
    </row>
    <row r="1000">
      <c r="A1000" s="3" t="s">
        <v>3945</v>
      </c>
      <c r="B1000" s="3" t="s">
        <v>7934</v>
      </c>
      <c r="C1000" s="3" t="s">
        <v>7935</v>
      </c>
      <c r="D1000" s="3" t="s">
        <v>4018</v>
      </c>
      <c r="E1000" s="3" t="s">
        <v>7936</v>
      </c>
      <c r="F1000" s="3" t="s">
        <v>4184</v>
      </c>
      <c r="G1000" s="3" t="s">
        <v>7937</v>
      </c>
      <c r="H1000" t="str">
        <f t="shared" ref="H1000:H1001" si="287">PROPER(TRIM(B1000))</f>
        <v xml:space="preserve">Бабушкина Ольга Владимировна</v>
      </c>
      <c r="I1000" s="5">
        <f>IFERROR(IF(ISNUMBER(FIND("-",C1000)),DATE(VALUE(LEFT(C1000,4)),VALUE(MID(C1000,6,2)),VALUE(RIGHT(C1000,2))),IF(ISNUMBER(FIND(".",C1000)),DATE(VALUE(RIGHT(C1000,4)),VALUE(MID(C1000,4,2)),VALUE(LEFT(C1000,2))),DATE(VALUE(RIGHT(C1000,4)),VLOOKUP(TRIM(MID(C1000,FIND(" ",C1000)+1,LEN(C1000)-FIND(" ",C1000)-5)),Справочники!$M$3:$N$14,2,0),VALUE(LEFT(C1000,FIND(" ",C1000)-1))))),"")</f>
        <v>27911</v>
      </c>
      <c r="J1000" s="6">
        <f t="shared" ref="J1000:J1001" si="288">IF(I1000="","",DATEDIF(I1000,TODAY(),"Y"))</f>
        <v>50</v>
      </c>
      <c r="K1000" t="str">
        <f t="shared" ref="K1000:K1001" si="289">IF(OR(I1000="",J1000&lt;18,J1000&gt;120),"Ошибка даты рождения","ОК")</f>
        <v>ОК</v>
      </c>
      <c r="L1000" s="5">
        <f>IFERROR(IF(ISNUMBER(FIND("-",G1000)),DATE(VALUE(LEFT(G1000,4)),VALUE(MID(G1000,6,2)),VALUE(RIGHT(G1000,2))),IF(ISNUMBER(FIND(".",G1000)),DATE(VALUE(RIGHT(G1000,4)),VALUE(MID(G1000,4,2)),VALUE(LEFT(G1000,2))),DATE(VALUE(RIGHT(G1000,4)),VLOOKUP(TRIM(MID(G1000,FIND(" ",G1000)+1,LEN(G1000)-FIND(" ",G1000)-5)),Справочники!$M$3:$N$14,2,0),VALUE(LEFT(G1000,FIND(" ",G1000)-1))))),"")</f>
        <v>54681</v>
      </c>
      <c r="M1000" t="str">
        <f t="shared" ref="M1000:M1001" si="290">IF(LEN(SUBSTITUTE(SUBSTITUTE(SUBSTITUTE(SUBSTITUTE(SUBSTITUTE(D1000,"+",""),"-","")," ",""),"(",""),")",""))&lt;10,"Ошибка телефона","+7 ("&amp;MID(RIGHT(SUBSTITUTE(SUBSTITUTE(SUBSTITUTE(SUBSTITUTE(SUBSTITUTE(D1000,"+",""),"-","")," ",""),"(",""),")",""),10),1,3)&amp;") "&amp;MID(RIGHT(SUBSTITUTE(SUBSTITUTE(SUBSTITUTE(SUBSTITUTE(SUBSTITUTE(D1000,"+",""),"-","")," ",""),"(",""),")",""),10),4,3)&amp;"-"&amp;MID(RIGHT(SUBSTITUTE(SUBSTITUTE(SUBSTITUTE(SUBSTITUTE(SUBSTITUTE(D1000,"+",""),"-","")," ",""),"(",""),")",""),10),7,2)&amp;"-"&amp;RIGHT(SUBSTITUTE(SUBSTITUTE(SUBSTITUTE(SUBSTITUTE(SUBSTITUTE(D1000,"+",""),"-","")," ",""),"(",""),")",""),2))</f>
        <v xml:space="preserve">+7 (903) 901-23-45</v>
      </c>
      <c r="N1000" t="str">
        <f t="shared" ref="N1000:N1001" si="291">LOWER(SUBSTITUTE(TRIM(E1000)," ",""))</f>
        <v>babushkina@gmail</v>
      </c>
      <c r="O1000" t="str">
        <f t="shared" ref="O1000:O1001" si="292">IF(AND(ISNUMBER(FIND("@",N1000)),ISNUMBER(FIND(".",N1000,FIND("@",N1000)+2))),"ОК","Ошибка Email")</f>
        <v xml:space="preserve">Ошибка Email</v>
      </c>
      <c r="P1000" t="str">
        <f>IFERROR(VLOOKUP(TRIM(SUBSTITUTE(SUBSTITUTE(" "&amp;F1000," г "," "),"г.","")),Справочники!$J$3:$K$102,2,0),TRIM(SUBSTITUTE(SUBSTITUTE(" "&amp;F1000," г "," "),"г.","")))</f>
        <v>Магнитогорск</v>
      </c>
    </row>
    <row r="1001">
      <c r="A1001" s="3" t="s">
        <v>3946</v>
      </c>
      <c r="B1001" s="3" t="s">
        <v>7938</v>
      </c>
      <c r="C1001" s="3" t="s">
        <v>7939</v>
      </c>
      <c r="D1001" s="3" t="s">
        <v>1626</v>
      </c>
      <c r="E1001" s="3" t="s">
        <v>7940</v>
      </c>
      <c r="F1001" s="3" t="s">
        <v>4205</v>
      </c>
      <c r="G1001" s="3" t="s">
        <v>7941</v>
      </c>
      <c r="H1001" t="str">
        <f t="shared" si="287"/>
        <v xml:space="preserve">Толстых Андрей Олегович</v>
      </c>
      <c r="I1001" s="5">
        <f>IFERROR(IF(ISNUMBER(FIND("-",C1001)),DATE(VALUE(LEFT(C1001,4)),VALUE(MID(C1001,6,2)),VALUE(RIGHT(C1001,2))),IF(ISNUMBER(FIND(".",C1001)),DATE(VALUE(RIGHT(C1001,4)),VALUE(MID(C1001,4,2)),VALUE(LEFT(C1001,2))),DATE(VALUE(RIGHT(C1001,4)),VLOOKUP(TRIM(MID(C1001,FIND(" ",C1001)+1,LEN(C1001)-FIND(" ",C1001)-5)),Справочники!$M$3:$N$14,2,0),VALUE(LEFT(C1001,FIND(" ",C1001)-1))))),"")</f>
        <v>30904</v>
      </c>
      <c r="J1001" s="6">
        <f t="shared" si="288"/>
        <v>42</v>
      </c>
      <c r="K1001" t="str">
        <f t="shared" si="289"/>
        <v>ОК</v>
      </c>
      <c r="L1001" s="5">
        <f>IFERROR(IF(ISNUMBER(FIND("-",G1001)),DATE(VALUE(LEFT(G1001,4)),VALUE(MID(G1001,6,2)),VALUE(RIGHT(G1001,2))),IF(ISNUMBER(FIND(".",G1001)),DATE(VALUE(RIGHT(G1001,4)),VALUE(MID(G1001,4,2)),VALUE(LEFT(G1001,2))),DATE(VALUE(RIGHT(G1001,4)),VLOOKUP(TRIM(MID(G1001,FIND(" ",G1001)+1,LEN(G1001)-FIND(" ",G1001)-5)),Справочники!$M$3:$N$14,2,0),VALUE(LEFT(G1001,FIND(" ",G1001)-1))))),"")</f>
        <v>54697</v>
      </c>
      <c r="M1001" t="str">
        <f t="shared" si="290"/>
        <v xml:space="preserve">+7 (903) 901-23-45</v>
      </c>
      <c r="N1001" t="str">
        <f t="shared" si="291"/>
        <v>tolstyh@mail</v>
      </c>
      <c r="O1001" t="str">
        <f t="shared" si="292"/>
        <v xml:space="preserve">Ошибка Email</v>
      </c>
      <c r="P1001" t="str">
        <f>IFERROR(VLOOKUP(TRIM(SUBSTITUTE(SUBSTITUTE(" "&amp;F1001," г "," "),"г.","")),Справочники!$J$3:$K$102,2,0),TRIM(SUBSTITUTE(SUBSTITUTE(" "&amp;F1001," г "," "),"г.","")))</f>
        <v>Якутск</v>
      </c>
    </row>
  </sheetData>
  <autoFilter ref="A1:P10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10" defaultColWidth="8.83203125" defaultRowHeight="14.25"/>
  <cols>
    <col customWidth="1" min="1" max="2" width="20"/>
    <col customWidth="1" min="3" max="3" width="3"/>
    <col customWidth="1" min="4" max="5" width="20"/>
    <col customWidth="1" min="6" max="6" width="3"/>
    <col customWidth="1" min="7" max="8" width="20"/>
    <col customWidth="1" min="9" max="9" width="3"/>
    <col customWidth="1" min="10" max="11" width="20"/>
    <col customWidth="1" min="12" max="12" width="3"/>
    <col customWidth="1" min="13" max="14" width="20"/>
    <col customWidth="1" min="15" max="15" width="3"/>
    <col customWidth="1" min="16" max="17" width="20"/>
    <col customWidth="1" min="18" max="18" width="3"/>
  </cols>
  <sheetData>
    <row r="1" ht="16" customHeight="1">
      <c r="A1" s="7" t="s">
        <v>7942</v>
      </c>
      <c r="D1" s="7" t="s">
        <v>7943</v>
      </c>
      <c r="G1" s="7" t="s">
        <v>7944</v>
      </c>
      <c r="J1" s="7" t="s">
        <v>7945</v>
      </c>
      <c r="M1" s="7" t="s">
        <v>7946</v>
      </c>
      <c r="P1" s="7" t="s">
        <v>7947</v>
      </c>
    </row>
    <row r="2">
      <c r="A2" s="8" t="s">
        <v>7948</v>
      </c>
      <c r="B2" s="8" t="s">
        <v>7949</v>
      </c>
      <c r="D2" s="8" t="s">
        <v>7950</v>
      </c>
      <c r="E2" s="8" t="s">
        <v>7951</v>
      </c>
      <c r="G2" s="8" t="s">
        <v>7952</v>
      </c>
      <c r="H2" s="8" t="s">
        <v>7953</v>
      </c>
      <c r="J2" s="8" t="s">
        <v>7954</v>
      </c>
      <c r="K2" s="8" t="s">
        <v>7955</v>
      </c>
      <c r="M2" s="8" t="s">
        <v>7956</v>
      </c>
      <c r="N2" s="8" t="s">
        <v>7957</v>
      </c>
      <c r="P2" s="8" t="s">
        <v>7954</v>
      </c>
      <c r="Q2" s="8" t="s">
        <v>7955</v>
      </c>
    </row>
    <row r="3">
      <c r="A3" t="s">
        <v>18</v>
      </c>
      <c r="B3" t="s">
        <v>18</v>
      </c>
      <c r="D3" t="s">
        <v>1903</v>
      </c>
      <c r="E3" t="s">
        <v>1903</v>
      </c>
      <c r="G3" t="s">
        <v>7958</v>
      </c>
      <c r="H3">
        <v>95</v>
      </c>
      <c r="J3" t="s">
        <v>7959</v>
      </c>
      <c r="K3" t="s">
        <v>3960</v>
      </c>
      <c r="M3" t="s">
        <v>7960</v>
      </c>
      <c r="N3">
        <v>1</v>
      </c>
      <c r="P3" t="s">
        <v>22</v>
      </c>
      <c r="Q3" t="s">
        <v>42</v>
      </c>
    </row>
    <row r="4">
      <c r="A4" t="s">
        <v>25</v>
      </c>
      <c r="B4" t="s">
        <v>18</v>
      </c>
      <c r="D4" t="s">
        <v>1908</v>
      </c>
      <c r="E4" t="s">
        <v>1903</v>
      </c>
      <c r="G4" t="s">
        <v>7961</v>
      </c>
      <c r="H4">
        <v>100</v>
      </c>
      <c r="J4" t="s">
        <v>7962</v>
      </c>
      <c r="K4" t="s">
        <v>3960</v>
      </c>
      <c r="M4" t="s">
        <v>7963</v>
      </c>
      <c r="N4">
        <v>2</v>
      </c>
      <c r="P4" t="s">
        <v>42</v>
      </c>
      <c r="Q4" t="s">
        <v>42</v>
      </c>
    </row>
    <row r="5">
      <c r="A5" t="s">
        <v>31</v>
      </c>
      <c r="B5" t="s">
        <v>18</v>
      </c>
      <c r="D5" t="s">
        <v>1913</v>
      </c>
      <c r="E5" t="s">
        <v>1903</v>
      </c>
      <c r="G5" t="s">
        <v>7964</v>
      </c>
      <c r="H5">
        <v>1</v>
      </c>
      <c r="J5" t="s">
        <v>7965</v>
      </c>
      <c r="K5" t="s">
        <v>3965</v>
      </c>
      <c r="M5" t="s">
        <v>7966</v>
      </c>
      <c r="N5">
        <v>3</v>
      </c>
      <c r="P5" t="s">
        <v>28</v>
      </c>
      <c r="Q5" t="s">
        <v>42</v>
      </c>
    </row>
    <row r="6">
      <c r="A6" t="s">
        <v>38</v>
      </c>
      <c r="B6" t="s">
        <v>38</v>
      </c>
      <c r="D6" t="s">
        <v>7967</v>
      </c>
      <c r="E6" t="s">
        <v>1903</v>
      </c>
      <c r="J6" t="s">
        <v>7968</v>
      </c>
      <c r="K6" t="s">
        <v>3965</v>
      </c>
      <c r="M6" t="s">
        <v>7969</v>
      </c>
      <c r="N6">
        <v>4</v>
      </c>
      <c r="P6" t="s">
        <v>35</v>
      </c>
      <c r="Q6" t="s">
        <v>42</v>
      </c>
    </row>
    <row r="7">
      <c r="A7" t="s">
        <v>45</v>
      </c>
      <c r="B7" t="s">
        <v>38</v>
      </c>
      <c r="D7" t="s">
        <v>1945</v>
      </c>
      <c r="E7" t="s">
        <v>1945</v>
      </c>
      <c r="J7" t="s">
        <v>7970</v>
      </c>
      <c r="K7" t="s">
        <v>3965</v>
      </c>
      <c r="M7" t="s">
        <v>7971</v>
      </c>
      <c r="N7">
        <v>5</v>
      </c>
      <c r="P7" t="s">
        <v>7972</v>
      </c>
      <c r="Q7" t="s">
        <v>42</v>
      </c>
    </row>
    <row r="8">
      <c r="A8" t="s">
        <v>69</v>
      </c>
      <c r="B8" t="s">
        <v>69</v>
      </c>
      <c r="D8" t="s">
        <v>1918</v>
      </c>
      <c r="E8" t="s">
        <v>1945</v>
      </c>
      <c r="G8" s="9" t="s">
        <v>7973</v>
      </c>
      <c r="J8" t="s">
        <v>7974</v>
      </c>
      <c r="K8" t="s">
        <v>3965</v>
      </c>
      <c r="M8" t="s">
        <v>7975</v>
      </c>
      <c r="N8">
        <v>6</v>
      </c>
    </row>
    <row r="9">
      <c r="A9" t="s">
        <v>83</v>
      </c>
      <c r="B9" t="s">
        <v>83</v>
      </c>
      <c r="D9" t="s">
        <v>1924</v>
      </c>
      <c r="E9" t="s">
        <v>1945</v>
      </c>
      <c r="J9" t="s">
        <v>7976</v>
      </c>
      <c r="K9" t="s">
        <v>3965</v>
      </c>
      <c r="M9" t="s">
        <v>7977</v>
      </c>
      <c r="N9">
        <v>7</v>
      </c>
    </row>
    <row r="10">
      <c r="A10" t="s">
        <v>98</v>
      </c>
      <c r="B10" t="s">
        <v>98</v>
      </c>
      <c r="D10" t="s">
        <v>7978</v>
      </c>
      <c r="E10" t="s">
        <v>1945</v>
      </c>
      <c r="J10" t="s">
        <v>7979</v>
      </c>
      <c r="K10" t="s">
        <v>3965</v>
      </c>
      <c r="M10" t="s">
        <v>7980</v>
      </c>
      <c r="N10">
        <v>8</v>
      </c>
    </row>
    <row r="11">
      <c r="A11" t="s">
        <v>143</v>
      </c>
      <c r="B11" t="s">
        <v>143</v>
      </c>
      <c r="D11" t="s">
        <v>7981</v>
      </c>
      <c r="E11" t="s">
        <v>7981</v>
      </c>
      <c r="J11" t="s">
        <v>7982</v>
      </c>
      <c r="K11" t="s">
        <v>3970</v>
      </c>
      <c r="M11" t="s">
        <v>7983</v>
      </c>
      <c r="N11">
        <v>9</v>
      </c>
    </row>
    <row r="12">
      <c r="A12" t="s">
        <v>157</v>
      </c>
      <c r="B12" t="s">
        <v>157</v>
      </c>
      <c r="D12" t="s">
        <v>1927</v>
      </c>
      <c r="E12" t="s">
        <v>7981</v>
      </c>
      <c r="J12" t="s">
        <v>7984</v>
      </c>
      <c r="K12" t="s">
        <v>3986</v>
      </c>
      <c r="M12" t="s">
        <v>7985</v>
      </c>
      <c r="N12">
        <v>10</v>
      </c>
    </row>
    <row r="13">
      <c r="A13" t="s">
        <v>199</v>
      </c>
      <c r="B13" t="s">
        <v>199</v>
      </c>
      <c r="D13" t="s">
        <v>7986</v>
      </c>
      <c r="E13" t="s">
        <v>7981</v>
      </c>
      <c r="J13" t="s">
        <v>7987</v>
      </c>
      <c r="K13" t="s">
        <v>3986</v>
      </c>
      <c r="M13" t="s">
        <v>7988</v>
      </c>
      <c r="N13">
        <v>11</v>
      </c>
    </row>
    <row r="14">
      <c r="J14" t="s">
        <v>7989</v>
      </c>
      <c r="K14" t="s">
        <v>3975</v>
      </c>
      <c r="M14" t="s">
        <v>7990</v>
      </c>
      <c r="N14">
        <v>12</v>
      </c>
    </row>
    <row r="15">
      <c r="J15" t="s">
        <v>4275</v>
      </c>
      <c r="K15" t="s">
        <v>4275</v>
      </c>
    </row>
    <row r="16">
      <c r="J16" t="s">
        <v>4405</v>
      </c>
      <c r="K16" t="s">
        <v>4405</v>
      </c>
    </row>
    <row r="17">
      <c r="J17" t="s">
        <v>4385</v>
      </c>
      <c r="K17" t="s">
        <v>4385</v>
      </c>
    </row>
    <row r="18">
      <c r="J18" t="s">
        <v>4300</v>
      </c>
      <c r="K18" t="s">
        <v>4300</v>
      </c>
    </row>
    <row r="19">
      <c r="J19" t="s">
        <v>4129</v>
      </c>
      <c r="K19" t="s">
        <v>4129</v>
      </c>
    </row>
    <row r="20">
      <c r="J20" t="s">
        <v>4375</v>
      </c>
      <c r="K20" t="s">
        <v>4375</v>
      </c>
    </row>
    <row r="21">
      <c r="J21" t="s">
        <v>4064</v>
      </c>
      <c r="K21" t="s">
        <v>4064</v>
      </c>
    </row>
    <row r="22">
      <c r="J22" t="s">
        <v>4240</v>
      </c>
      <c r="K22" t="s">
        <v>4240</v>
      </c>
    </row>
    <row r="23">
      <c r="J23" t="s">
        <v>4285</v>
      </c>
      <c r="K23" t="s">
        <v>4285</v>
      </c>
    </row>
    <row r="24">
      <c r="J24" t="s">
        <v>4305</v>
      </c>
      <c r="K24" t="s">
        <v>4305</v>
      </c>
    </row>
    <row r="25">
      <c r="J25" t="s">
        <v>4270</v>
      </c>
      <c r="K25" t="s">
        <v>4270</v>
      </c>
    </row>
    <row r="26">
      <c r="J26" t="s">
        <v>4092</v>
      </c>
      <c r="K26" t="s">
        <v>4092</v>
      </c>
    </row>
    <row r="27">
      <c r="J27" t="s">
        <v>4230</v>
      </c>
      <c r="K27" t="s">
        <v>4230</v>
      </c>
    </row>
    <row r="28">
      <c r="J28" t="s">
        <v>4030</v>
      </c>
      <c r="K28" t="s">
        <v>4030</v>
      </c>
    </row>
    <row r="29">
      <c r="J29" t="s">
        <v>4390</v>
      </c>
      <c r="K29" t="s">
        <v>4390</v>
      </c>
    </row>
    <row r="30">
      <c r="J30" t="s">
        <v>4036</v>
      </c>
      <c r="K30" t="s">
        <v>4036</v>
      </c>
    </row>
    <row r="31">
      <c r="J31" t="s">
        <v>4280</v>
      </c>
      <c r="K31" t="s">
        <v>4280</v>
      </c>
    </row>
    <row r="32">
      <c r="J32" t="s">
        <v>3970</v>
      </c>
      <c r="K32" t="s">
        <v>3970</v>
      </c>
    </row>
    <row r="33">
      <c r="J33" t="s">
        <v>4400</v>
      </c>
      <c r="K33" t="s">
        <v>4400</v>
      </c>
    </row>
    <row r="34">
      <c r="J34" t="s">
        <v>4059</v>
      </c>
      <c r="K34" t="s">
        <v>4059</v>
      </c>
    </row>
    <row r="35">
      <c r="J35" t="s">
        <v>4075</v>
      </c>
      <c r="K35" t="s">
        <v>4075</v>
      </c>
    </row>
    <row r="36">
      <c r="J36" t="s">
        <v>4290</v>
      </c>
      <c r="K36" t="s">
        <v>4290</v>
      </c>
    </row>
    <row r="37">
      <c r="J37" t="s">
        <v>3980</v>
      </c>
      <c r="K37" t="s">
        <v>3980</v>
      </c>
    </row>
    <row r="38">
      <c r="J38" t="s">
        <v>4330</v>
      </c>
      <c r="K38" t="s">
        <v>4330</v>
      </c>
    </row>
    <row r="39">
      <c r="J39" t="s">
        <v>4225</v>
      </c>
      <c r="K39" t="s">
        <v>4225</v>
      </c>
    </row>
    <row r="40">
      <c r="J40" t="s">
        <v>4112</v>
      </c>
      <c r="K40" t="s">
        <v>4112</v>
      </c>
    </row>
    <row r="41">
      <c r="J41" t="s">
        <v>4146</v>
      </c>
      <c r="K41" t="s">
        <v>4146</v>
      </c>
    </row>
    <row r="42">
      <c r="J42" t="s">
        <v>4195</v>
      </c>
      <c r="K42" t="s">
        <v>4195</v>
      </c>
    </row>
    <row r="43">
      <c r="J43" t="s">
        <v>4162</v>
      </c>
      <c r="K43" t="s">
        <v>4162</v>
      </c>
    </row>
    <row r="44">
      <c r="J44" t="s">
        <v>4020</v>
      </c>
      <c r="K44" t="s">
        <v>4020</v>
      </c>
    </row>
    <row r="45">
      <c r="J45" t="s">
        <v>4295</v>
      </c>
      <c r="K45" t="s">
        <v>4295</v>
      </c>
    </row>
    <row r="46">
      <c r="J46" t="s">
        <v>4190</v>
      </c>
      <c r="K46" t="s">
        <v>4190</v>
      </c>
    </row>
    <row r="47">
      <c r="J47" t="s">
        <v>4325</v>
      </c>
      <c r="K47" t="s">
        <v>4325</v>
      </c>
    </row>
    <row r="48">
      <c r="J48" t="s">
        <v>4140</v>
      </c>
      <c r="K48" t="s">
        <v>4140</v>
      </c>
    </row>
    <row r="49">
      <c r="J49" t="s">
        <v>4184</v>
      </c>
      <c r="K49" t="s">
        <v>4184</v>
      </c>
    </row>
    <row r="50">
      <c r="J50" t="s">
        <v>4310</v>
      </c>
      <c r="K50" t="s">
        <v>4310</v>
      </c>
    </row>
    <row r="51">
      <c r="J51" t="s">
        <v>4097</v>
      </c>
      <c r="K51" t="s">
        <v>4097</v>
      </c>
    </row>
    <row r="52">
      <c r="J52" t="s">
        <v>4320</v>
      </c>
      <c r="K52" t="s">
        <v>4320</v>
      </c>
    </row>
    <row r="53">
      <c r="J53" t="s">
        <v>3960</v>
      </c>
      <c r="K53" t="s">
        <v>3960</v>
      </c>
    </row>
    <row r="54">
      <c r="J54" t="s">
        <v>4245</v>
      </c>
      <c r="K54" t="s">
        <v>4245</v>
      </c>
    </row>
    <row r="55">
      <c r="J55" t="s">
        <v>4134</v>
      </c>
      <c r="K55" t="s">
        <v>4134</v>
      </c>
    </row>
    <row r="56">
      <c r="J56" t="s">
        <v>4178</v>
      </c>
      <c r="K56" t="s">
        <v>4178</v>
      </c>
    </row>
    <row r="57">
      <c r="J57" t="s">
        <v>4355</v>
      </c>
      <c r="K57" t="s">
        <v>4355</v>
      </c>
    </row>
    <row r="58">
      <c r="J58" t="s">
        <v>3986</v>
      </c>
      <c r="K58" t="s">
        <v>3986</v>
      </c>
    </row>
    <row r="59">
      <c r="J59" t="s">
        <v>4118</v>
      </c>
      <c r="K59" t="s">
        <v>4118</v>
      </c>
    </row>
    <row r="60">
      <c r="J60" t="s">
        <v>4360</v>
      </c>
      <c r="K60" t="s">
        <v>4360</v>
      </c>
    </row>
    <row r="61">
      <c r="J61" t="s">
        <v>3975</v>
      </c>
      <c r="K61" t="s">
        <v>3975</v>
      </c>
    </row>
    <row r="62">
      <c r="J62" t="s">
        <v>4410</v>
      </c>
      <c r="K62" t="s">
        <v>4410</v>
      </c>
    </row>
    <row r="63">
      <c r="J63" t="s">
        <v>4003</v>
      </c>
      <c r="K63" t="s">
        <v>4003</v>
      </c>
    </row>
    <row r="64">
      <c r="J64" t="s">
        <v>4415</v>
      </c>
      <c r="K64" t="s">
        <v>4415</v>
      </c>
    </row>
    <row r="65">
      <c r="J65" t="s">
        <v>4107</v>
      </c>
      <c r="K65" t="s">
        <v>4107</v>
      </c>
    </row>
    <row r="66">
      <c r="J66" t="s">
        <v>4350</v>
      </c>
      <c r="K66" t="s">
        <v>4350</v>
      </c>
    </row>
    <row r="67">
      <c r="J67" t="s">
        <v>4172</v>
      </c>
      <c r="K67" t="s">
        <v>4172</v>
      </c>
    </row>
    <row r="68">
      <c r="J68" t="s">
        <v>4025</v>
      </c>
      <c r="K68" t="s">
        <v>4025</v>
      </c>
    </row>
    <row r="69">
      <c r="J69" t="s">
        <v>4335</v>
      </c>
      <c r="K69" t="s">
        <v>4335</v>
      </c>
    </row>
    <row r="70">
      <c r="J70" t="s">
        <v>4370</v>
      </c>
      <c r="K70" t="s">
        <v>4370</v>
      </c>
    </row>
    <row r="71">
      <c r="J71" t="s">
        <v>4009</v>
      </c>
      <c r="K71" t="s">
        <v>4009</v>
      </c>
    </row>
    <row r="72">
      <c r="J72" t="s">
        <v>4340</v>
      </c>
      <c r="K72" t="s">
        <v>4340</v>
      </c>
    </row>
    <row r="73">
      <c r="J73" t="s">
        <v>4124</v>
      </c>
      <c r="K73" t="s">
        <v>4124</v>
      </c>
    </row>
    <row r="74">
      <c r="J74" t="s">
        <v>3997</v>
      </c>
      <c r="K74" t="s">
        <v>3997</v>
      </c>
    </row>
    <row r="75">
      <c r="J75" t="s">
        <v>3965</v>
      </c>
      <c r="K75" t="s">
        <v>3965</v>
      </c>
    </row>
    <row r="76">
      <c r="J76" t="s">
        <v>4215</v>
      </c>
      <c r="K76" t="s">
        <v>4215</v>
      </c>
    </row>
    <row r="77">
      <c r="J77" t="s">
        <v>4042</v>
      </c>
      <c r="K77" t="s">
        <v>4042</v>
      </c>
    </row>
    <row r="78">
      <c r="J78" t="s">
        <v>4255</v>
      </c>
      <c r="K78" t="s">
        <v>4255</v>
      </c>
    </row>
    <row r="79">
      <c r="J79" t="s">
        <v>4265</v>
      </c>
      <c r="K79" t="s">
        <v>4265</v>
      </c>
    </row>
    <row r="80">
      <c r="J80" t="s">
        <v>4235</v>
      </c>
      <c r="K80" t="s">
        <v>4235</v>
      </c>
    </row>
    <row r="81">
      <c r="J81" t="s">
        <v>4260</v>
      </c>
      <c r="K81" t="s">
        <v>4260</v>
      </c>
    </row>
    <row r="82">
      <c r="J82" t="s">
        <v>4250</v>
      </c>
      <c r="K82" t="s">
        <v>4250</v>
      </c>
    </row>
    <row r="83">
      <c r="J83" t="s">
        <v>4167</v>
      </c>
      <c r="K83" t="s">
        <v>4167</v>
      </c>
    </row>
    <row r="84">
      <c r="J84" t="s">
        <v>4380</v>
      </c>
      <c r="K84" t="s">
        <v>4380</v>
      </c>
    </row>
    <row r="85">
      <c r="J85" t="s">
        <v>4157</v>
      </c>
      <c r="K85" t="s">
        <v>4157</v>
      </c>
    </row>
    <row r="86">
      <c r="J86" t="s">
        <v>4047</v>
      </c>
      <c r="K86" t="s">
        <v>4047</v>
      </c>
    </row>
    <row r="87">
      <c r="J87" t="s">
        <v>4102</v>
      </c>
      <c r="K87" t="s">
        <v>4102</v>
      </c>
    </row>
    <row r="88">
      <c r="J88" t="s">
        <v>4220</v>
      </c>
      <c r="K88" t="s">
        <v>4220</v>
      </c>
    </row>
    <row r="89">
      <c r="J89" t="s">
        <v>4053</v>
      </c>
      <c r="K89" t="s">
        <v>4053</v>
      </c>
    </row>
    <row r="90">
      <c r="J90" t="s">
        <v>4200</v>
      </c>
      <c r="K90" t="s">
        <v>4200</v>
      </c>
    </row>
    <row r="91">
      <c r="J91" t="s">
        <v>4069</v>
      </c>
      <c r="K91" t="s">
        <v>4069</v>
      </c>
    </row>
    <row r="92">
      <c r="J92" t="s">
        <v>4315</v>
      </c>
      <c r="K92" t="s">
        <v>4315</v>
      </c>
    </row>
    <row r="93">
      <c r="J93" t="s">
        <v>4014</v>
      </c>
      <c r="K93" t="s">
        <v>4014</v>
      </c>
    </row>
    <row r="94">
      <c r="J94" t="s">
        <v>4081</v>
      </c>
      <c r="K94" t="s">
        <v>4081</v>
      </c>
    </row>
    <row r="95">
      <c r="J95" t="s">
        <v>4365</v>
      </c>
      <c r="K95" t="s">
        <v>4365</v>
      </c>
    </row>
    <row r="96">
      <c r="J96" t="s">
        <v>4152</v>
      </c>
      <c r="K96" t="s">
        <v>4152</v>
      </c>
    </row>
    <row r="97">
      <c r="J97" t="s">
        <v>3992</v>
      </c>
      <c r="K97" t="s">
        <v>3992</v>
      </c>
    </row>
    <row r="98">
      <c r="J98" t="s">
        <v>4210</v>
      </c>
      <c r="K98" t="s">
        <v>4210</v>
      </c>
    </row>
    <row r="99">
      <c r="J99" t="s">
        <v>4395</v>
      </c>
      <c r="K99" t="s">
        <v>4395</v>
      </c>
    </row>
    <row r="100">
      <c r="J100" t="s">
        <v>4345</v>
      </c>
      <c r="K100" t="s">
        <v>4345</v>
      </c>
    </row>
    <row r="101">
      <c r="J101" t="s">
        <v>4205</v>
      </c>
      <c r="K101" t="s">
        <v>4205</v>
      </c>
    </row>
    <row r="102">
      <c r="J102" t="s">
        <v>4087</v>
      </c>
      <c r="K102" t="s">
        <v>4087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10" defaultColWidth="8.83203125" defaultRowHeight="14.25"/>
  <cols>
    <col bestFit="1" customWidth="1" min="1" max="1" width="43.50390625"/>
    <col customWidth="1" min="2" max="4" width="18"/>
  </cols>
  <sheetData>
    <row r="1" ht="19" customHeight="1">
      <c r="A1" s="10" t="s">
        <v>7991</v>
      </c>
    </row>
    <row r="3">
      <c r="A3" s="11" t="s">
        <v>7992</v>
      </c>
    </row>
    <row r="4">
      <c r="A4" s="8" t="s">
        <v>7993</v>
      </c>
      <c r="B4" s="8" t="s">
        <v>7994</v>
      </c>
      <c r="C4" s="8" t="s">
        <v>7995</v>
      </c>
      <c r="D4" s="8" t="s">
        <v>7996</v>
      </c>
    </row>
    <row r="5">
      <c r="A5" t="s">
        <v>7997</v>
      </c>
      <c r="B5">
        <f>COUNTA(Товары_очищенные!A2:A502)</f>
        <v>501</v>
      </c>
      <c r="C5">
        <f>COUNTIF(Товары_очищенные!P2:P502,"Повтор артикула")</f>
        <v>0</v>
      </c>
      <c r="D5">
        <f t="shared" ref="D5:D8" si="293">B5-C5</f>
        <v>501</v>
      </c>
    </row>
    <row r="6">
      <c r="A6" t="s">
        <v>7998</v>
      </c>
      <c r="B6">
        <f>COUNTA(Поставщики_очищенные!A2:A51)</f>
        <v>50</v>
      </c>
      <c r="C6">
        <f>0</f>
        <v>0</v>
      </c>
      <c r="D6">
        <f t="shared" si="293"/>
        <v>50</v>
      </c>
    </row>
    <row r="7">
      <c r="A7" t="s">
        <v>7999</v>
      </c>
      <c r="B7">
        <f>COUNTA(Продажи_очищенные!A2:A1001)</f>
        <v>1000</v>
      </c>
      <c r="C7">
        <f>COUNTIF(Продажи_очищенные!M2:M1001,"Дубликат")</f>
        <v>0</v>
      </c>
      <c r="D7">
        <f t="shared" si="293"/>
        <v>1000</v>
      </c>
    </row>
    <row r="8">
      <c r="A8" t="s">
        <v>8000</v>
      </c>
      <c r="B8">
        <f>COUNTA(Клиенты_очищенные!A2:A1001)</f>
        <v>1000</v>
      </c>
      <c r="C8">
        <f>0</f>
        <v>0</v>
      </c>
      <c r="D8">
        <f t="shared" si="293"/>
        <v>1000</v>
      </c>
    </row>
    <row r="9">
      <c r="A9" s="11" t="s">
        <v>8001</v>
      </c>
      <c r="B9" s="11">
        <f>SUM(B5:B8)</f>
        <v>2551</v>
      </c>
      <c r="C9" s="11">
        <f>SUM(C5:C8)</f>
        <v>0</v>
      </c>
      <c r="D9" s="11">
        <f>SUM(D5:D8)</f>
        <v>2551</v>
      </c>
    </row>
    <row r="11">
      <c r="A11" s="11" t="s">
        <v>8002</v>
      </c>
    </row>
    <row r="12">
      <c r="A12" s="8" t="s">
        <v>8003</v>
      </c>
      <c r="B12" s="8" t="s">
        <v>8004</v>
      </c>
      <c r="C12" s="8" t="s">
        <v>1892</v>
      </c>
    </row>
    <row r="13">
      <c r="A13" t="s">
        <v>8005</v>
      </c>
      <c r="B13" t="s">
        <v>7998</v>
      </c>
      <c r="C13">
        <f>COUNTIF(Поставщики_очищенные!I2:I51,"Ошибка ИНН")</f>
        <v>16</v>
      </c>
    </row>
    <row r="14">
      <c r="A14" t="s">
        <v>8006</v>
      </c>
      <c r="B14" t="s">
        <v>7998</v>
      </c>
      <c r="C14">
        <f>COUNTIF(Поставщики_очищенные!L2:L51,"Ошибка Email")</f>
        <v>46</v>
      </c>
    </row>
    <row r="15">
      <c r="A15" t="s">
        <v>8007</v>
      </c>
      <c r="B15" t="s">
        <v>7998</v>
      </c>
      <c r="C15">
        <f>COUNTIF(Поставщики_очищенные!J2:J51,"Ошибка телефона")</f>
        <v>0</v>
      </c>
    </row>
    <row r="16">
      <c r="A16" t="s">
        <v>8008</v>
      </c>
      <c r="B16" t="s">
        <v>8000</v>
      </c>
      <c r="C16">
        <f>COUNTIF(Клиенты_очищенные!O2:O1001,"Ошибка Email")</f>
        <v>998</v>
      </c>
    </row>
    <row r="17">
      <c r="A17" t="s">
        <v>8009</v>
      </c>
      <c r="B17" t="s">
        <v>8000</v>
      </c>
      <c r="C17">
        <f>COUNTIF(Клиенты_очищенные!M2:M1001,"Ошибка телефона")</f>
        <v>0</v>
      </c>
    </row>
    <row r="18">
      <c r="A18" t="s">
        <v>3952</v>
      </c>
      <c r="B18" t="s">
        <v>8000</v>
      </c>
      <c r="C18">
        <f>COUNTIF(Клиенты_очищенные!K2:K1001,"Ошибка даты рождения")</f>
        <v>0</v>
      </c>
    </row>
    <row r="19">
      <c r="A19" t="s">
        <v>8010</v>
      </c>
      <c r="B19" t="s">
        <v>8011</v>
      </c>
      <c r="C19">
        <f>COUNTIF(Товары_очищенные!O2:O502,"Розница ниже закупки")</f>
        <v>0</v>
      </c>
    </row>
    <row r="20">
      <c r="A20" t="s">
        <v>8012</v>
      </c>
      <c r="B20" t="s">
        <v>8011</v>
      </c>
      <c r="C20">
        <f>COUNTIF(Товары_очищенные!J2:J502,"Нет в справочнике")</f>
        <v>0</v>
      </c>
    </row>
    <row r="21">
      <c r="A21" t="s">
        <v>8013</v>
      </c>
      <c r="B21" t="s">
        <v>7999</v>
      </c>
      <c r="C21">
        <f>COUNTIF(Продажи_очищенные!P2:P1001,"Нет в каталоге")</f>
        <v>1</v>
      </c>
    </row>
    <row r="22">
      <c r="A22" t="s">
        <v>8014</v>
      </c>
      <c r="B22" t="s">
        <v>7999</v>
      </c>
      <c r="C22">
        <f>COUNTIF(Продажи_очищенные!P2:P1001,"Цена отличается от каталога")</f>
        <v>925</v>
      </c>
    </row>
    <row r="23">
      <c r="A23" s="11" t="s">
        <v>8015</v>
      </c>
      <c r="C23" s="11">
        <f>SUM(C13:C22)</f>
        <v>1986</v>
      </c>
    </row>
    <row r="25">
      <c r="A25" s="11" t="s">
        <v>8016</v>
      </c>
    </row>
    <row r="26">
      <c r="A26" s="8" t="s">
        <v>1894</v>
      </c>
      <c r="B26" s="8" t="s">
        <v>8017</v>
      </c>
    </row>
    <row r="27">
      <c r="A27" t="s">
        <v>1903</v>
      </c>
      <c r="B27">
        <f>COUNTIF(Продажи_очищенные!L2:L1001,A27)</f>
        <v>539</v>
      </c>
    </row>
    <row r="28">
      <c r="A28" t="s">
        <v>1945</v>
      </c>
      <c r="B28">
        <f>COUNTIF(Продажи_очищенные!L2:L1001,A28)</f>
        <v>307</v>
      </c>
    </row>
    <row r="29">
      <c r="A29" t="s">
        <v>7981</v>
      </c>
      <c r="B29">
        <f>COUNTIF(Продажи_очищенные!L2:L1001,A29)</f>
        <v>154</v>
      </c>
    </row>
    <row r="30">
      <c r="A30" t="s">
        <v>8018</v>
      </c>
      <c r="B30">
        <f>COUNTIF(Продажи_очищенные!J2:J1001,"&lt;0")</f>
        <v>167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baseColWidth="10" defaultColWidth="8.83203125" defaultRowHeight="14.25"/>
  <cols>
    <col customWidth="1" min="1" max="1" width="16"/>
    <col customWidth="1" min="2" max="2" width="80"/>
    <col customWidth="1" min="3" max="3" width="45"/>
  </cols>
  <sheetData>
    <row r="1" ht="19" customHeight="1">
      <c r="A1" s="10" t="s">
        <v>8019</v>
      </c>
    </row>
    <row r="3" ht="16" customHeight="1">
      <c r="A3" s="12" t="s">
        <v>8020</v>
      </c>
      <c r="B3" s="12" t="s">
        <v>8021</v>
      </c>
      <c r="C3" s="12" t="s">
        <v>8022</v>
      </c>
    </row>
    <row r="4" ht="48" customHeight="1">
      <c r="A4" s="13" t="s">
        <v>8023</v>
      </c>
      <c r="B4" s="13" t="s">
        <v>8024</v>
      </c>
      <c r="C4" s="13" t="s">
        <v>8025</v>
      </c>
    </row>
    <row r="5" ht="16" customHeight="1">
      <c r="A5" s="13" t="s">
        <v>8026</v>
      </c>
      <c r="B5" s="13" t="s">
        <v>8027</v>
      </c>
      <c r="C5" s="13" t="s">
        <v>8028</v>
      </c>
    </row>
    <row r="6" ht="32" customHeight="1">
      <c r="A6" s="13"/>
      <c r="B6" s="13" t="s">
        <v>8029</v>
      </c>
      <c r="C6" s="13" t="s">
        <v>8030</v>
      </c>
    </row>
    <row r="7" ht="32" customHeight="1">
      <c r="A7" s="13"/>
      <c r="B7" s="13" t="s">
        <v>8031</v>
      </c>
      <c r="C7" s="13" t="s">
        <v>8032</v>
      </c>
    </row>
    <row r="8" ht="32" customHeight="1">
      <c r="A8" s="13"/>
      <c r="B8" s="13" t="s">
        <v>8033</v>
      </c>
      <c r="C8" s="13" t="s">
        <v>8034</v>
      </c>
    </row>
    <row r="9" ht="16" customHeight="1">
      <c r="A9" s="13"/>
      <c r="B9" s="13" t="s">
        <v>8035</v>
      </c>
      <c r="C9" s="13" t="s">
        <v>8036</v>
      </c>
    </row>
    <row r="10" ht="16" customHeight="1">
      <c r="A10" s="13"/>
      <c r="B10" s="13" t="s">
        <v>8037</v>
      </c>
      <c r="C10" s="13" t="s">
        <v>8038</v>
      </c>
    </row>
    <row r="11" ht="16" customHeight="1">
      <c r="A11" s="13" t="s">
        <v>8039</v>
      </c>
      <c r="B11" s="13" t="s">
        <v>8040</v>
      </c>
      <c r="C11" s="13" t="s">
        <v>8041</v>
      </c>
    </row>
    <row r="12" ht="32" customHeight="1">
      <c r="A12" s="13"/>
      <c r="B12" s="13" t="s">
        <v>8042</v>
      </c>
      <c r="C12" s="13" t="s">
        <v>8043</v>
      </c>
    </row>
    <row r="13" ht="16" customHeight="1">
      <c r="A13" s="13"/>
      <c r="B13" s="13" t="s">
        <v>8044</v>
      </c>
      <c r="C13" s="13" t="s">
        <v>8045</v>
      </c>
    </row>
    <row r="14" ht="32" customHeight="1">
      <c r="A14" s="13"/>
      <c r="B14" s="13" t="s">
        <v>8046</v>
      </c>
      <c r="C14" s="13" t="s">
        <v>8047</v>
      </c>
    </row>
    <row r="15" ht="16" customHeight="1">
      <c r="A15" s="13" t="s">
        <v>8048</v>
      </c>
      <c r="B15" s="13" t="s">
        <v>8049</v>
      </c>
      <c r="C15" s="13" t="s">
        <v>8050</v>
      </c>
    </row>
    <row r="16" ht="16" customHeight="1">
      <c r="A16" s="13"/>
      <c r="B16" s="13" t="s">
        <v>8051</v>
      </c>
      <c r="C16" s="13" t="s">
        <v>8052</v>
      </c>
    </row>
    <row r="17" ht="32" customHeight="1">
      <c r="A17" s="13"/>
      <c r="B17" s="13" t="s">
        <v>8053</v>
      </c>
      <c r="C17" s="13" t="s">
        <v>8054</v>
      </c>
    </row>
    <row r="18" ht="16" customHeight="1">
      <c r="A18" s="13"/>
      <c r="B18" s="13" t="s">
        <v>8055</v>
      </c>
      <c r="C18" s="13" t="s">
        <v>8056</v>
      </c>
    </row>
    <row r="19" ht="32" customHeight="1">
      <c r="A19" s="13"/>
      <c r="B19" s="13" t="s">
        <v>8057</v>
      </c>
      <c r="C19" s="13" t="s">
        <v>8058</v>
      </c>
    </row>
    <row r="20" ht="32" customHeight="1">
      <c r="A20" s="13"/>
      <c r="B20" s="13" t="s">
        <v>8059</v>
      </c>
      <c r="C20" s="13" t="s">
        <v>8060</v>
      </c>
    </row>
    <row r="21" ht="32" customHeight="1">
      <c r="A21" s="13" t="s">
        <v>8061</v>
      </c>
      <c r="B21" s="13" t="s">
        <v>8062</v>
      </c>
      <c r="C21" s="13" t="s">
        <v>8063</v>
      </c>
    </row>
    <row r="22" ht="32" customHeight="1">
      <c r="A22" s="13"/>
      <c r="B22" s="13" t="s">
        <v>8064</v>
      </c>
      <c r="C22" s="13" t="s">
        <v>8065</v>
      </c>
    </row>
    <row r="23" ht="32" customHeight="1">
      <c r="A23" s="13"/>
      <c r="B23" s="13" t="s">
        <v>8066</v>
      </c>
      <c r="C23" s="13" t="s">
        <v>8067</v>
      </c>
    </row>
    <row r="24" ht="16" customHeight="1">
      <c r="A24" s="13"/>
      <c r="B24" s="13" t="s">
        <v>8068</v>
      </c>
      <c r="C24" s="13"/>
    </row>
    <row r="25" ht="16" customHeight="1">
      <c r="A25" s="13"/>
      <c r="B25" s="13" t="s">
        <v>8069</v>
      </c>
      <c r="C25" s="13" t="s">
        <v>8070</v>
      </c>
    </row>
    <row r="26" ht="32" customHeight="1">
      <c r="A26" s="13" t="s">
        <v>8071</v>
      </c>
      <c r="B26" s="13" t="s">
        <v>8072</v>
      </c>
      <c r="C26" s="13" t="s">
        <v>8073</v>
      </c>
    </row>
    <row r="27" ht="32" customHeight="1">
      <c r="A27" s="13"/>
      <c r="B27" s="13" t="s">
        <v>8074</v>
      </c>
      <c r="C27" s="13" t="s">
        <v>8075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Р7-Офис/2026.2.2.2683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2</cp:revision>
  <dcterms:created xsi:type="dcterms:W3CDTF">2026-10-23T11:16:15Z</dcterms:created>
  <dcterms:modified xsi:type="dcterms:W3CDTF">2026-10-23T14:11:35Z</dcterms:modified>
</cp:coreProperties>
</file>